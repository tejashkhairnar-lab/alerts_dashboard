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 state="visible" name="Features" sheetId="2" r:id="rId5"/>
    <sheet state="visible" name="Sheet4" sheetId="3" r:id="rId6"/>
    <sheet state="visible" name="PD" sheetId="4" r:id="rId7"/>
    <sheet state="visible" name="EAD" sheetId="5" r:id="rId8"/>
    <sheet state="visible" name="LGD" sheetId="6" r:id="rId9"/>
    <sheet state="visible" name="GST" sheetId="7" r:id="rId10"/>
    <sheet state="visible" name="Credit risk program" sheetId="8" r:id="rId11"/>
  </sheets>
  <definedNames/>
  <calcPr/>
</workbook>
</file>

<file path=xl/sharedStrings.xml><?xml version="1.0" encoding="utf-8"?>
<sst xmlns="http://schemas.openxmlformats.org/spreadsheetml/2006/main" count="706" uniqueCount="332">
  <si>
    <t>Anchors</t>
  </si>
  <si>
    <t>count</t>
  </si>
  <si>
    <t>As provided by Quidcash</t>
  </si>
  <si>
    <t>Avg transactions per month</t>
  </si>
  <si>
    <t>cr.</t>
  </si>
  <si>
    <t>As provided by Quidcash as range was 50-250 cr.</t>
  </si>
  <si>
    <t>total transaction value per month per anchor</t>
  </si>
  <si>
    <t>retailers</t>
  </si>
  <si>
    <t>total transaction value per retailer per month = purchase per month of retailer</t>
  </si>
  <si>
    <t>Gross profit margin</t>
  </si>
  <si>
    <t>times</t>
  </si>
  <si>
    <t>Gross expense as percent of sales</t>
  </si>
  <si>
    <t>Sales per month of retailer</t>
  </si>
  <si>
    <t>Opex cost as percent of gross expenses as percent of sales</t>
  </si>
  <si>
    <t>COGS  as percent of gross expenses as percent of sales</t>
  </si>
  <si>
    <t>Sales annual retailer</t>
  </si>
  <si>
    <t>Daily sales retailer</t>
  </si>
  <si>
    <t>INR</t>
  </si>
  <si>
    <t>Daily direct expense</t>
  </si>
  <si>
    <t>Dailt Opex expense</t>
  </si>
  <si>
    <t>Daily COGS expense</t>
  </si>
  <si>
    <t>Payable days - credit period to anchor</t>
  </si>
  <si>
    <t>days</t>
  </si>
  <si>
    <t>Debtor days - credit period to customer</t>
  </si>
  <si>
    <t>Inventory days - inventory holding period</t>
  </si>
  <si>
    <t>CCC</t>
  </si>
  <si>
    <t>Assumption based on WC cycle underlying items</t>
  </si>
  <si>
    <t>Total working capital required point in time</t>
  </si>
  <si>
    <t>Churn</t>
  </si>
  <si>
    <t>Implied sales</t>
  </si>
  <si>
    <t>Actual sales</t>
  </si>
  <si>
    <t>Minimum Extension required in payable days</t>
  </si>
  <si>
    <t>What is the minimum extention one should apply for given an EBIT margin of 10%. Because at this much WC need one actually is able to make more profit then now on incremental sales based on assumed operating leverage</t>
  </si>
  <si>
    <t>New payable days</t>
  </si>
  <si>
    <t>New cash conversion cycle</t>
  </si>
  <si>
    <t>No of times the new CCC will be churned over the year</t>
  </si>
  <si>
    <t>New implied sales on increased churn</t>
  </si>
  <si>
    <t>Incremental sales</t>
  </si>
  <si>
    <t>Absorption rate of incremental sales (something like operating leverage)</t>
  </si>
  <si>
    <t>factor</t>
  </si>
  <si>
    <t xml:space="preserve">As absorption decreases, your mimimum extention on payable days increases. </t>
  </si>
  <si>
    <t>New sales</t>
  </si>
  <si>
    <t>WC required for every rupee of sale</t>
  </si>
  <si>
    <t>For every 100 rs of sale, 5 rs is WC requirement</t>
  </si>
  <si>
    <t>WCL - working capital limit</t>
  </si>
  <si>
    <t>so for adjusted incremental sales, how much working capital is required</t>
  </si>
  <si>
    <t>WCL</t>
  </si>
  <si>
    <t>Cr.</t>
  </si>
  <si>
    <t>Annual interest rate</t>
  </si>
  <si>
    <t>%</t>
  </si>
  <si>
    <t>Interest expense full year</t>
  </si>
  <si>
    <t>EBIT margin</t>
  </si>
  <si>
    <t>EBIT derived on new sales</t>
  </si>
  <si>
    <t>EBIT on actual sales</t>
  </si>
  <si>
    <t>EL</t>
  </si>
  <si>
    <t>LGD</t>
  </si>
  <si>
    <t>PD</t>
  </si>
  <si>
    <t>Increase in EBIT</t>
  </si>
  <si>
    <t>Current interest cost</t>
  </si>
  <si>
    <t>EBT on actual sales</t>
  </si>
  <si>
    <t>New interest expense</t>
  </si>
  <si>
    <t>New EBT</t>
  </si>
  <si>
    <t>EBT margin old</t>
  </si>
  <si>
    <t>EBT margin new</t>
  </si>
  <si>
    <t>Increase in EBT</t>
  </si>
  <si>
    <t>ensure at optimal combniation of incremental payable days and absorption rate, this is minimised with value &gt; 0</t>
  </si>
  <si>
    <t>Current retailers</t>
  </si>
  <si>
    <t>Avg utlisation of limit</t>
  </si>
  <si>
    <t>AUM current (current retailers * WC limit which is your ticket size*avg.util)</t>
  </si>
  <si>
    <t>What is the current AUM approx at?</t>
  </si>
  <si>
    <t>Expected retailers in 1 year</t>
  </si>
  <si>
    <t>AUM on expected retailers (no of retailers * WC limit*avg.util)</t>
  </si>
  <si>
    <t>Current anchors</t>
  </si>
  <si>
    <t>Current retailer to anchor ratio</t>
  </si>
  <si>
    <t>Expected anchors to maintain same ratio</t>
  </si>
  <si>
    <t>Benchmark/Validation</t>
  </si>
  <si>
    <t>Current</t>
  </si>
  <si>
    <t>Derived comparison for 8k broowers</t>
  </si>
  <si>
    <t>Derived comparison for 250k broowers</t>
  </si>
  <si>
    <t>Ugrow AUM in Cr.</t>
  </si>
  <si>
    <t>Ticket size Ugrow in Cr.</t>
  </si>
  <si>
    <t>No of borrowers count</t>
  </si>
  <si>
    <t>Features of robust automated credit monitoring system:</t>
  </si>
  <si>
    <t xml:space="preserve">&gt; Capturing leading indiicators </t>
  </si>
  <si>
    <t xml:space="preserve">&gt; Capturing as ground knowledge as </t>
  </si>
  <si>
    <t>Deep ground knowledge is required—not just data analytics.</t>
  </si>
  <si>
    <t>Sustainable unit economics &gt; high short-term disbursals.</t>
  </si>
  <si>
    <t>GST consent</t>
  </si>
  <si>
    <t>GST compliance</t>
  </si>
  <si>
    <t>Bureau</t>
  </si>
  <si>
    <t>Ticket</t>
  </si>
  <si>
    <t>INR 50-1cr.</t>
  </si>
  <si>
    <t xml:space="preserve">Current </t>
  </si>
  <si>
    <t>70-80L per lakh per day</t>
  </si>
  <si>
    <t>Business problems:</t>
  </si>
  <si>
    <t>Projected</t>
  </si>
  <si>
    <t>&gt; Scalable risk model for underwriting of next 1 lakh borrowers in less than a 1 min. 
- Training ML or non ML model on available data of good bad customers. 
- Defining bad customers. Bad customer can be going into DPD 1st time, or sharp decline in CIBIL score.
- Building training set - defining observation window (period during which indiepdendent variables will be computed) and defining performance window.</t>
  </si>
  <si>
    <t>&gt; Monitoring system to capture non-normal events of a borrower as an alert</t>
  </si>
  <si>
    <t xml:space="preserve">&gt; Behavioural model running on internal data + externally available data. </t>
  </si>
  <si>
    <t>&gt; Portfolio level KPIs for risk management</t>
  </si>
  <si>
    <t>t0 = date of underwriting</t>
  </si>
  <si>
    <t>X</t>
  </si>
  <si>
    <t>td = date of customer going bad</t>
  </si>
  <si>
    <t>📂 Borrower Profile</t>
  </si>
  <si>
    <t>📂 Borrower Utilization Behavior</t>
  </si>
  <si>
    <t>📂 Recovery History</t>
  </si>
  <si>
    <t>Business vintage</t>
  </si>
  <si>
    <t>Current utilization ratio</t>
  </si>
  <si>
    <t>Time to first recovery post-default</t>
  </si>
  <si>
    <t>Retailer industry/sector</t>
  </si>
  <si>
    <t>Historical avg. utilization</t>
  </si>
  <si>
    <t>Total ₹ recovered / EAD</t>
  </si>
  <si>
    <t>Business type (sole prop/firm/private ltd)</t>
  </si>
  <si>
    <t>Standard deviation of utilization</t>
  </si>
  <si>
    <t>Recovery in first 30/60/90 days</t>
  </si>
  <si>
    <t>Credit score / bureau score</t>
  </si>
  <si>
    <t>Days since last drawdown</t>
  </si>
  <si>
    <t>Was legal action initiated?</t>
  </si>
  <si>
    <t>Internal rating</t>
  </si>
  <si>
    <t>Drawdown frequency (last 30/90 days)</t>
  </si>
  <si>
    <t>% of cases resolved through soft collection</t>
  </si>
  <si>
    <t>Geographical risk / PIN code risk</t>
  </si>
  <si>
    <t>Invoice size trend (small/large)</t>
  </si>
  <si>
    <t>Number of contact attempts needed</t>
  </si>
  <si>
    <t>of invoices funded per month</t>
  </si>
  <si>
    <t>Parent/anchor/aggregator linkage (if any)</t>
  </si>
  <si>
    <t>📂 Invoice Characteristics at Default</t>
  </si>
  <si>
    <t>% of invoices rejected (if any)</t>
  </si>
  <si>
    <t>of outstanding invoices</t>
  </si>
  <si>
    <t>GST filing consistency, turnover trend</t>
  </si>
  <si>
    <t>📂 Financial Ratios (if available)</t>
  </si>
  <si>
    <t>Bounce in draw request?</t>
  </si>
  <si>
    <t>Average invoice age at default</t>
  </si>
  <si>
    <t>Net worth</t>
  </si>
  <si>
    <t>📂 Limit Structure</t>
  </si>
  <si>
    <t>Supplier dispersion (if high, recovery may be harder)</t>
  </si>
  <si>
    <t>Debt-to-equity</t>
  </si>
  <si>
    <t>Limit sanctioned</t>
  </si>
  <si>
    <t>Invoice size concentration (e.g., one ₹5L invoice or many small ones)</t>
  </si>
  <si>
    <t>📂 Borrower Behavior Pre-Default</t>
  </si>
  <si>
    <t>Interest coverage</t>
  </si>
  <si>
    <t>Remaining tenor of limit</t>
  </si>
  <si>
    <t>Rapid utilization before default (cash-out behavior)</t>
  </si>
  <si>
    <t>EBITDA margin</t>
  </si>
  <si>
    <t>Is limit revolving or not</t>
  </si>
  <si>
    <t>Was full limit utilized?</t>
  </si>
  <si>
    <t>Working capital cycle</t>
  </si>
  <si>
    <t>Limit renewal due?</t>
  </si>
  <si>
    <t>Past bounces?</t>
  </si>
  <si>
    <t>Inventory/sales</t>
  </si>
  <si>
    <t>Limit age (months since sanctioned)</t>
  </si>
  <si>
    <t>📂 Behavior with SCF Line</t>
  </si>
  <si>
    <t>📂 Invoice Characteristics</t>
  </si>
  <si>
    <t>Prior default risk triggers</t>
  </si>
  <si>
    <t>Utilization ratio (drawn/limit)</t>
  </si>
  <si>
    <t>Average invoice size</t>
  </si>
  <si>
    <t>Contactability pre-default</t>
  </si>
  <si>
    <t>Limit age (days since sanctioned)</t>
  </si>
  <si>
    <t>Median tenor of invoices</t>
  </si>
  <si>
    <t>📂 Limit and Contract Terms</t>
  </si>
  <si>
    <t>Past EMI payments on time?</t>
  </si>
  <si>
    <t>Supplier concentration (# of unique suppliers)</t>
  </si>
  <si>
    <t>Was a personal or business guarantee signed?</t>
  </si>
  <si>
    <t>Bounce count (last 3/6 months)</t>
  </si>
  <si>
    <t>Share of anchor vs non-anchor invoices (if applicable)</t>
  </si>
  <si>
    <t>Any collateralized agreement?</t>
  </si>
  <si>
    <t>Number of invoices funded</t>
  </si>
  <si>
    <t>Upload-to-draw time lag</t>
  </si>
  <si>
    <t>Limit expiry near time of default?</t>
  </si>
  <si>
    <t>Frequency of drawdowns</t>
  </si>
  <si>
    <t>Type of goods (perishable/durable)</t>
  </si>
  <si>
    <t>Lending under recourse or non-recourse?</t>
  </si>
  <si>
    <t>Volatility in drawdown usage</t>
  </si>
  <si>
    <t>📂 Borrower Risk (from PD model)</t>
  </si>
  <si>
    <t>Co-borrowers / group exposure?</t>
  </si>
  <si>
    <t>📂 Macro / Legal Environment</t>
  </si>
  <si>
    <t>Early repayments made?</t>
  </si>
  <si>
    <t>PD score</t>
  </si>
  <si>
    <t>📂 External Obligations</t>
  </si>
  <si>
    <t>Industry recovery rates</t>
  </si>
  <si>
    <t>Segment rating</t>
  </si>
  <si>
    <t>Other lender flags (bureau if available)</t>
  </si>
  <si>
    <t>Litigation efficiency in geography</t>
  </si>
  <si>
    <t>Historical repayment quality</t>
  </si>
  <si>
    <t>Existing secured/unsecured loans</t>
  </si>
  <si>
    <t>📂 Macro Factors</t>
  </si>
  <si>
    <t>Enforcement timeline (state-specific)</t>
  </si>
  <si>
    <t>Trade creditor delays</t>
  </si>
  <si>
    <t>Industry-level liquidity crunch</t>
  </si>
  <si>
    <t>Presence of informal settlement channels</t>
  </si>
  <si>
    <t>📂 Macroeconomic Signals</t>
  </si>
  <si>
    <t>Seasonality effect (e.g., off-season — lower draw)</t>
  </si>
  <si>
    <t>📂 PD/EAD Features (as inputs)</t>
  </si>
  <si>
    <t>Sectoral stress index (e.g., FMCG slowdown)</t>
  </si>
  <si>
    <t>Festival/peak sales period (spike in draw)</t>
  </si>
  <si>
    <t>High PD score → often correlates with higher LGD</t>
  </si>
  <si>
    <t>Seasonality risk (e.g., monsoon, festive demand)</t>
  </si>
  <si>
    <t>High utilization at default → usually higher LGD</t>
  </si>
  <si>
    <t>📂 Risk Triggers (last X days)</t>
  </si>
  <si>
    <t>Missed repayment</t>
  </si>
  <si>
    <t>Contactability issue</t>
  </si>
  <si>
    <t>Document pending for long</t>
  </si>
  <si>
    <t>Negative news (if available)</t>
  </si>
  <si>
    <t>✅ Summary Table</t>
  </si>
  <si>
    <t>Feature Type</t>
  </si>
  <si>
    <t>PD Model</t>
  </si>
  <si>
    <t>EAD Model</t>
  </si>
  <si>
    <t>LGD Model</t>
  </si>
  <si>
    <t>Credit score</t>
  </si>
  <si>
    <t>✅</t>
  </si>
  <si>
    <t>✅ (as risk indicator)</t>
  </si>
  <si>
    <t>Utilization ratio</t>
  </si>
  <si>
    <t>✅ (at default)</t>
  </si>
  <si>
    <t>Drawdown frequency</t>
  </si>
  <si>
    <t>❌</t>
  </si>
  <si>
    <t>Bounce history</t>
  </si>
  <si>
    <t>Invoice size trend</t>
  </si>
  <si>
    <t>Contactability</t>
  </si>
  <si>
    <t>Recovery timing</t>
  </si>
  <si>
    <t>✅ (target)</t>
  </si>
  <si>
    <t>Supplier mix</t>
  </si>
  <si>
    <t>Macro stress flag</t>
  </si>
  <si>
    <t>EAD</t>
  </si>
  <si>
    <t>Category</t>
  </si>
  <si>
    <t>Feature</t>
  </si>
  <si>
    <t>Borrower Profile</t>
  </si>
  <si>
    <t>Borrower Utilization Behavior</t>
  </si>
  <si>
    <t>Recovery History</t>
  </si>
  <si>
    <t>Invoice size trend (small/large) of invoices funded per month</t>
  </si>
  <si>
    <t>Invoice Characteristics at Default</t>
  </si>
  <si>
    <t>Financial Ratios (if available)</t>
  </si>
  <si>
    <t>Limit Structure</t>
  </si>
  <si>
    <t>Borrower Behavior Pre-Default</t>
  </si>
  <si>
    <t>Invoice Characteristics</t>
  </si>
  <si>
    <t>Behavior with SCF Line</t>
  </si>
  <si>
    <t>Limit and Contract Terms</t>
  </si>
  <si>
    <t>Borrower Risk (from PD model)</t>
  </si>
  <si>
    <t>Macro / Legal Environment</t>
  </si>
  <si>
    <t>External Obligations</t>
  </si>
  <si>
    <t>Macro Factors</t>
  </si>
  <si>
    <t>PD/EAD Features (as inputs)</t>
  </si>
  <si>
    <t>Macroeconomic Signals</t>
  </si>
  <si>
    <t>Risk Triggers (last X days)</t>
  </si>
  <si>
    <t>|</t>
  </si>
  <si>
    <t>Rank</t>
  </si>
  <si>
    <t>----</t>
  </si>
  <si>
    <t>---------------------------------</t>
  </si>
  <si>
    <t>---------------------------------------------------------------------</t>
  </si>
  <si>
    <t>**Borrower Utilization Behavior**</t>
  </si>
  <si>
    <t>**Current utilization ratio** (Outstanding / Limit)</t>
  </si>
  <si>
    <t>**Historical average utilization (3M/6M)**</t>
  </si>
  <si>
    <t>**Drawdown frequency (30/90 days)**</t>
  </si>
  <si>
    <t>**Limit sanctioned (₹)**</t>
  </si>
  <si>
    <t>**Standard deviation of utilization** (volatility indicator)</t>
  </si>
  <si>
    <t>**Days since last drawdown**</t>
  </si>
  <si>
    <t>**Average invoice size**</t>
  </si>
  <si>
    <t>**Supplier concentration** (Herfindahl or top 3 share)</t>
  </si>
  <si>
    <t>**Upload-to-draw time lag (avg in days)**</t>
  </si>
  <si>
    <t>**Remaining tenor of limit (months)**</t>
  </si>
  <si>
    <t>**Limit age** (months since sanctioned)</t>
  </si>
  <si>
    <t>**Invoice size trend** (↑ or ↓ over 3M)</t>
  </si>
  <si>
    <t>**Median invoice tenor** (in days)</t>
  </si>
  <si>
    <t>**Share of anchor vs non-anchor invoices**</t>
  </si>
  <si>
    <t>**% of invoices rejected** (last 30/90 days)</t>
  </si>
  <si>
    <t>**Bounce in draw request** (binary flag)</t>
  </si>
  <si>
    <t>Borrower Risk (PD model)</t>
  </si>
  <si>
    <t>**PD score** (logit scale or raw score)</t>
  </si>
  <si>
    <t>**Segment rating** (ordinal)</t>
  </si>
  <si>
    <t>Borrower Risk</t>
  </si>
  <si>
    <t>**Historical repayment quality** (e.g., %DPD &gt; 30)</t>
  </si>
  <si>
    <t>**Seasonality effect (month flag, sectoral)**</t>
  </si>
  <si>
    <t>**Industry-level liquidity crunch indicator**</t>
  </si>
  <si>
    <t>**Festival/peak sales period flag**</t>
  </si>
  <si>
    <t>**Is limit revolving?** (binary)</t>
  </si>
  <si>
    <t>**Limit renewal due (within 30 days)?**</t>
  </si>
  <si>
    <t>**% of limit used via single invoice** (concentration)</t>
  </si>
  <si>
    <t>**% of invoices from top 2 suppliers**</t>
  </si>
  <si>
    <t>**Draw-to-invoice ratio** (draw / invoice size, avg)</t>
  </si>
  <si>
    <t>**Delinquency history before default (e.g., last 60 days)**</t>
  </si>
  <si>
    <t>**Regional distress indicator** (district or state-level MSME stress)</t>
  </si>
  <si>
    <t>**Invoice approval turnaround (upload to approval lag)**</t>
  </si>
  <si>
    <t>Avg incvoice age at default</t>
  </si>
  <si>
    <t>supplier concerntrationrisk</t>
  </si>
  <si>
    <t>limit utilisation before default l3m</t>
  </si>
  <si>
    <t>repayment volatility in l6m. count of delinquent in l6m</t>
  </si>
  <si>
    <t>gst sales trend</t>
  </si>
  <si>
    <t>credit drop</t>
  </si>
  <si>
    <t>vintage</t>
  </si>
  <si>
    <t>behavioural PD score</t>
  </si>
  <si>
    <t>PV of recoveries</t>
  </si>
  <si>
    <t>1-(recoveries/ead)</t>
  </si>
  <si>
    <t>GST 1</t>
  </si>
  <si>
    <t>GST 2A</t>
  </si>
  <si>
    <t>GST 2B</t>
  </si>
  <si>
    <t>GST 3b</t>
  </si>
  <si>
    <t>Monthly sales</t>
  </si>
  <si>
    <t>monthly purchases</t>
  </si>
  <si>
    <t>ITC Available</t>
  </si>
  <si>
    <t>Net ITC Claimed = 4A - 4B =  Eligible ITC - reversed ITC</t>
  </si>
  <si>
    <t>Quarterly sales growth (QOQ, YOY)</t>
  </si>
  <si>
    <t>Quarterly pur growth (QOQ, YOY)</t>
  </si>
  <si>
    <t>Std_qly_sales_l3y</t>
  </si>
  <si>
    <t>pur_qly_sales_l3y</t>
  </si>
  <si>
    <t>compliance</t>
  </si>
  <si>
    <t>customer_conc</t>
  </si>
  <si>
    <t>sales to purchase ratio</t>
  </si>
  <si>
    <t>avg value of invoice trend indicating better realisation</t>
  </si>
  <si>
    <t>% ITC from top 3 vendors</t>
  </si>
  <si>
    <t>Unique count of POS indicating geographical diversification</t>
  </si>
  <si>
    <t>ssum of taxable value where igst(other state) / sum of taxable value where cgst &amp; sgst(within state)</t>
  </si>
  <si>
    <t>export ratio for exporter</t>
  </si>
  <si>
    <t>avg_credit_note_perc = 
    (Total value of credit notes in a period) / (Total gross sales value for that period)
indicating sales return</t>
  </si>
  <si>
    <t>ITC claimed in 3B / ITC available in 2B
underclaim could indicate not making payment hence low claim. 
falt sales with reducing claim ratio, not able to make payments due to decline in cash sales although made purchases</t>
  </si>
  <si>
    <t>days between invoice date and claim date for each invoice, take avg of all invoices.
higher gap indicates delayed payment</t>
  </si>
  <si>
    <t xml:space="preserve">Building EWS on </t>
  </si>
  <si>
    <t>EWS - GST + bureau</t>
  </si>
  <si>
    <t>If:
  GSTR-1 sales ↓ &gt; 25% in 2 months
  AND
  Bureau credit utilization ratio ↑ to &gt;80%
Then:
  Early Alert: Liquidity under pressure</t>
  </si>
  <si>
    <t>If:
  ITC Claimed / ITC Available &lt; 0.6 for 2 consecutive months
  AND
  Latest EMI in bureau ↑ by &gt;20% vs past 3-month average
Then:
  Alert: Funding stress &amp; dependency on fresh borrowing</t>
  </si>
  <si>
    <t>If:
  GSTR-1 sales flat (±5%) over 3 months
  AND
  Credit Notes (as % of purchases) &gt; 12%
  AND
  Bureau unsecured credit enquiries &gt; 3 in 30 days
Then:
  Alert: Liquidity stress &amp; disputes with vendors</t>
  </si>
  <si>
    <t>If:
  GSTR-2B purchase value ↑ &gt;10% over 2 months
  AND
  ITC Claimed / ITC Available drops &gt; 20% (MoM)
  AND
  Bureau unsecured loan enquiries &gt; 2 in 30 days
Then:
  Alert: Borrower buying but not paying = supplier friction or cash stuck</t>
  </si>
  <si>
    <t>collection_realization_ratio = bank_inflows_T / gst_sales_T_minus_lag
T = March 2024
cr. period 60 days
Gst sales in T-60 days, that is Jan 2024
if ratio is less than 0.80, not collecting as per credit terms</t>
  </si>
  <si>
    <t>If:
  Any return charges &gt; ₹500 or debit failure in last 30 days
  AND
  ITC claim ratio &lt; 0.6
Then:
  Trigger: Working capital stress brewing</t>
  </si>
  <si>
    <t>If:
  Wallet/credit card/debit repayments &gt; 15% of total debits
Then:
  Trigger: Credit dependence behavior
using wallers or credit card debits as percentage of toal debits increasing</t>
  </si>
  <si>
    <t>If:
  GSTR-3B not filed
  AND
  Balance on 18th–20th of month &lt; GST payable from GSTR-3B
Then:
  Trigger: Compliance + liquidity red flag</t>
  </si>
  <si>
    <t>If:
  No salary/ESIC/EPFO/utility/electricity/mobile/office rent payments in 60 days
Then:
  Trigger: Red flag — possible dormancy</t>
  </si>
  <si>
    <t>If:
  Bureau: &gt;3 unsecured loan enquiries in last 30 days
  AND
  GST: GSTR-1 sales flat (±5%) for last 2 months
  AND
  Bank: Net credit inflows flat or declining
Then:
  Trigger Early Alert: Funding stress likely building</t>
  </si>
  <si>
    <t>If:
  Bureau: Latest enquiry = credit card / personal loan
  AND
  GST: GSTR-1 sales ↑ &gt; 15% MoM
  AND
  Bank: Inflows flat or ↓
Then:
  Trigger Risk: Cash not converting from sales; diversion possible
intent or leak risk</t>
  </si>
  <si>
    <t>Originiation - no bureau</t>
  </si>
  <si>
    <t>Originiation - bureau</t>
  </si>
  <si>
    <t>Sanction_limit</t>
  </si>
  <si>
    <t>multiplier</t>
  </si>
  <si>
    <t>Sales</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</si>
</sst>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0.0"/>
    <numFmt numFmtId="165" formatCode="0.00000%"/>
  </numFmts>
  <fonts count="11">
    <font>
      <sz val="10.0"/>
      <color rgb="FF000000"/>
      <name val="Arial"/>
      <scheme val="minor"/>
    </font>
    <font>
      <color theme="1"/>
      <name val="Arial"/>
      <scheme val="minor"/>
    </font>
    <font>
      <sz val="12.0"/>
      <color rgb="FF000000"/>
      <name val="Arial"/>
    </font>
    <font>
      <sz val="12.0"/>
      <color rgb="FF000000"/>
      <name val="&quot;Aptos Narrow&quot;"/>
    </font>
    <font>
      <sz val="11.0"/>
      <color rgb="FF000000"/>
      <name val="Arial"/>
    </font>
    <font>
      <sz val="11.0"/>
      <color rgb="FF000000"/>
      <name val="-apple-system"/>
    </font>
    <font>
      <b/>
      <color rgb="FF000000"/>
      <name val="Arial"/>
      <scheme val="minor"/>
    </font>
    <font>
      <color rgb="FF000000"/>
      <name val="Arial"/>
      <scheme val="minor"/>
    </font>
    <font>
      <b/>
      <sz val="24.0"/>
      <color rgb="FF000000"/>
      <name val="Arial"/>
      <scheme val="minor"/>
    </font>
    <font>
      <b/>
      <sz val="18.0"/>
      <color rgb="FF000000"/>
      <name val="Arial"/>
      <scheme val="minor"/>
    </font>
    <font>
      <sz val="18.0"/>
      <color rgb="FF000000"/>
      <name val="Arial"/>
      <scheme val="minor"/>
    </font>
  </fonts>
  <fills count="7">
    <fill>
      <patternFill patternType="none"/>
    </fill>
    <fill>
      <patternFill patternType="lightGray"/>
    </fill>
    <fill>
      <patternFill patternType="solid">
        <fgColor rgb="FFFCE5CD"/>
        <bgColor rgb="FFFCE5CD"/>
      </patternFill>
    </fill>
    <fill>
      <patternFill patternType="solid">
        <fgColor rgb="FFFFFF00"/>
        <bgColor rgb="FFFFFF00"/>
      </patternFill>
    </fill>
    <fill>
      <patternFill patternType="solid">
        <fgColor rgb="FFD9EAD3"/>
        <bgColor rgb="FFD9EAD3"/>
      </patternFill>
    </fill>
    <fill>
      <patternFill patternType="solid">
        <fgColor rgb="FFD0E0E3"/>
        <bgColor rgb="FFD0E0E3"/>
      </patternFill>
    </fill>
    <fill>
      <patternFill patternType="solid">
        <fgColor rgb="FFFFFFFF"/>
        <bgColor rgb="FFFFFFFF"/>
      </patternFill>
    </fill>
  </fills>
  <borders count="3">
    <border/>
    <border>
      <left style="thin">
        <color rgb="FF000000"/>
      </left>
      <right style="thin">
        <color rgb="FF000000"/>
      </right>
      <bottom style="thin">
        <color rgb="FF000000"/>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4">
    <xf borderId="0" fillId="0" fontId="0" numFmtId="0" xfId="0" applyAlignment="1" applyFont="1">
      <alignment readingOrder="0" shrinkToFit="0" vertical="bottom" wrapText="0"/>
    </xf>
    <xf borderId="0" fillId="0" fontId="1" numFmtId="0" xfId="0" applyAlignment="1" applyFont="1">
      <alignment readingOrder="0"/>
    </xf>
    <xf borderId="0" fillId="2" fontId="1" numFmtId="0" xfId="0" applyAlignment="1" applyFill="1" applyFont="1">
      <alignment readingOrder="0"/>
    </xf>
    <xf borderId="0" fillId="0" fontId="1" numFmtId="0" xfId="0" applyFont="1"/>
    <xf borderId="0" fillId="0" fontId="1" numFmtId="164" xfId="0" applyAlignment="1" applyFont="1" applyNumberFormat="1">
      <alignment readingOrder="0"/>
    </xf>
    <xf borderId="0" fillId="3" fontId="1" numFmtId="0" xfId="0" applyAlignment="1" applyFill="1" applyFont="1">
      <alignment readingOrder="0"/>
    </xf>
    <xf borderId="1" fillId="0" fontId="2" numFmtId="0" xfId="0" applyAlignment="1" applyBorder="1" applyFont="1">
      <alignment readingOrder="0" vertical="bottom"/>
    </xf>
    <xf borderId="1" fillId="0" fontId="3" numFmtId="0" xfId="0" applyAlignment="1" applyBorder="1" applyFont="1">
      <alignment readingOrder="0" vertical="bottom"/>
    </xf>
    <xf borderId="0" fillId="4" fontId="1" numFmtId="0" xfId="0" applyFill="1" applyFont="1"/>
    <xf borderId="0" fillId="0" fontId="1" numFmtId="9" xfId="0" applyAlignment="1" applyFont="1" applyNumberFormat="1">
      <alignment readingOrder="0"/>
    </xf>
    <xf borderId="0" fillId="0" fontId="1" numFmtId="9" xfId="0" applyFont="1" applyNumberFormat="1"/>
    <xf borderId="0" fillId="0" fontId="1" numFmtId="10" xfId="0" applyFont="1" applyNumberFormat="1"/>
    <xf borderId="0" fillId="0" fontId="1" numFmtId="165" xfId="0" applyFont="1" applyNumberFormat="1"/>
    <xf borderId="0" fillId="4" fontId="1" numFmtId="0" xfId="0" applyAlignment="1" applyFont="1">
      <alignment readingOrder="0"/>
    </xf>
    <xf borderId="0" fillId="5" fontId="1" numFmtId="0" xfId="0" applyAlignment="1" applyFill="1" applyFont="1">
      <alignment readingOrder="0"/>
    </xf>
    <xf borderId="0" fillId="5" fontId="1" numFmtId="0" xfId="0" applyFont="1"/>
    <xf borderId="2" fillId="0" fontId="1" numFmtId="0" xfId="0" applyAlignment="1" applyBorder="1" applyFont="1">
      <alignment readingOrder="0"/>
    </xf>
    <xf borderId="2" fillId="0" fontId="1" numFmtId="0" xfId="0" applyAlignment="1" applyBorder="1" applyFont="1">
      <alignment readingOrder="0" shrinkToFit="0" wrapText="1"/>
    </xf>
    <xf borderId="2" fillId="4" fontId="1" numFmtId="0" xfId="0" applyAlignment="1" applyBorder="1" applyFont="1">
      <alignment readingOrder="0" shrinkToFit="0" wrapText="1"/>
    </xf>
    <xf borderId="2" fillId="5" fontId="1" numFmtId="0" xfId="0" applyAlignment="1" applyBorder="1" applyFont="1">
      <alignment readingOrder="0" shrinkToFit="0" wrapText="1"/>
    </xf>
    <xf borderId="2" fillId="4" fontId="1" numFmtId="0" xfId="0" applyBorder="1" applyFont="1"/>
    <xf borderId="2" fillId="5" fontId="1" numFmtId="0" xfId="0" applyBorder="1" applyFont="1"/>
    <xf borderId="2" fillId="0" fontId="1" numFmtId="0" xfId="0" applyBorder="1" applyFont="1"/>
    <xf borderId="0" fillId="0" fontId="4" numFmtId="0" xfId="0" applyAlignment="1" applyFont="1">
      <alignment readingOrder="0" vertical="bottom"/>
    </xf>
    <xf borderId="0" fillId="6" fontId="5" numFmtId="0" xfId="0" applyAlignment="1" applyFill="1" applyFont="1">
      <alignment readingOrder="0" vertical="bottom"/>
    </xf>
    <xf borderId="0" fillId="0" fontId="6" numFmtId="0" xfId="0" applyAlignment="1" applyFont="1">
      <alignment readingOrder="0"/>
    </xf>
    <xf borderId="0" fillId="0" fontId="7" numFmtId="0" xfId="0" applyFont="1"/>
    <xf borderId="0" fillId="0" fontId="7" numFmtId="0" xfId="0" applyAlignment="1" applyFont="1">
      <alignment readingOrder="0"/>
    </xf>
    <xf borderId="0" fillId="0" fontId="8" numFmtId="0" xfId="0" applyAlignment="1" applyFont="1">
      <alignment readingOrder="0"/>
    </xf>
    <xf borderId="0" fillId="0" fontId="8" numFmtId="0" xfId="0" applyFont="1"/>
    <xf borderId="0" fillId="0" fontId="7" numFmtId="0" xfId="0" applyFont="1"/>
    <xf borderId="0" fillId="0" fontId="9" numFmtId="0" xfId="0" applyAlignment="1" applyFont="1">
      <alignment readingOrder="0"/>
    </xf>
    <xf borderId="0" fillId="0" fontId="9" numFmtId="0" xfId="0" applyAlignment="1" applyFont="1">
      <alignment horizontal="center" readingOrder="0"/>
    </xf>
    <xf borderId="0" fillId="0" fontId="10"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73.25"/>
  </cols>
  <sheetData>
    <row r="3">
      <c r="B3" s="1" t="s">
        <v>0</v>
      </c>
      <c r="C3" s="2">
        <v>20.0</v>
      </c>
      <c r="D3" s="1" t="s">
        <v>1</v>
      </c>
      <c r="E3" s="1" t="s">
        <v>2</v>
      </c>
    </row>
    <row r="4">
      <c r="B4" s="1" t="s">
        <v>3</v>
      </c>
      <c r="C4" s="2">
        <v>100.0</v>
      </c>
      <c r="D4" s="1" t="s">
        <v>4</v>
      </c>
      <c r="E4" s="1" t="s">
        <v>5</v>
      </c>
    </row>
    <row r="5">
      <c r="B5" s="1" t="s">
        <v>6</v>
      </c>
      <c r="C5" s="3">
        <f>C4*C3</f>
        <v>2000</v>
      </c>
      <c r="D5" s="1" t="s">
        <v>4</v>
      </c>
    </row>
    <row r="6">
      <c r="B6" s="1" t="s">
        <v>7</v>
      </c>
      <c r="C6" s="2">
        <v>8000.0</v>
      </c>
      <c r="D6" s="1" t="s">
        <v>1</v>
      </c>
      <c r="E6" s="1" t="s">
        <v>2</v>
      </c>
    </row>
    <row r="7">
      <c r="B7" s="1" t="s">
        <v>8</v>
      </c>
      <c r="C7" s="3">
        <f>C5/C6</f>
        <v>0.25</v>
      </c>
      <c r="D7" s="4" t="s">
        <v>4</v>
      </c>
    </row>
    <row r="8">
      <c r="B8" s="1" t="s">
        <v>9</v>
      </c>
      <c r="C8" s="1">
        <v>0.2</v>
      </c>
      <c r="D8" s="1" t="s">
        <v>10</v>
      </c>
    </row>
    <row r="9">
      <c r="B9" s="1" t="s">
        <v>11</v>
      </c>
      <c r="C9" s="3">
        <f>1-C8</f>
        <v>0.8</v>
      </c>
      <c r="D9" s="1" t="s">
        <v>10</v>
      </c>
    </row>
    <row r="10">
      <c r="B10" s="1" t="s">
        <v>12</v>
      </c>
      <c r="C10" s="3">
        <f>C7/C9</f>
        <v>0.3125</v>
      </c>
      <c r="D10" s="1" t="s">
        <v>4</v>
      </c>
    </row>
    <row r="11">
      <c r="B11" s="1" t="s">
        <v>13</v>
      </c>
      <c r="C11" s="3">
        <f>C9*0.2</f>
        <v>0.16</v>
      </c>
    </row>
    <row r="12">
      <c r="B12" s="1" t="s">
        <v>14</v>
      </c>
      <c r="C12" s="3">
        <f>C9*0.8</f>
        <v>0.64</v>
      </c>
    </row>
    <row r="13">
      <c r="B13" s="1" t="s">
        <v>15</v>
      </c>
      <c r="C13" s="3">
        <f>C10*12</f>
        <v>3.75</v>
      </c>
      <c r="D13" s="1" t="s">
        <v>4</v>
      </c>
    </row>
    <row r="14">
      <c r="B14" s="1" t="s">
        <v>16</v>
      </c>
      <c r="C14" s="3">
        <f>(C13/365)*10000000</f>
        <v>102739.726</v>
      </c>
      <c r="D14" s="1" t="s">
        <v>17</v>
      </c>
    </row>
    <row r="15">
      <c r="B15" s="1" t="s">
        <v>18</v>
      </c>
      <c r="C15" s="3">
        <f>C14*C9</f>
        <v>82191.78082</v>
      </c>
      <c r="D15" s="1" t="s">
        <v>17</v>
      </c>
    </row>
    <row r="16">
      <c r="B16" s="1" t="s">
        <v>19</v>
      </c>
      <c r="C16" s="3">
        <f>C15*0.2</f>
        <v>16438.35616</v>
      </c>
      <c r="D16" s="1" t="s">
        <v>17</v>
      </c>
    </row>
    <row r="17">
      <c r="B17" s="1" t="s">
        <v>20</v>
      </c>
      <c r="C17" s="3">
        <f>C15*0.8</f>
        <v>65753.42466</v>
      </c>
      <c r="D17" s="1" t="s">
        <v>17</v>
      </c>
    </row>
    <row r="18">
      <c r="B18" s="1" t="s">
        <v>21</v>
      </c>
      <c r="C18" s="1">
        <v>30.0</v>
      </c>
      <c r="D18" s="1" t="s">
        <v>22</v>
      </c>
    </row>
    <row r="19">
      <c r="B19" s="1" t="s">
        <v>23</v>
      </c>
      <c r="C19" s="1">
        <v>10.0</v>
      </c>
      <c r="D19" s="1" t="s">
        <v>22</v>
      </c>
    </row>
    <row r="20">
      <c r="B20" s="1" t="s">
        <v>24</v>
      </c>
      <c r="C20" s="1">
        <v>45.0</v>
      </c>
      <c r="D20" s="1" t="s">
        <v>22</v>
      </c>
    </row>
    <row r="21">
      <c r="B21" s="1" t="s">
        <v>25</v>
      </c>
      <c r="C21" s="3">
        <f>C19+C20-C18</f>
        <v>25</v>
      </c>
      <c r="D21" s="1" t="s">
        <v>22</v>
      </c>
      <c r="E21" s="1" t="s">
        <v>26</v>
      </c>
    </row>
    <row r="22">
      <c r="B22" s="1" t="s">
        <v>27</v>
      </c>
      <c r="C22" s="3">
        <f>(C16+C17)*C21</f>
        <v>2054794.521</v>
      </c>
      <c r="D22" s="1" t="s">
        <v>17</v>
      </c>
      <c r="E22" s="3">
        <f>C22/10000000</f>
        <v>0.2054794521</v>
      </c>
    </row>
    <row r="23">
      <c r="B23" s="1" t="s">
        <v>28</v>
      </c>
      <c r="C23" s="3">
        <f>365/C21</f>
        <v>14.6</v>
      </c>
      <c r="D23" s="1" t="s">
        <v>10</v>
      </c>
    </row>
    <row r="24">
      <c r="B24" s="1" t="s">
        <v>29</v>
      </c>
      <c r="C24" s="3">
        <f>C23*C22</f>
        <v>30000000</v>
      </c>
      <c r="D24" s="1" t="s">
        <v>17</v>
      </c>
    </row>
    <row r="25">
      <c r="B25" s="1" t="s">
        <v>30</v>
      </c>
      <c r="C25" s="3">
        <f>C13*10000000</f>
        <v>37500000</v>
      </c>
      <c r="D25" s="1" t="s">
        <v>17</v>
      </c>
      <c r="E25" s="3">
        <f>C25/10000000</f>
        <v>3.75</v>
      </c>
    </row>
    <row r="27">
      <c r="B27" s="1" t="s">
        <v>31</v>
      </c>
      <c r="C27" s="5">
        <v>9.0</v>
      </c>
      <c r="D27" s="1" t="s">
        <v>22</v>
      </c>
      <c r="E27" s="1" t="s">
        <v>32</v>
      </c>
    </row>
    <row r="28">
      <c r="B28" s="6" t="s">
        <v>33</v>
      </c>
      <c r="C28" s="3">
        <f>C18+C27</f>
        <v>39</v>
      </c>
      <c r="D28" s="1" t="s">
        <v>22</v>
      </c>
    </row>
    <row r="29">
      <c r="B29" s="7" t="s">
        <v>34</v>
      </c>
      <c r="C29" s="3">
        <f>C19+C20-C28</f>
        <v>16</v>
      </c>
      <c r="D29" s="1" t="s">
        <v>22</v>
      </c>
    </row>
    <row r="30">
      <c r="B30" s="7" t="s">
        <v>35</v>
      </c>
      <c r="C30" s="3">
        <f>365/C29</f>
        <v>22.8125</v>
      </c>
      <c r="D30" s="1" t="s">
        <v>10</v>
      </c>
    </row>
    <row r="31">
      <c r="B31" s="1" t="s">
        <v>36</v>
      </c>
      <c r="C31" s="3">
        <f>C30*C22</f>
        <v>46875000</v>
      </c>
      <c r="D31" s="1" t="s">
        <v>17</v>
      </c>
    </row>
    <row r="32">
      <c r="B32" s="1" t="s">
        <v>37</v>
      </c>
      <c r="C32" s="3">
        <f>C31-C24</f>
        <v>16875000</v>
      </c>
      <c r="D32" s="1" t="s">
        <v>17</v>
      </c>
      <c r="E32" s="3">
        <f>C32/10000000</f>
        <v>1.6875</v>
      </c>
    </row>
    <row r="33">
      <c r="B33" s="1" t="s">
        <v>38</v>
      </c>
      <c r="C33" s="5">
        <v>0.6</v>
      </c>
      <c r="D33" s="1" t="s">
        <v>39</v>
      </c>
      <c r="E33" s="1" t="s">
        <v>40</v>
      </c>
    </row>
    <row r="34">
      <c r="B34" s="1" t="s">
        <v>41</v>
      </c>
      <c r="C34" s="3">
        <f>C32+(C25*C33)</f>
        <v>39375000</v>
      </c>
      <c r="D34" s="1" t="s">
        <v>17</v>
      </c>
      <c r="E34" s="3">
        <f>C34/10000000</f>
        <v>3.9375</v>
      </c>
    </row>
    <row r="35">
      <c r="B35" s="1" t="s">
        <v>42</v>
      </c>
      <c r="C35" s="3">
        <f>C22/C25</f>
        <v>0.05479452055</v>
      </c>
      <c r="D35" s="1" t="s">
        <v>10</v>
      </c>
      <c r="E35" s="1" t="s">
        <v>43</v>
      </c>
    </row>
    <row r="36">
      <c r="B36" s="1" t="s">
        <v>44</v>
      </c>
      <c r="C36" s="8">
        <f>(C22+(C35*C32*C33))-C22</f>
        <v>554794.5205</v>
      </c>
      <c r="D36" s="1" t="s">
        <v>17</v>
      </c>
      <c r="E36" s="1" t="s">
        <v>45</v>
      </c>
    </row>
    <row r="37">
      <c r="B37" s="1" t="s">
        <v>46</v>
      </c>
      <c r="C37" s="3">
        <f>C36/10000000</f>
        <v>0.05547945205</v>
      </c>
      <c r="D37" s="1" t="s">
        <v>47</v>
      </c>
      <c r="E37" s="3">
        <f>C36/C25</f>
        <v>0.01479452055</v>
      </c>
    </row>
    <row r="38">
      <c r="B38" s="1" t="s">
        <v>48</v>
      </c>
      <c r="C38" s="9">
        <v>0.24</v>
      </c>
      <c r="D38" s="1" t="s">
        <v>49</v>
      </c>
    </row>
    <row r="39">
      <c r="B39" s="1" t="s">
        <v>50</v>
      </c>
      <c r="C39" s="3">
        <f>C38*C37*10000000*C53</f>
        <v>93205.47945</v>
      </c>
      <c r="D39" s="1" t="s">
        <v>17</v>
      </c>
    </row>
    <row r="40">
      <c r="B40" s="6" t="s">
        <v>51</v>
      </c>
      <c r="C40" s="9">
        <v>0.1</v>
      </c>
      <c r="D40" s="1" t="s">
        <v>49</v>
      </c>
    </row>
    <row r="41">
      <c r="B41" s="6" t="s">
        <v>52</v>
      </c>
      <c r="C41" s="3">
        <f>C34*C40</f>
        <v>3937500</v>
      </c>
      <c r="D41" s="1" t="s">
        <v>17</v>
      </c>
    </row>
    <row r="42">
      <c r="B42" s="6" t="s">
        <v>53</v>
      </c>
      <c r="C42" s="3">
        <f>C40*C25</f>
        <v>3750000</v>
      </c>
      <c r="D42" s="1" t="s">
        <v>17</v>
      </c>
      <c r="E42" s="1" t="s">
        <v>54</v>
      </c>
      <c r="F42" s="1" t="s">
        <v>55</v>
      </c>
      <c r="G42" s="1" t="s">
        <v>56</v>
      </c>
    </row>
    <row r="43">
      <c r="B43" s="1" t="s">
        <v>57</v>
      </c>
      <c r="C43" s="3">
        <f>C41-C42</f>
        <v>187500</v>
      </c>
      <c r="D43" s="1" t="s">
        <v>17</v>
      </c>
    </row>
    <row r="44">
      <c r="B44" s="1" t="s">
        <v>58</v>
      </c>
      <c r="C44" s="1">
        <v>0.0</v>
      </c>
      <c r="D44" s="1" t="s">
        <v>17</v>
      </c>
      <c r="E44" s="9">
        <v>0.1</v>
      </c>
      <c r="F44" s="9">
        <v>0.5</v>
      </c>
      <c r="G44" s="10">
        <f>E44/F44</f>
        <v>0.2</v>
      </c>
    </row>
    <row r="45">
      <c r="B45" s="1" t="s">
        <v>59</v>
      </c>
      <c r="C45" s="3">
        <f>C42-C44</f>
        <v>3750000</v>
      </c>
      <c r="D45" s="1" t="s">
        <v>17</v>
      </c>
    </row>
    <row r="46">
      <c r="B46" s="1" t="s">
        <v>60</v>
      </c>
      <c r="C46" s="3">
        <f>C44+C39</f>
        <v>93205.47945</v>
      </c>
      <c r="D46" s="1" t="s">
        <v>17</v>
      </c>
      <c r="E46" s="1">
        <f>0.15*0.22</f>
        <v>0.033</v>
      </c>
      <c r="F46" s="9">
        <v>0.2</v>
      </c>
      <c r="G46" s="9">
        <v>0.2</v>
      </c>
    </row>
    <row r="47">
      <c r="B47" s="1" t="s">
        <v>61</v>
      </c>
      <c r="C47" s="3">
        <f>C41-C46</f>
        <v>3844294.521</v>
      </c>
      <c r="D47" s="1" t="s">
        <v>17</v>
      </c>
    </row>
    <row r="48">
      <c r="B48" s="1" t="s">
        <v>62</v>
      </c>
      <c r="C48" s="11">
        <f>C45/C25</f>
        <v>0.1</v>
      </c>
      <c r="D48" s="1" t="s">
        <v>49</v>
      </c>
    </row>
    <row r="49">
      <c r="B49" s="1" t="s">
        <v>63</v>
      </c>
      <c r="C49" s="12">
        <f>C47/C25</f>
        <v>0.1025145205</v>
      </c>
      <c r="D49" s="1" t="s">
        <v>49</v>
      </c>
    </row>
    <row r="50">
      <c r="B50" s="1" t="s">
        <v>64</v>
      </c>
      <c r="C50" s="3">
        <f>C47-C45</f>
        <v>94294.52055</v>
      </c>
      <c r="D50" s="1" t="s">
        <v>17</v>
      </c>
      <c r="E50" s="1" t="s">
        <v>65</v>
      </c>
    </row>
    <row r="52">
      <c r="B52" s="1" t="s">
        <v>66</v>
      </c>
      <c r="C52" s="13">
        <v>8000.0</v>
      </c>
      <c r="D52" s="1" t="s">
        <v>1</v>
      </c>
    </row>
    <row r="53">
      <c r="B53" s="1" t="s">
        <v>67</v>
      </c>
      <c r="C53" s="1">
        <v>0.7</v>
      </c>
      <c r="D53" s="1" t="s">
        <v>10</v>
      </c>
    </row>
    <row r="54">
      <c r="B54" s="1" t="s">
        <v>68</v>
      </c>
      <c r="C54" s="8">
        <f>C52*C37*C53</f>
        <v>310.6849315</v>
      </c>
      <c r="D54" s="1" t="s">
        <v>4</v>
      </c>
      <c r="E54" s="1" t="s">
        <v>69</v>
      </c>
    </row>
    <row r="55">
      <c r="B55" s="1" t="s">
        <v>70</v>
      </c>
      <c r="C55" s="14">
        <v>250000.0</v>
      </c>
      <c r="D55" s="1" t="s">
        <v>1</v>
      </c>
    </row>
    <row r="56">
      <c r="B56" s="1" t="s">
        <v>71</v>
      </c>
      <c r="C56" s="15">
        <f>C55*C37*C53</f>
        <v>9708.90411</v>
      </c>
      <c r="D56" s="1" t="s">
        <v>4</v>
      </c>
    </row>
    <row r="57">
      <c r="B57" s="1" t="s">
        <v>72</v>
      </c>
      <c r="C57" s="1">
        <v>20.0</v>
      </c>
    </row>
    <row r="58">
      <c r="B58" s="1" t="s">
        <v>73</v>
      </c>
      <c r="C58" s="3">
        <f>C52/C57</f>
        <v>400</v>
      </c>
    </row>
    <row r="59">
      <c r="B59" s="1" t="s">
        <v>74</v>
      </c>
      <c r="C59" s="3">
        <f>C55/C58</f>
        <v>625</v>
      </c>
    </row>
    <row r="61">
      <c r="B61" s="16" t="s">
        <v>75</v>
      </c>
      <c r="C61" s="17" t="s">
        <v>76</v>
      </c>
      <c r="D61" s="18" t="s">
        <v>77</v>
      </c>
      <c r="E61" s="19" t="s">
        <v>78</v>
      </c>
    </row>
    <row r="62">
      <c r="B62" s="16" t="s">
        <v>79</v>
      </c>
      <c r="C62" s="16">
        <v>12000.0</v>
      </c>
      <c r="D62" s="20">
        <f t="shared" ref="D62:E62" si="1">D63*D64</f>
        <v>1040</v>
      </c>
      <c r="E62" s="21">
        <f t="shared" si="1"/>
        <v>32500</v>
      </c>
    </row>
    <row r="63">
      <c r="B63" s="16" t="s">
        <v>80</v>
      </c>
      <c r="C63" s="16">
        <v>0.13</v>
      </c>
      <c r="D63" s="16">
        <v>0.13</v>
      </c>
      <c r="E63" s="16">
        <v>0.13</v>
      </c>
    </row>
    <row r="64">
      <c r="B64" s="16" t="s">
        <v>81</v>
      </c>
      <c r="C64" s="22">
        <f>C62/C63</f>
        <v>92307.69231</v>
      </c>
      <c r="D64" s="16">
        <v>8000.0</v>
      </c>
      <c r="E64" s="22">
        <f>C55</f>
        <v>250000</v>
      </c>
    </row>
    <row r="66">
      <c r="E66" s="11"/>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82</v>
      </c>
    </row>
    <row r="2">
      <c r="A2" s="1" t="s">
        <v>83</v>
      </c>
    </row>
    <row r="3">
      <c r="A3" s="1" t="s">
        <v>84</v>
      </c>
    </row>
    <row r="6">
      <c r="E6" s="23" t="s">
        <v>85</v>
      </c>
    </row>
    <row r="7">
      <c r="E7" s="24" t="s">
        <v>86</v>
      </c>
    </row>
    <row r="12">
      <c r="C12" s="1" t="s">
        <v>87</v>
      </c>
    </row>
    <row r="13">
      <c r="C13" s="1" t="s">
        <v>88</v>
      </c>
    </row>
    <row r="14">
      <c r="C14" s="1" t="s">
        <v>89</v>
      </c>
    </row>
    <row r="15">
      <c r="F15" s="1" t="s">
        <v>90</v>
      </c>
      <c r="G15" s="1" t="s">
        <v>91</v>
      </c>
    </row>
    <row r="16">
      <c r="F16" s="1" t="s">
        <v>92</v>
      </c>
      <c r="G16" s="1" t="s">
        <v>93</v>
      </c>
    </row>
    <row r="17">
      <c r="A17" s="1" t="s">
        <v>94</v>
      </c>
      <c r="F17" s="1" t="s">
        <v>95</v>
      </c>
    </row>
    <row r="18">
      <c r="A18" s="1" t="s">
        <v>96</v>
      </c>
      <c r="G18" s="1">
        <f>0.7*300</f>
        <v>210</v>
      </c>
    </row>
    <row r="19">
      <c r="A19" s="1" t="s">
        <v>97</v>
      </c>
    </row>
    <row r="20">
      <c r="A20" s="1" t="s">
        <v>98</v>
      </c>
    </row>
    <row r="21">
      <c r="A21" s="1" t="s">
        <v>99</v>
      </c>
    </row>
    <row r="22">
      <c r="A22" s="1" t="s">
        <v>99</v>
      </c>
    </row>
    <row r="24">
      <c r="E24" s="1" t="s">
        <v>100</v>
      </c>
    </row>
    <row r="27">
      <c r="E27" s="1" t="s">
        <v>101</v>
      </c>
    </row>
    <row r="29">
      <c r="E29" s="1" t="s">
        <v>102</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1.25"/>
    <col customWidth="1" min="2" max="2" width="29.13"/>
  </cols>
  <sheetData>
    <row r="1">
      <c r="A1" s="25" t="s">
        <v>103</v>
      </c>
      <c r="C1" s="25" t="s">
        <v>104</v>
      </c>
      <c r="F1" s="25" t="s">
        <v>105</v>
      </c>
    </row>
    <row r="2">
      <c r="A2" s="26"/>
      <c r="C2" s="26"/>
      <c r="F2" s="26"/>
    </row>
    <row r="3">
      <c r="A3" s="27" t="s">
        <v>106</v>
      </c>
      <c r="C3" s="27" t="s">
        <v>107</v>
      </c>
      <c r="F3" s="27" t="s">
        <v>108</v>
      </c>
    </row>
    <row r="4">
      <c r="A4" s="26"/>
      <c r="C4" s="26"/>
      <c r="F4" s="26"/>
    </row>
    <row r="5">
      <c r="A5" s="27" t="s">
        <v>109</v>
      </c>
      <c r="C5" s="27" t="s">
        <v>110</v>
      </c>
      <c r="F5" s="27" t="s">
        <v>111</v>
      </c>
    </row>
    <row r="6">
      <c r="A6" s="26"/>
      <c r="C6" s="26"/>
      <c r="F6" s="26"/>
    </row>
    <row r="7">
      <c r="A7" s="27" t="s">
        <v>112</v>
      </c>
      <c r="C7" s="27" t="s">
        <v>113</v>
      </c>
      <c r="F7" s="27" t="s">
        <v>114</v>
      </c>
    </row>
    <row r="8">
      <c r="A8" s="26"/>
      <c r="C8" s="26"/>
      <c r="F8" s="26"/>
    </row>
    <row r="9">
      <c r="A9" s="27" t="s">
        <v>115</v>
      </c>
      <c r="C9" s="27" t="s">
        <v>116</v>
      </c>
      <c r="F9" s="27" t="s">
        <v>117</v>
      </c>
    </row>
    <row r="10">
      <c r="A10" s="26"/>
      <c r="C10" s="26"/>
      <c r="F10" s="26"/>
    </row>
    <row r="11">
      <c r="A11" s="27" t="s">
        <v>118</v>
      </c>
      <c r="C11" s="27" t="s">
        <v>119</v>
      </c>
      <c r="F11" s="27" t="s">
        <v>120</v>
      </c>
    </row>
    <row r="12">
      <c r="A12" s="26"/>
      <c r="C12" s="27"/>
      <c r="F12" s="26"/>
    </row>
    <row r="13">
      <c r="A13" s="27" t="s">
        <v>121</v>
      </c>
      <c r="C13" s="27" t="s">
        <v>122</v>
      </c>
      <c r="F13" s="27" t="s">
        <v>123</v>
      </c>
    </row>
    <row r="14">
      <c r="A14" s="26"/>
      <c r="C14" s="27" t="s">
        <v>124</v>
      </c>
    </row>
    <row r="15">
      <c r="A15" s="27" t="s">
        <v>125</v>
      </c>
      <c r="C15" s="27"/>
      <c r="F15" s="25" t="s">
        <v>126</v>
      </c>
    </row>
    <row r="16">
      <c r="A16" s="26"/>
      <c r="C16" s="27" t="s">
        <v>127</v>
      </c>
      <c r="F16" s="28" t="s">
        <v>128</v>
      </c>
    </row>
    <row r="17">
      <c r="A17" s="27" t="s">
        <v>129</v>
      </c>
      <c r="C17" s="27"/>
      <c r="F17" s="29"/>
    </row>
    <row r="18">
      <c r="A18" s="25" t="s">
        <v>130</v>
      </c>
      <c r="C18" s="27" t="s">
        <v>131</v>
      </c>
      <c r="F18" s="28" t="s">
        <v>132</v>
      </c>
    </row>
    <row r="19">
      <c r="A19" s="26"/>
      <c r="C19" s="27"/>
      <c r="F19" s="29"/>
    </row>
    <row r="20">
      <c r="A20" s="27" t="s">
        <v>133</v>
      </c>
      <c r="C20" s="25" t="s">
        <v>134</v>
      </c>
      <c r="F20" s="28" t="s">
        <v>135</v>
      </c>
    </row>
    <row r="21">
      <c r="A21" s="26"/>
      <c r="C21" s="30"/>
      <c r="F21" s="29"/>
    </row>
    <row r="22">
      <c r="A22" s="27" t="s">
        <v>136</v>
      </c>
      <c r="C22" s="27" t="s">
        <v>137</v>
      </c>
      <c r="F22" s="28" t="s">
        <v>138</v>
      </c>
    </row>
    <row r="23">
      <c r="A23" s="26"/>
      <c r="C23" s="26"/>
      <c r="F23" s="25" t="s">
        <v>139</v>
      </c>
    </row>
    <row r="24">
      <c r="A24" s="27" t="s">
        <v>140</v>
      </c>
      <c r="C24" s="27" t="s">
        <v>141</v>
      </c>
      <c r="F24" s="26"/>
    </row>
    <row r="25">
      <c r="A25" s="26"/>
      <c r="C25" s="26"/>
      <c r="F25" s="27" t="s">
        <v>142</v>
      </c>
    </row>
    <row r="26">
      <c r="A26" s="27" t="s">
        <v>143</v>
      </c>
      <c r="C26" s="27" t="s">
        <v>144</v>
      </c>
      <c r="F26" s="26"/>
    </row>
    <row r="27">
      <c r="A27" s="26"/>
      <c r="C27" s="26"/>
      <c r="F27" s="27" t="s">
        <v>145</v>
      </c>
    </row>
    <row r="28">
      <c r="A28" s="27" t="s">
        <v>146</v>
      </c>
      <c r="C28" s="27" t="s">
        <v>147</v>
      </c>
      <c r="F28" s="26"/>
    </row>
    <row r="29">
      <c r="A29" s="26"/>
      <c r="C29" s="26"/>
      <c r="F29" s="27" t="s">
        <v>148</v>
      </c>
    </row>
    <row r="30">
      <c r="A30" s="27" t="s">
        <v>149</v>
      </c>
      <c r="C30" s="27" t="s">
        <v>150</v>
      </c>
      <c r="F30" s="26"/>
    </row>
    <row r="31">
      <c r="A31" s="25" t="s">
        <v>151</v>
      </c>
      <c r="C31" s="25" t="s">
        <v>152</v>
      </c>
      <c r="F31" s="27" t="s">
        <v>153</v>
      </c>
    </row>
    <row r="32">
      <c r="A32" s="26"/>
      <c r="C32" s="26"/>
      <c r="F32" s="26"/>
    </row>
    <row r="33">
      <c r="A33" s="27" t="s">
        <v>154</v>
      </c>
      <c r="C33" s="27" t="s">
        <v>155</v>
      </c>
      <c r="F33" s="27" t="s">
        <v>156</v>
      </c>
    </row>
    <row r="34">
      <c r="A34" s="26"/>
      <c r="C34" s="26"/>
    </row>
    <row r="35">
      <c r="A35" s="27" t="s">
        <v>157</v>
      </c>
      <c r="C35" s="27" t="s">
        <v>158</v>
      </c>
      <c r="F35" s="25" t="s">
        <v>159</v>
      </c>
    </row>
    <row r="36">
      <c r="A36" s="26"/>
      <c r="C36" s="26"/>
      <c r="F36" s="26"/>
    </row>
    <row r="37">
      <c r="A37" s="27" t="s">
        <v>160</v>
      </c>
      <c r="C37" s="27" t="s">
        <v>161</v>
      </c>
      <c r="F37" s="27" t="s">
        <v>162</v>
      </c>
    </row>
    <row r="38">
      <c r="A38" s="26"/>
      <c r="C38" s="26"/>
      <c r="F38" s="26"/>
    </row>
    <row r="39">
      <c r="A39" s="27" t="s">
        <v>163</v>
      </c>
      <c r="C39" s="27" t="s">
        <v>164</v>
      </c>
      <c r="F39" s="27" t="s">
        <v>165</v>
      </c>
    </row>
    <row r="40">
      <c r="A40" s="26"/>
      <c r="C40" s="26"/>
      <c r="F40" s="26"/>
    </row>
    <row r="41">
      <c r="A41" s="27" t="s">
        <v>166</v>
      </c>
      <c r="C41" s="27" t="s">
        <v>167</v>
      </c>
      <c r="F41" s="27" t="s">
        <v>168</v>
      </c>
    </row>
    <row r="42">
      <c r="A42" s="26"/>
      <c r="C42" s="26"/>
      <c r="F42" s="26"/>
    </row>
    <row r="43">
      <c r="A43" s="27" t="s">
        <v>169</v>
      </c>
      <c r="C43" s="27" t="s">
        <v>170</v>
      </c>
      <c r="F43" s="27" t="s">
        <v>171</v>
      </c>
    </row>
    <row r="44">
      <c r="A44" s="26"/>
      <c r="F44" s="26"/>
    </row>
    <row r="45">
      <c r="A45" s="27" t="s">
        <v>172</v>
      </c>
      <c r="C45" s="25" t="s">
        <v>173</v>
      </c>
      <c r="F45" s="27" t="s">
        <v>174</v>
      </c>
    </row>
    <row r="46">
      <c r="A46" s="26"/>
      <c r="C46" s="26"/>
      <c r="F46" s="25" t="s">
        <v>175</v>
      </c>
    </row>
    <row r="47">
      <c r="A47" s="27" t="s">
        <v>176</v>
      </c>
      <c r="C47" s="27" t="s">
        <v>177</v>
      </c>
      <c r="F47" s="26"/>
    </row>
    <row r="48">
      <c r="A48" s="25" t="s">
        <v>178</v>
      </c>
      <c r="C48" s="26"/>
      <c r="F48" s="27" t="s">
        <v>179</v>
      </c>
    </row>
    <row r="49">
      <c r="A49" s="26"/>
      <c r="C49" s="27" t="s">
        <v>180</v>
      </c>
      <c r="F49" s="26"/>
    </row>
    <row r="50">
      <c r="A50" s="27" t="s">
        <v>181</v>
      </c>
      <c r="C50" s="26"/>
      <c r="F50" s="27" t="s">
        <v>182</v>
      </c>
    </row>
    <row r="51">
      <c r="A51" s="26"/>
      <c r="C51" s="27" t="s">
        <v>183</v>
      </c>
      <c r="F51" s="26"/>
    </row>
    <row r="52">
      <c r="A52" s="27" t="s">
        <v>184</v>
      </c>
      <c r="C52" s="25" t="s">
        <v>185</v>
      </c>
      <c r="F52" s="27" t="s">
        <v>186</v>
      </c>
    </row>
    <row r="53">
      <c r="A53" s="26"/>
      <c r="C53" s="26"/>
      <c r="F53" s="26"/>
    </row>
    <row r="54">
      <c r="A54" s="27" t="s">
        <v>187</v>
      </c>
      <c r="C54" s="27" t="s">
        <v>188</v>
      </c>
      <c r="F54" s="27" t="s">
        <v>189</v>
      </c>
    </row>
    <row r="55">
      <c r="C55" s="26"/>
    </row>
    <row r="56">
      <c r="A56" s="25" t="s">
        <v>190</v>
      </c>
      <c r="C56" s="27" t="s">
        <v>191</v>
      </c>
      <c r="F56" s="25" t="s">
        <v>192</v>
      </c>
    </row>
    <row r="57">
      <c r="A57" s="26"/>
      <c r="C57" s="26"/>
      <c r="F57" s="26"/>
    </row>
    <row r="58">
      <c r="A58" s="27" t="s">
        <v>193</v>
      </c>
      <c r="C58" s="27" t="s">
        <v>194</v>
      </c>
      <c r="F58" s="27" t="s">
        <v>195</v>
      </c>
    </row>
    <row r="59">
      <c r="A59" s="26"/>
      <c r="F59" s="26"/>
    </row>
    <row r="60">
      <c r="A60" s="27" t="s">
        <v>196</v>
      </c>
      <c r="F60" s="27" t="s">
        <v>197</v>
      </c>
    </row>
    <row r="61">
      <c r="A61" s="25" t="s">
        <v>198</v>
      </c>
    </row>
    <row r="62">
      <c r="A62" s="26"/>
    </row>
    <row r="63">
      <c r="A63" s="27" t="s">
        <v>199</v>
      </c>
    </row>
    <row r="64">
      <c r="A64" s="26"/>
    </row>
    <row r="65">
      <c r="A65" s="27" t="s">
        <v>200</v>
      </c>
    </row>
    <row r="66">
      <c r="A66" s="26"/>
    </row>
    <row r="67">
      <c r="A67" s="27" t="s">
        <v>201</v>
      </c>
    </row>
    <row r="68">
      <c r="A68" s="26"/>
    </row>
    <row r="69">
      <c r="A69" s="27" t="s">
        <v>202</v>
      </c>
    </row>
    <row r="85">
      <c r="B85" s="31" t="s">
        <v>203</v>
      </c>
    </row>
    <row r="86">
      <c r="B86" s="32" t="s">
        <v>204</v>
      </c>
      <c r="C86" s="32" t="s">
        <v>205</v>
      </c>
      <c r="D86" s="32" t="s">
        <v>206</v>
      </c>
      <c r="E86" s="32" t="s">
        <v>207</v>
      </c>
    </row>
    <row r="87">
      <c r="B87" s="33" t="s">
        <v>208</v>
      </c>
      <c r="C87" s="33" t="s">
        <v>209</v>
      </c>
      <c r="D87" s="33" t="s">
        <v>209</v>
      </c>
      <c r="E87" s="33" t="s">
        <v>210</v>
      </c>
    </row>
    <row r="88">
      <c r="B88" s="33" t="s">
        <v>211</v>
      </c>
      <c r="C88" s="33" t="s">
        <v>209</v>
      </c>
      <c r="D88" s="33" t="s">
        <v>209</v>
      </c>
      <c r="E88" s="33" t="s">
        <v>212</v>
      </c>
    </row>
    <row r="89">
      <c r="B89" s="33" t="s">
        <v>213</v>
      </c>
      <c r="C89" s="33" t="s">
        <v>209</v>
      </c>
      <c r="D89" s="33" t="s">
        <v>209</v>
      </c>
      <c r="E89" s="33" t="s">
        <v>214</v>
      </c>
    </row>
    <row r="90">
      <c r="B90" s="33" t="s">
        <v>215</v>
      </c>
      <c r="C90" s="33" t="s">
        <v>209</v>
      </c>
      <c r="D90" s="33" t="s">
        <v>209</v>
      </c>
      <c r="E90" s="33" t="s">
        <v>209</v>
      </c>
    </row>
    <row r="91">
      <c r="B91" s="33" t="s">
        <v>216</v>
      </c>
      <c r="C91" s="33" t="s">
        <v>209</v>
      </c>
      <c r="D91" s="33" t="s">
        <v>209</v>
      </c>
      <c r="E91" s="33" t="s">
        <v>209</v>
      </c>
    </row>
    <row r="92">
      <c r="B92" s="33" t="s">
        <v>217</v>
      </c>
      <c r="C92" s="33" t="s">
        <v>209</v>
      </c>
      <c r="D92" s="33" t="s">
        <v>214</v>
      </c>
      <c r="E92" s="33" t="s">
        <v>209</v>
      </c>
    </row>
    <row r="93">
      <c r="B93" s="33" t="s">
        <v>218</v>
      </c>
      <c r="C93" s="33" t="s">
        <v>214</v>
      </c>
      <c r="D93" s="33" t="s">
        <v>214</v>
      </c>
      <c r="E93" s="33" t="s">
        <v>219</v>
      </c>
    </row>
    <row r="94">
      <c r="B94" s="33" t="s">
        <v>220</v>
      </c>
      <c r="C94" s="33" t="s">
        <v>209</v>
      </c>
      <c r="D94" s="33" t="s">
        <v>209</v>
      </c>
      <c r="E94" s="33" t="s">
        <v>209</v>
      </c>
    </row>
    <row r="95">
      <c r="B95" s="33" t="s">
        <v>221</v>
      </c>
      <c r="C95" s="33" t="s">
        <v>209</v>
      </c>
      <c r="D95" s="33" t="s">
        <v>209</v>
      </c>
      <c r="E95" s="33" t="s">
        <v>209</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25"/>
    <col customWidth="1" min="2" max="2" width="37.0"/>
    <col customWidth="1" min="4" max="4" width="24.13"/>
    <col customWidth="1" min="5" max="5" width="45.5"/>
    <col customWidth="1" min="7" max="7" width="25.38"/>
  </cols>
  <sheetData>
    <row r="1">
      <c r="A1" s="1" t="s">
        <v>56</v>
      </c>
      <c r="B1" s="1"/>
      <c r="D1" s="1" t="s">
        <v>222</v>
      </c>
      <c r="E1" s="1"/>
      <c r="G1" s="1" t="s">
        <v>55</v>
      </c>
      <c r="H1" s="1"/>
    </row>
    <row r="2">
      <c r="A2" s="1" t="s">
        <v>223</v>
      </c>
      <c r="B2" s="1" t="s">
        <v>224</v>
      </c>
      <c r="D2" s="1" t="s">
        <v>223</v>
      </c>
      <c r="E2" s="1" t="s">
        <v>224</v>
      </c>
      <c r="G2" s="1" t="s">
        <v>223</v>
      </c>
      <c r="H2" s="1" t="s">
        <v>224</v>
      </c>
    </row>
    <row r="3">
      <c r="A3" s="1" t="s">
        <v>225</v>
      </c>
      <c r="B3" s="1" t="s">
        <v>106</v>
      </c>
      <c r="D3" s="1" t="s">
        <v>226</v>
      </c>
      <c r="E3" s="1" t="s">
        <v>107</v>
      </c>
      <c r="G3" s="1" t="s">
        <v>227</v>
      </c>
      <c r="H3" s="1" t="s">
        <v>108</v>
      </c>
    </row>
    <row r="4">
      <c r="A4" s="1" t="s">
        <v>225</v>
      </c>
      <c r="B4" s="1" t="s">
        <v>109</v>
      </c>
      <c r="D4" s="1" t="s">
        <v>226</v>
      </c>
      <c r="E4" s="1" t="s">
        <v>110</v>
      </c>
      <c r="G4" s="1" t="s">
        <v>227</v>
      </c>
      <c r="H4" s="1" t="s">
        <v>111</v>
      </c>
    </row>
    <row r="5">
      <c r="A5" s="1" t="s">
        <v>225</v>
      </c>
      <c r="B5" s="1" t="s">
        <v>112</v>
      </c>
      <c r="D5" s="1" t="s">
        <v>226</v>
      </c>
      <c r="E5" s="1" t="s">
        <v>113</v>
      </c>
      <c r="G5" s="1" t="s">
        <v>227</v>
      </c>
      <c r="H5" s="1" t="s">
        <v>114</v>
      </c>
    </row>
    <row r="6">
      <c r="A6" s="1" t="s">
        <v>225</v>
      </c>
      <c r="B6" s="1" t="s">
        <v>115</v>
      </c>
      <c r="D6" s="1" t="s">
        <v>226</v>
      </c>
      <c r="E6" s="1" t="s">
        <v>116</v>
      </c>
      <c r="G6" s="1" t="s">
        <v>227</v>
      </c>
      <c r="H6" s="1" t="s">
        <v>117</v>
      </c>
    </row>
    <row r="7">
      <c r="A7" s="1" t="s">
        <v>225</v>
      </c>
      <c r="B7" s="1" t="s">
        <v>118</v>
      </c>
      <c r="D7" s="1" t="s">
        <v>226</v>
      </c>
      <c r="E7" s="1" t="s">
        <v>119</v>
      </c>
      <c r="G7" s="1" t="s">
        <v>227</v>
      </c>
      <c r="H7" s="1" t="s">
        <v>120</v>
      </c>
    </row>
    <row r="8">
      <c r="A8" s="1" t="s">
        <v>225</v>
      </c>
      <c r="B8" s="1" t="s">
        <v>121</v>
      </c>
      <c r="D8" s="1" t="s">
        <v>226</v>
      </c>
      <c r="E8" s="1" t="s">
        <v>228</v>
      </c>
      <c r="G8" s="1" t="s">
        <v>227</v>
      </c>
      <c r="H8" s="1" t="s">
        <v>123</v>
      </c>
    </row>
    <row r="9">
      <c r="A9" s="1" t="s">
        <v>225</v>
      </c>
      <c r="B9" s="1" t="s">
        <v>125</v>
      </c>
      <c r="D9" s="1" t="s">
        <v>226</v>
      </c>
      <c r="E9" s="1" t="s">
        <v>127</v>
      </c>
      <c r="G9" s="1" t="s">
        <v>229</v>
      </c>
      <c r="H9" s="1" t="s">
        <v>128</v>
      </c>
    </row>
    <row r="10">
      <c r="A10" s="1" t="s">
        <v>225</v>
      </c>
      <c r="B10" s="1" t="s">
        <v>129</v>
      </c>
      <c r="D10" s="1" t="s">
        <v>226</v>
      </c>
      <c r="E10" s="1" t="s">
        <v>131</v>
      </c>
      <c r="G10" s="1" t="s">
        <v>229</v>
      </c>
      <c r="H10" s="1" t="s">
        <v>132</v>
      </c>
    </row>
    <row r="11">
      <c r="A11" s="1" t="s">
        <v>230</v>
      </c>
      <c r="B11" s="1" t="s">
        <v>133</v>
      </c>
      <c r="D11" s="1" t="s">
        <v>231</v>
      </c>
      <c r="E11" s="1" t="s">
        <v>137</v>
      </c>
      <c r="G11" s="1" t="s">
        <v>229</v>
      </c>
      <c r="H11" s="1" t="s">
        <v>135</v>
      </c>
    </row>
    <row r="12">
      <c r="A12" s="1" t="s">
        <v>230</v>
      </c>
      <c r="B12" s="1" t="s">
        <v>136</v>
      </c>
      <c r="D12" s="1" t="s">
        <v>231</v>
      </c>
      <c r="E12" s="1" t="s">
        <v>141</v>
      </c>
      <c r="G12" s="1" t="s">
        <v>229</v>
      </c>
      <c r="H12" s="1" t="s">
        <v>138</v>
      </c>
    </row>
    <row r="13">
      <c r="A13" s="1" t="s">
        <v>230</v>
      </c>
      <c r="B13" s="1" t="s">
        <v>140</v>
      </c>
      <c r="D13" s="1" t="s">
        <v>231</v>
      </c>
      <c r="E13" s="1" t="s">
        <v>144</v>
      </c>
      <c r="G13" s="1" t="s">
        <v>232</v>
      </c>
      <c r="H13" s="1" t="s">
        <v>142</v>
      </c>
    </row>
    <row r="14">
      <c r="A14" s="1" t="s">
        <v>230</v>
      </c>
      <c r="B14" s="1" t="s">
        <v>143</v>
      </c>
      <c r="D14" s="1" t="s">
        <v>231</v>
      </c>
      <c r="E14" s="1" t="s">
        <v>147</v>
      </c>
      <c r="G14" s="1" t="s">
        <v>232</v>
      </c>
      <c r="H14" s="1" t="s">
        <v>145</v>
      </c>
    </row>
    <row r="15">
      <c r="A15" s="1" t="s">
        <v>230</v>
      </c>
      <c r="B15" s="1" t="s">
        <v>146</v>
      </c>
      <c r="D15" s="1" t="s">
        <v>231</v>
      </c>
      <c r="E15" s="1" t="s">
        <v>150</v>
      </c>
      <c r="G15" s="1" t="s">
        <v>232</v>
      </c>
      <c r="H15" s="1" t="s">
        <v>148</v>
      </c>
    </row>
    <row r="16">
      <c r="A16" s="1" t="s">
        <v>230</v>
      </c>
      <c r="B16" s="1" t="s">
        <v>149</v>
      </c>
      <c r="D16" s="1" t="s">
        <v>233</v>
      </c>
      <c r="E16" s="1" t="s">
        <v>155</v>
      </c>
      <c r="G16" s="1" t="s">
        <v>232</v>
      </c>
      <c r="H16" s="1" t="s">
        <v>153</v>
      </c>
    </row>
    <row r="17">
      <c r="A17" s="1" t="s">
        <v>234</v>
      </c>
      <c r="B17" s="1" t="s">
        <v>154</v>
      </c>
      <c r="D17" s="1" t="s">
        <v>233</v>
      </c>
      <c r="E17" s="1" t="s">
        <v>158</v>
      </c>
      <c r="G17" s="1" t="s">
        <v>232</v>
      </c>
      <c r="H17" s="1" t="s">
        <v>156</v>
      </c>
    </row>
    <row r="18">
      <c r="A18" s="1" t="s">
        <v>234</v>
      </c>
      <c r="B18" s="1" t="s">
        <v>157</v>
      </c>
      <c r="D18" s="1" t="s">
        <v>233</v>
      </c>
      <c r="E18" s="1" t="s">
        <v>161</v>
      </c>
      <c r="G18" s="1" t="s">
        <v>235</v>
      </c>
      <c r="H18" s="1" t="s">
        <v>162</v>
      </c>
    </row>
    <row r="19">
      <c r="A19" s="1" t="s">
        <v>234</v>
      </c>
      <c r="B19" s="1" t="s">
        <v>160</v>
      </c>
      <c r="D19" s="1" t="s">
        <v>233</v>
      </c>
      <c r="E19" s="1" t="s">
        <v>164</v>
      </c>
      <c r="G19" s="1" t="s">
        <v>235</v>
      </c>
      <c r="H19" s="1" t="s">
        <v>165</v>
      </c>
    </row>
    <row r="20">
      <c r="A20" s="1" t="s">
        <v>234</v>
      </c>
      <c r="B20" s="1" t="s">
        <v>163</v>
      </c>
      <c r="D20" s="1" t="s">
        <v>233</v>
      </c>
      <c r="E20" s="1" t="s">
        <v>167</v>
      </c>
      <c r="G20" s="1" t="s">
        <v>235</v>
      </c>
      <c r="H20" s="1" t="s">
        <v>168</v>
      </c>
    </row>
    <row r="21">
      <c r="A21" s="1" t="s">
        <v>234</v>
      </c>
      <c r="B21" s="1" t="s">
        <v>166</v>
      </c>
      <c r="D21" s="1" t="s">
        <v>233</v>
      </c>
      <c r="E21" s="1" t="s">
        <v>170</v>
      </c>
      <c r="G21" s="1" t="s">
        <v>235</v>
      </c>
      <c r="H21" s="1" t="s">
        <v>171</v>
      </c>
    </row>
    <row r="22">
      <c r="A22" s="1" t="s">
        <v>234</v>
      </c>
      <c r="B22" s="1" t="s">
        <v>169</v>
      </c>
      <c r="D22" s="1" t="s">
        <v>236</v>
      </c>
      <c r="E22" s="1" t="s">
        <v>177</v>
      </c>
      <c r="G22" s="1" t="s">
        <v>235</v>
      </c>
      <c r="H22" s="1" t="s">
        <v>174</v>
      </c>
    </row>
    <row r="23">
      <c r="A23" s="1" t="s">
        <v>234</v>
      </c>
      <c r="B23" s="1" t="s">
        <v>172</v>
      </c>
      <c r="D23" s="1" t="s">
        <v>236</v>
      </c>
      <c r="E23" s="1" t="s">
        <v>180</v>
      </c>
      <c r="G23" s="1" t="s">
        <v>237</v>
      </c>
      <c r="H23" s="1" t="s">
        <v>179</v>
      </c>
    </row>
    <row r="24">
      <c r="A24" s="1" t="s">
        <v>234</v>
      </c>
      <c r="B24" s="1" t="s">
        <v>176</v>
      </c>
      <c r="D24" s="1" t="s">
        <v>236</v>
      </c>
      <c r="E24" s="1" t="s">
        <v>183</v>
      </c>
      <c r="G24" s="1" t="s">
        <v>237</v>
      </c>
      <c r="H24" s="1" t="s">
        <v>182</v>
      </c>
    </row>
    <row r="25">
      <c r="A25" s="1" t="s">
        <v>238</v>
      </c>
      <c r="B25" s="1" t="s">
        <v>181</v>
      </c>
      <c r="D25" s="1" t="s">
        <v>239</v>
      </c>
      <c r="E25" s="1" t="s">
        <v>188</v>
      </c>
      <c r="G25" s="1" t="s">
        <v>237</v>
      </c>
      <c r="H25" s="1" t="s">
        <v>186</v>
      </c>
    </row>
    <row r="26">
      <c r="A26" s="1" t="s">
        <v>238</v>
      </c>
      <c r="B26" s="1" t="s">
        <v>184</v>
      </c>
      <c r="D26" s="1" t="s">
        <v>239</v>
      </c>
      <c r="E26" s="1" t="s">
        <v>191</v>
      </c>
      <c r="G26" s="1" t="s">
        <v>237</v>
      </c>
      <c r="H26" s="1" t="s">
        <v>189</v>
      </c>
    </row>
    <row r="27">
      <c r="A27" s="1" t="s">
        <v>238</v>
      </c>
      <c r="B27" s="1" t="s">
        <v>187</v>
      </c>
      <c r="D27" s="1" t="s">
        <v>239</v>
      </c>
      <c r="E27" s="1" t="s">
        <v>194</v>
      </c>
      <c r="G27" s="1" t="s">
        <v>240</v>
      </c>
      <c r="H27" s="1" t="s">
        <v>195</v>
      </c>
    </row>
    <row r="28">
      <c r="A28" s="1" t="s">
        <v>241</v>
      </c>
      <c r="B28" s="1" t="s">
        <v>193</v>
      </c>
      <c r="G28" s="1" t="s">
        <v>240</v>
      </c>
      <c r="H28" s="1" t="s">
        <v>197</v>
      </c>
    </row>
    <row r="29">
      <c r="A29" s="1" t="s">
        <v>241</v>
      </c>
      <c r="B29" s="1" t="s">
        <v>196</v>
      </c>
    </row>
    <row r="30">
      <c r="A30" s="1" t="s">
        <v>242</v>
      </c>
      <c r="B30" s="1" t="s">
        <v>199</v>
      </c>
    </row>
    <row r="31">
      <c r="A31" s="1" t="s">
        <v>242</v>
      </c>
      <c r="B31" s="1" t="s">
        <v>200</v>
      </c>
    </row>
    <row r="32">
      <c r="A32" s="1" t="s">
        <v>242</v>
      </c>
      <c r="B32" s="1" t="s">
        <v>201</v>
      </c>
    </row>
    <row r="33">
      <c r="A33" s="1" t="s">
        <v>242</v>
      </c>
      <c r="B33" s="1" t="s">
        <v>202</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25.13"/>
    <col customWidth="1" min="6" max="6" width="49.88"/>
  </cols>
  <sheetData>
    <row r="1">
      <c r="A1" s="1" t="s">
        <v>243</v>
      </c>
      <c r="B1" s="1" t="s">
        <v>244</v>
      </c>
      <c r="C1" s="1" t="s">
        <v>243</v>
      </c>
      <c r="D1" s="1" t="s">
        <v>223</v>
      </c>
      <c r="E1" s="1" t="s">
        <v>243</v>
      </c>
      <c r="F1" s="1" t="s">
        <v>224</v>
      </c>
      <c r="G1" s="1" t="s">
        <v>243</v>
      </c>
    </row>
    <row r="2">
      <c r="A2" s="1" t="s">
        <v>243</v>
      </c>
      <c r="B2" s="1" t="s">
        <v>245</v>
      </c>
      <c r="C2" s="1" t="s">
        <v>243</v>
      </c>
      <c r="D2" s="1" t="s">
        <v>246</v>
      </c>
      <c r="E2" s="1" t="s">
        <v>243</v>
      </c>
      <c r="F2" s="1" t="s">
        <v>247</v>
      </c>
      <c r="G2" s="1" t="s">
        <v>243</v>
      </c>
    </row>
    <row r="3">
      <c r="A3" s="1" t="s">
        <v>243</v>
      </c>
      <c r="B3" s="1">
        <v>1.0</v>
      </c>
      <c r="C3" s="1" t="s">
        <v>243</v>
      </c>
      <c r="D3" s="1" t="s">
        <v>248</v>
      </c>
      <c r="E3" s="1" t="s">
        <v>243</v>
      </c>
      <c r="F3" s="1" t="s">
        <v>249</v>
      </c>
      <c r="G3" s="1" t="s">
        <v>243</v>
      </c>
    </row>
    <row r="4">
      <c r="A4" s="1" t="s">
        <v>243</v>
      </c>
      <c r="B4" s="1">
        <v>2.0</v>
      </c>
      <c r="C4" s="1" t="s">
        <v>243</v>
      </c>
      <c r="D4" s="1" t="s">
        <v>226</v>
      </c>
      <c r="E4" s="1" t="s">
        <v>243</v>
      </c>
      <c r="F4" s="1" t="s">
        <v>250</v>
      </c>
      <c r="G4" s="1" t="s">
        <v>243</v>
      </c>
    </row>
    <row r="5">
      <c r="A5" s="1" t="s">
        <v>243</v>
      </c>
      <c r="B5" s="1">
        <v>3.0</v>
      </c>
      <c r="C5" s="1" t="s">
        <v>243</v>
      </c>
      <c r="D5" s="1" t="s">
        <v>226</v>
      </c>
      <c r="E5" s="1" t="s">
        <v>243</v>
      </c>
      <c r="F5" s="1" t="s">
        <v>251</v>
      </c>
      <c r="G5" s="1" t="s">
        <v>243</v>
      </c>
    </row>
    <row r="6">
      <c r="A6" s="1" t="s">
        <v>243</v>
      </c>
      <c r="B6" s="1">
        <v>4.0</v>
      </c>
      <c r="C6" s="1" t="s">
        <v>243</v>
      </c>
      <c r="D6" s="1" t="s">
        <v>231</v>
      </c>
      <c r="E6" s="1" t="s">
        <v>243</v>
      </c>
      <c r="F6" s="1" t="s">
        <v>252</v>
      </c>
      <c r="G6" s="1" t="s">
        <v>243</v>
      </c>
    </row>
    <row r="7">
      <c r="A7" s="1" t="s">
        <v>243</v>
      </c>
      <c r="B7" s="1">
        <v>5.0</v>
      </c>
      <c r="C7" s="1" t="s">
        <v>243</v>
      </c>
      <c r="D7" s="1" t="s">
        <v>226</v>
      </c>
      <c r="E7" s="1" t="s">
        <v>243</v>
      </c>
      <c r="F7" s="1" t="s">
        <v>253</v>
      </c>
      <c r="G7" s="1" t="s">
        <v>243</v>
      </c>
    </row>
    <row r="8">
      <c r="A8" s="1" t="s">
        <v>243</v>
      </c>
      <c r="B8" s="1">
        <v>6.0</v>
      </c>
      <c r="C8" s="1" t="s">
        <v>243</v>
      </c>
      <c r="D8" s="1" t="s">
        <v>226</v>
      </c>
      <c r="E8" s="1" t="s">
        <v>243</v>
      </c>
      <c r="F8" s="1" t="s">
        <v>254</v>
      </c>
      <c r="G8" s="1" t="s">
        <v>243</v>
      </c>
    </row>
    <row r="9">
      <c r="A9" s="1" t="s">
        <v>243</v>
      </c>
      <c r="B9" s="1">
        <v>7.0</v>
      </c>
      <c r="C9" s="1" t="s">
        <v>243</v>
      </c>
      <c r="D9" s="1" t="s">
        <v>233</v>
      </c>
      <c r="E9" s="1" t="s">
        <v>243</v>
      </c>
      <c r="F9" s="1" t="s">
        <v>255</v>
      </c>
      <c r="G9" s="1" t="s">
        <v>243</v>
      </c>
    </row>
    <row r="10">
      <c r="A10" s="1" t="s">
        <v>243</v>
      </c>
      <c r="B10" s="1">
        <v>8.0</v>
      </c>
      <c r="C10" s="1" t="s">
        <v>243</v>
      </c>
      <c r="D10" s="1" t="s">
        <v>233</v>
      </c>
      <c r="E10" s="1" t="s">
        <v>243</v>
      </c>
      <c r="F10" s="1" t="s">
        <v>256</v>
      </c>
      <c r="G10" s="1" t="s">
        <v>243</v>
      </c>
    </row>
    <row r="11">
      <c r="A11" s="1" t="s">
        <v>243</v>
      </c>
      <c r="B11" s="1">
        <v>9.0</v>
      </c>
      <c r="C11" s="1" t="s">
        <v>243</v>
      </c>
      <c r="D11" s="1" t="s">
        <v>233</v>
      </c>
      <c r="E11" s="1" t="s">
        <v>243</v>
      </c>
      <c r="F11" s="1" t="s">
        <v>257</v>
      </c>
      <c r="G11" s="1" t="s">
        <v>243</v>
      </c>
    </row>
    <row r="12">
      <c r="A12" s="1" t="s">
        <v>243</v>
      </c>
      <c r="B12" s="1">
        <v>10.0</v>
      </c>
      <c r="C12" s="1" t="s">
        <v>243</v>
      </c>
      <c r="D12" s="1" t="s">
        <v>231</v>
      </c>
      <c r="E12" s="1" t="s">
        <v>243</v>
      </c>
      <c r="F12" s="1" t="s">
        <v>258</v>
      </c>
      <c r="G12" s="1" t="s">
        <v>243</v>
      </c>
    </row>
    <row r="13">
      <c r="A13" s="1" t="s">
        <v>243</v>
      </c>
      <c r="B13" s="1">
        <v>11.0</v>
      </c>
      <c r="C13" s="1" t="s">
        <v>243</v>
      </c>
      <c r="D13" s="1" t="s">
        <v>231</v>
      </c>
      <c r="E13" s="1" t="s">
        <v>243</v>
      </c>
      <c r="F13" s="1" t="s">
        <v>259</v>
      </c>
      <c r="G13" s="1" t="s">
        <v>243</v>
      </c>
    </row>
    <row r="14">
      <c r="A14" s="1" t="s">
        <v>243</v>
      </c>
      <c r="B14" s="1">
        <v>12.0</v>
      </c>
      <c r="C14" s="1" t="s">
        <v>243</v>
      </c>
      <c r="D14" s="1" t="s">
        <v>226</v>
      </c>
      <c r="E14" s="1" t="s">
        <v>243</v>
      </c>
      <c r="F14" s="1" t="s">
        <v>260</v>
      </c>
      <c r="G14" s="1" t="s">
        <v>243</v>
      </c>
    </row>
    <row r="15">
      <c r="A15" s="1" t="s">
        <v>243</v>
      </c>
      <c r="B15" s="1">
        <v>13.0</v>
      </c>
      <c r="C15" s="1" t="s">
        <v>243</v>
      </c>
      <c r="D15" s="1" t="s">
        <v>233</v>
      </c>
      <c r="E15" s="1" t="s">
        <v>243</v>
      </c>
      <c r="F15" s="1" t="s">
        <v>261</v>
      </c>
      <c r="G15" s="1" t="s">
        <v>243</v>
      </c>
    </row>
    <row r="16">
      <c r="A16" s="1" t="s">
        <v>243</v>
      </c>
      <c r="B16" s="1">
        <v>14.0</v>
      </c>
      <c r="C16" s="1" t="s">
        <v>243</v>
      </c>
      <c r="D16" s="1" t="s">
        <v>233</v>
      </c>
      <c r="E16" s="1" t="s">
        <v>243</v>
      </c>
      <c r="F16" s="1" t="s">
        <v>262</v>
      </c>
      <c r="G16" s="1" t="s">
        <v>243</v>
      </c>
    </row>
    <row r="17">
      <c r="A17" s="1" t="s">
        <v>243</v>
      </c>
      <c r="B17" s="1">
        <v>15.0</v>
      </c>
      <c r="C17" s="1" t="s">
        <v>243</v>
      </c>
      <c r="D17" s="1" t="s">
        <v>226</v>
      </c>
      <c r="E17" s="1" t="s">
        <v>243</v>
      </c>
      <c r="F17" s="1" t="s">
        <v>263</v>
      </c>
      <c r="G17" s="1" t="s">
        <v>243</v>
      </c>
    </row>
    <row r="18">
      <c r="A18" s="1" t="s">
        <v>243</v>
      </c>
      <c r="B18" s="1">
        <v>16.0</v>
      </c>
      <c r="C18" s="1" t="s">
        <v>243</v>
      </c>
      <c r="D18" s="1" t="s">
        <v>226</v>
      </c>
      <c r="E18" s="1" t="s">
        <v>243</v>
      </c>
      <c r="F18" s="1" t="s">
        <v>264</v>
      </c>
      <c r="G18" s="1" t="s">
        <v>243</v>
      </c>
    </row>
    <row r="19">
      <c r="A19" s="1" t="s">
        <v>243</v>
      </c>
      <c r="B19" s="1">
        <v>17.0</v>
      </c>
      <c r="C19" s="1" t="s">
        <v>243</v>
      </c>
      <c r="D19" s="1" t="s">
        <v>265</v>
      </c>
      <c r="E19" s="1" t="s">
        <v>243</v>
      </c>
      <c r="F19" s="1" t="s">
        <v>266</v>
      </c>
      <c r="G19" s="1" t="s">
        <v>243</v>
      </c>
    </row>
    <row r="20">
      <c r="A20" s="1" t="s">
        <v>243</v>
      </c>
      <c r="B20" s="1">
        <v>18.0</v>
      </c>
      <c r="C20" s="1" t="s">
        <v>243</v>
      </c>
      <c r="D20" s="1" t="s">
        <v>265</v>
      </c>
      <c r="E20" s="1" t="s">
        <v>243</v>
      </c>
      <c r="F20" s="1" t="s">
        <v>267</v>
      </c>
      <c r="G20" s="1" t="s">
        <v>243</v>
      </c>
    </row>
    <row r="21">
      <c r="A21" s="1" t="s">
        <v>243</v>
      </c>
      <c r="B21" s="1">
        <v>19.0</v>
      </c>
      <c r="C21" s="1" t="s">
        <v>243</v>
      </c>
      <c r="D21" s="1" t="s">
        <v>268</v>
      </c>
      <c r="E21" s="1" t="s">
        <v>243</v>
      </c>
      <c r="F21" s="1" t="s">
        <v>269</v>
      </c>
      <c r="G21" s="1" t="s">
        <v>243</v>
      </c>
    </row>
    <row r="22">
      <c r="A22" s="1" t="s">
        <v>243</v>
      </c>
      <c r="B22" s="1">
        <v>20.0</v>
      </c>
      <c r="C22" s="1" t="s">
        <v>243</v>
      </c>
      <c r="D22" s="1" t="s">
        <v>239</v>
      </c>
      <c r="E22" s="1" t="s">
        <v>243</v>
      </c>
      <c r="F22" s="1" t="s">
        <v>270</v>
      </c>
      <c r="G22" s="1" t="s">
        <v>243</v>
      </c>
    </row>
    <row r="23">
      <c r="A23" s="1" t="s">
        <v>243</v>
      </c>
      <c r="B23" s="1">
        <v>21.0</v>
      </c>
      <c r="C23" s="1" t="s">
        <v>243</v>
      </c>
      <c r="D23" s="1" t="s">
        <v>239</v>
      </c>
      <c r="E23" s="1" t="s">
        <v>243</v>
      </c>
      <c r="F23" s="1" t="s">
        <v>271</v>
      </c>
      <c r="G23" s="1" t="s">
        <v>243</v>
      </c>
    </row>
    <row r="24">
      <c r="A24" s="1" t="s">
        <v>243</v>
      </c>
      <c r="B24" s="1">
        <v>22.0</v>
      </c>
      <c r="C24" s="1" t="s">
        <v>243</v>
      </c>
      <c r="D24" s="1" t="s">
        <v>239</v>
      </c>
      <c r="E24" s="1" t="s">
        <v>243</v>
      </c>
      <c r="F24" s="1" t="s">
        <v>272</v>
      </c>
      <c r="G24" s="1" t="s">
        <v>243</v>
      </c>
    </row>
    <row r="25">
      <c r="A25" s="1" t="s">
        <v>243</v>
      </c>
      <c r="B25" s="1">
        <v>23.0</v>
      </c>
      <c r="C25" s="1" t="s">
        <v>243</v>
      </c>
      <c r="D25" s="1" t="s">
        <v>231</v>
      </c>
      <c r="E25" s="1" t="s">
        <v>243</v>
      </c>
      <c r="F25" s="1" t="s">
        <v>273</v>
      </c>
      <c r="G25" s="1" t="s">
        <v>243</v>
      </c>
    </row>
    <row r="26">
      <c r="A26" s="1" t="s">
        <v>243</v>
      </c>
      <c r="B26" s="1">
        <v>24.0</v>
      </c>
      <c r="C26" s="1" t="s">
        <v>243</v>
      </c>
      <c r="D26" s="1" t="s">
        <v>231</v>
      </c>
      <c r="E26" s="1" t="s">
        <v>243</v>
      </c>
      <c r="F26" s="1" t="s">
        <v>274</v>
      </c>
      <c r="G26" s="1" t="s">
        <v>243</v>
      </c>
    </row>
    <row r="27">
      <c r="A27" s="1" t="s">
        <v>243</v>
      </c>
      <c r="B27" s="1">
        <v>25.0</v>
      </c>
      <c r="C27" s="1" t="s">
        <v>243</v>
      </c>
      <c r="D27" s="1" t="s">
        <v>226</v>
      </c>
      <c r="E27" s="1" t="s">
        <v>243</v>
      </c>
      <c r="F27" s="1" t="s">
        <v>275</v>
      </c>
      <c r="G27" s="1" t="s">
        <v>243</v>
      </c>
    </row>
    <row r="28">
      <c r="A28" s="1" t="s">
        <v>243</v>
      </c>
      <c r="B28" s="1">
        <v>26.0</v>
      </c>
      <c r="C28" s="1" t="s">
        <v>243</v>
      </c>
      <c r="D28" s="1" t="s">
        <v>233</v>
      </c>
      <c r="E28" s="1" t="s">
        <v>243</v>
      </c>
      <c r="F28" s="1" t="s">
        <v>276</v>
      </c>
      <c r="G28" s="1" t="s">
        <v>243</v>
      </c>
    </row>
    <row r="29">
      <c r="A29" s="1" t="s">
        <v>243</v>
      </c>
      <c r="B29" s="1">
        <v>27.0</v>
      </c>
      <c r="C29" s="1" t="s">
        <v>243</v>
      </c>
      <c r="D29" s="1" t="s">
        <v>226</v>
      </c>
      <c r="E29" s="1" t="s">
        <v>243</v>
      </c>
      <c r="F29" s="1" t="s">
        <v>277</v>
      </c>
      <c r="G29" s="1" t="s">
        <v>243</v>
      </c>
    </row>
    <row r="30">
      <c r="A30" s="1" t="s">
        <v>243</v>
      </c>
      <c r="B30" s="1">
        <v>28.0</v>
      </c>
      <c r="C30" s="1" t="s">
        <v>243</v>
      </c>
      <c r="D30" s="1" t="s">
        <v>268</v>
      </c>
      <c r="E30" s="1" t="s">
        <v>243</v>
      </c>
      <c r="F30" s="1" t="s">
        <v>278</v>
      </c>
      <c r="G30" s="1" t="s">
        <v>243</v>
      </c>
    </row>
    <row r="31">
      <c r="A31" s="1" t="s">
        <v>243</v>
      </c>
      <c r="B31" s="1">
        <v>29.0</v>
      </c>
      <c r="C31" s="1" t="s">
        <v>243</v>
      </c>
      <c r="D31" s="1" t="s">
        <v>239</v>
      </c>
      <c r="E31" s="1" t="s">
        <v>243</v>
      </c>
      <c r="F31" s="1" t="s">
        <v>279</v>
      </c>
      <c r="G31" s="1" t="s">
        <v>243</v>
      </c>
    </row>
    <row r="32">
      <c r="A32" s="1" t="s">
        <v>243</v>
      </c>
      <c r="B32" s="1">
        <v>30.0</v>
      </c>
      <c r="C32" s="1" t="s">
        <v>243</v>
      </c>
      <c r="D32" s="1" t="s">
        <v>233</v>
      </c>
      <c r="E32" s="1" t="s">
        <v>243</v>
      </c>
      <c r="F32" s="1" t="s">
        <v>280</v>
      </c>
      <c r="G32" s="1" t="s">
        <v>243</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281</v>
      </c>
    </row>
    <row r="2">
      <c r="A2" s="1" t="s">
        <v>282</v>
      </c>
    </row>
    <row r="3">
      <c r="A3" s="1" t="s">
        <v>283</v>
      </c>
    </row>
    <row r="4">
      <c r="A4" s="1" t="s">
        <v>284</v>
      </c>
    </row>
    <row r="5">
      <c r="A5" s="1" t="s">
        <v>285</v>
      </c>
    </row>
    <row r="6">
      <c r="A6" s="1" t="s">
        <v>286</v>
      </c>
    </row>
    <row r="7">
      <c r="A7" s="1" t="s">
        <v>287</v>
      </c>
    </row>
    <row r="8">
      <c r="A8" s="1" t="s">
        <v>288</v>
      </c>
    </row>
    <row r="10">
      <c r="B10" s="1" t="s">
        <v>289</v>
      </c>
    </row>
    <row r="11">
      <c r="B11" s="1" t="s">
        <v>290</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1.25"/>
    <col customWidth="1" min="2" max="2" width="26.13"/>
  </cols>
  <sheetData>
    <row r="1">
      <c r="A1" s="1" t="s">
        <v>291</v>
      </c>
      <c r="B1" s="1" t="s">
        <v>292</v>
      </c>
      <c r="C1" s="1" t="s">
        <v>293</v>
      </c>
      <c r="D1" s="1" t="s">
        <v>294</v>
      </c>
    </row>
    <row r="2">
      <c r="A2" s="1" t="s">
        <v>295</v>
      </c>
      <c r="B2" s="1" t="s">
        <v>296</v>
      </c>
      <c r="C2" s="27" t="s">
        <v>297</v>
      </c>
      <c r="D2" s="1" t="s">
        <v>298</v>
      </c>
    </row>
    <row r="3">
      <c r="A3" s="1" t="s">
        <v>299</v>
      </c>
      <c r="B3" s="1" t="s">
        <v>300</v>
      </c>
    </row>
    <row r="4">
      <c r="A4" s="1" t="s">
        <v>301</v>
      </c>
      <c r="B4" s="1" t="s">
        <v>302</v>
      </c>
    </row>
    <row r="5">
      <c r="A5" s="1" t="s">
        <v>303</v>
      </c>
    </row>
    <row r="7">
      <c r="A7" s="1" t="s">
        <v>304</v>
      </c>
      <c r="B7" s="1" t="s">
        <v>305</v>
      </c>
    </row>
    <row r="8">
      <c r="A8" s="1" t="s">
        <v>306</v>
      </c>
      <c r="B8" s="1" t="s">
        <v>307</v>
      </c>
    </row>
    <row r="9">
      <c r="A9" s="1" t="s">
        <v>308</v>
      </c>
    </row>
    <row r="10">
      <c r="A10" s="1" t="s">
        <v>309</v>
      </c>
    </row>
    <row r="11">
      <c r="A11" s="1" t="s">
        <v>310</v>
      </c>
    </row>
    <row r="12">
      <c r="A12" s="1" t="s">
        <v>311</v>
      </c>
    </row>
    <row r="14">
      <c r="A14" s="1" t="s">
        <v>312</v>
      </c>
    </row>
    <row r="15">
      <c r="A15" s="1" t="s">
        <v>313</v>
      </c>
    </row>
    <row r="16">
      <c r="A16" s="1" t="s">
        <v>314</v>
      </c>
    </row>
    <row r="20">
      <c r="A20" s="1" t="s">
        <v>315</v>
      </c>
    </row>
    <row r="21">
      <c r="A21" s="1" t="s">
        <v>316</v>
      </c>
    </row>
    <row r="23">
      <c r="A23" s="1" t="s">
        <v>317</v>
      </c>
    </row>
    <row r="25">
      <c r="A25" s="1" t="s">
        <v>318</v>
      </c>
    </row>
    <row r="27">
      <c r="A27" s="1" t="s">
        <v>319</v>
      </c>
    </row>
    <row r="30">
      <c r="A30" s="1" t="s">
        <v>320</v>
      </c>
    </row>
    <row r="32">
      <c r="A32" s="1" t="s">
        <v>321</v>
      </c>
    </row>
    <row r="34">
      <c r="A34" s="1" t="s">
        <v>322</v>
      </c>
    </row>
    <row r="36">
      <c r="A36" s="1" t="s">
        <v>323</v>
      </c>
    </row>
    <row r="38">
      <c r="A38" s="1" t="s">
        <v>324</v>
      </c>
    </row>
    <row r="40">
      <c r="A40" s="1" t="s">
        <v>325</v>
      </c>
    </row>
    <row r="42">
      <c r="A42" s="1" t="s">
        <v>326</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38"/>
    <col customWidth="1" min="2" max="2" width="16.13"/>
  </cols>
  <sheetData>
    <row r="1">
      <c r="A1" s="1" t="s">
        <v>327</v>
      </c>
      <c r="B1" s="1" t="s">
        <v>328</v>
      </c>
    </row>
    <row r="2">
      <c r="C2" s="1" t="s">
        <v>329</v>
      </c>
      <c r="D2" s="1">
        <v>100.0</v>
      </c>
    </row>
    <row r="3">
      <c r="C3" s="1" t="s">
        <v>330</v>
      </c>
      <c r="D3" s="1">
        <v>5.0</v>
      </c>
    </row>
    <row r="4">
      <c r="C4" s="1" t="s">
        <v>331</v>
      </c>
      <c r="D4" s="3">
        <f>D2*D3</f>
        <v>500</v>
      </c>
    </row>
  </sheetData>
  <drawing r:id="rId1"/>
</worksheet>
</file>