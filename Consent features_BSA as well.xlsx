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ent Features and Weights" sheetId="1" r:id="rId4"/>
    <sheet state="visible" name="Copy of Thresholds and Scoring " sheetId="2" r:id="rId5"/>
    <sheet state="visible" name="Thresholds and Scoring" sheetId="3" r:id="rId6"/>
    <sheet state="visible" name="Thresholds for Bureau" sheetId="4" r:id="rId7"/>
    <sheet state="visible" name="account_or_asset_classification" sheetId="5" r:id="rId8"/>
    <sheet state="visible" name="Scoring - TSR PD fin UTM" sheetId="6" r:id="rId9"/>
    <sheet state="hidden" name="total_credit_to_loans_repaid_BS" sheetId="7" r:id="rId10"/>
    <sheet state="visible" name="customer ageing" sheetId="8" r:id="rId11"/>
    <sheet state="visible" name="Scoring - TSR PD fin Experiment" sheetId="9" r:id="rId12"/>
    <sheet state="visible" name="Sheet25" sheetId="10" r:id="rId13"/>
    <sheet state="visible" name="Scoring - fin experiment SCPL" sheetId="11" r:id="rId14"/>
    <sheet state="visible" name="Scoring - fin experiment Spectr" sheetId="12" r:id="rId15"/>
    <sheet state="visible" name="FLow" sheetId="13" r:id="rId16"/>
    <sheet state="visible" name="SCPL Spectrum non finscore" sheetId="14" r:id="rId17"/>
    <sheet state="visible" name="Scoring - fin " sheetId="15" r:id="rId18"/>
    <sheet state="visible" name="WIP" sheetId="16" r:id="rId19"/>
    <sheet state="visible" name="Sheet1" sheetId="17" r:id="rId20"/>
    <sheet state="visible" name="BS feat_draft" sheetId="18"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@kalyan.r@crediwatch.com
@tejash.k@crediwatch.com calculation to be updated.
_Assigned to _
	-Nishi Jain</t>
      </text>
    </comment>
    <comment authorId="0" ref="A5">
      <text>
        <t xml:space="preserve">@kalyan.r@crediwatch.com @tejash.k@crediwatch.com
_Assigned to _
	-Nishi Jain</t>
      </text>
    </comment>
    <comment authorId="0" ref="F7">
      <text>
        <t xml:space="preserve">To be calculated only when no. of months where xncount &gt; 0 is greater than 6
@kalyan.r@crediwatch.com @tejash.k@crediwatch.com
_Assigned to _
	-Nishi Jain</t>
      </text>
    </comment>
    <comment authorId="0" ref="C48">
      <text>
        <t xml:space="preserve">to be used in score calculation only when gstn data is NA
@kalyan.r@crediwatch.com
	-Nishi Jain</t>
      </text>
    </comment>
    <comment authorId="0" ref="C12">
      <text>
        <t xml:space="preserve">Include trend in all features
	-Tejash Khairnar</t>
      </text>
    </comment>
    <comment authorId="0" ref="B14">
      <text>
        <t xml:space="preserve">Should this be override or in scoring
	-Tejash Khairnar</t>
      </text>
    </comment>
    <comment authorId="0" ref="B16">
      <text>
        <t xml:space="preserve">If there is no loan then how to automatically handle this
If this value is bad then how to increase the importance
	-Tejash Khairnar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8">
      <text>
        <t xml:space="preserve">pls update @kalyan.r@crediwatch.com
	-Nishi Jain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5">
      <text>
        <t xml:space="preserve">@nishi.j@crediwatch.com lets review this..
any late fee in latest period should be a negative..
no late fee ever is positive..like even 30 is fine because alot of people delay gst atleast at some point
late fee before 12 months but not recently can be 0 sort of a score
_Assigned to nishi.j@crediwatch.com_
	-Tejash Khairnar</t>
      </text>
    </comment>
    <comment authorId="0" ref="A68">
      <text>
        <t xml:space="preserve">to discuss and finalise
@tejash.k@crediwatch.com
	-Nishi Jain</t>
      </text>
    </comment>
    <comment authorId="0" ref="A94">
      <text>
        <t xml:space="preserve">Should we keep only one of these?
Sales and purchases  will most likely be moving in same direction.
@tejash.k@crediwatch.com
	-Nishi Jain</t>
      </text>
    </comment>
    <comment authorId="0" ref="G51">
      <text>
        <t xml:space="preserve">thresholds to be updated
	-Nishi Jain
_Marked as resolved_
	-Nishi Jain
_Re-opened_
	-Nishi Jain</t>
      </text>
    </comment>
    <comment authorId="0" ref="G57">
      <text>
        <t xml:space="preserve">thresholds to be changed.
@tejash.k@crediwatch.com
	-Nishi Jain</t>
      </text>
    </comment>
    <comment authorId="0" ref="A14">
      <text>
        <t xml:space="preserve">check from CHG-1
	-Nishi Jain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@kalyan.r@crediwatch.com 
pls update threshold and min/max in RTM
_Assigned to _
	-Nishi Jain</t>
      </text>
    </comment>
    <comment authorId="0" ref="B25">
      <text>
        <t xml:space="preserve">@kalyan.r@crediwatch.com 
pls update  threshold and min/max in RTM
_Assigned to _
	-Nishi Jain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@kalyan.r@crediwatch.com 
pls code override
_Assigned to _
	-Nishi Jain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@tejash.k@crediwatch.com @nishi.j@crediwatch.com
thresholds are different
_Assigned to nishi.j@crediwatch.com_
	-Deleted user
After new features are added, weightages have changed. For testing, you can refer 15% as weightage.
	-Nishi Jain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@kalyan.r@crediwatch.com 
name changed from total_credit_to_loans_repaid_BSA_tally to loan_utilisation_BSA_tally
_Assigned to _
	-Nishi Jain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Insert 35 when combo doesnt have fin model
	-Tejash Khairnar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n
	-Tejash Khairnar</t>
      </text>
    </comment>
  </commentList>
</comments>
</file>

<file path=xl/sharedStrings.xml><?xml version="1.0" encoding="utf-8"?>
<sst xmlns="http://schemas.openxmlformats.org/spreadsheetml/2006/main" count="1594" uniqueCount="694">
  <si>
    <t>Cateogory</t>
  </si>
  <si>
    <t>Weights (fin not avail)</t>
  </si>
  <si>
    <t>Financial:</t>
  </si>
  <si>
    <t>Table</t>
  </si>
  <si>
    <t>mapping key</t>
  </si>
  <si>
    <t>direct json keys</t>
  </si>
  <si>
    <t>Weights (fin avail)</t>
  </si>
  <si>
    <t>Accuracy in feature value when automated
(cannot have high weightage when accurcy of computation is low)</t>
  </si>
  <si>
    <t>Max score</t>
  </si>
  <si>
    <t>Sources</t>
  </si>
  <si>
    <t>Tara Grains</t>
  </si>
  <si>
    <t>SPCL</t>
  </si>
  <si>
    <t>Spectrum Builtech</t>
  </si>
  <si>
    <t>Core</t>
  </si>
  <si>
    <t>Count of non core available</t>
  </si>
  <si>
    <t>Weightage for core</t>
  </si>
  <si>
    <t>Weightage for non core</t>
  </si>
  <si>
    <t>Financials</t>
  </si>
  <si>
    <t>All fin features</t>
  </si>
  <si>
    <t>Tally</t>
  </si>
  <si>
    <t>Non core</t>
  </si>
  <si>
    <t>0 to 2</t>
  </si>
  <si>
    <t>All fin features - unaudited / provisional</t>
  </si>
  <si>
    <t>3 to 4</t>
  </si>
  <si>
    <t>&gt;=5</t>
  </si>
  <si>
    <t>For Multiple accounts, 
1) Feature values and scores will be calculated individually. 
2) Final score to the model will be simple average of Step 1 scores wherein denominator would be count of accounts where values could be calculated</t>
  </si>
  <si>
    <t>Liquidity</t>
  </si>
  <si>
    <t>wc_utilisation_lxm_BSA_Tally</t>
  </si>
  <si>
    <t>EOD Balances</t>
  </si>
  <si>
    <t>percent_util_during_period_on_limit</t>
  </si>
  <si>
    <r>
      <rPr>
        <rFont val="Calibri"/>
        <color theme="1"/>
      </rPr>
      <t xml:space="preserve">1. Applicable only if count of "monthName" where "xnscount "&gt; 0  is greater than 6
2. Numerator : monthly_details &gt; average of "balavg" of last 12 months where "xnscount "&gt; 0 
3. sanctioned_limit from bureau json
4. (Step 1 / Step 2) * (-100)
</t>
    </r>
    <r>
      <rPr>
        <rFont val="Calibri"/>
        <color rgb="FFFF0000"/>
      </rPr>
      <t xml:space="preserve">old:
1. analysis_summary_info &gt; Account Type = contains "cash credit", "cc", "od", "over draft"
2. sum of (analysis_month_wise_average_eod_balance) for all months divide by no of months
3. compute: Step 2 * 100 / (sanctioned_limit * -1)
</t>
    </r>
  </si>
  <si>
    <t>High</t>
  </si>
  <si>
    <t>BS, Tally</t>
  </si>
  <si>
    <t>Y</t>
  </si>
  <si>
    <t>Scores</t>
  </si>
  <si>
    <t>percent_months_amb_lower_than_apb</t>
  </si>
  <si>
    <t>count_months_amb_less_than_avg_os_balance_period = in analysis sheet
period_months - basic info sheet</t>
  </si>
  <si>
    <t>(count_months_amb_less_than_avg_os_balance_period / period_months) * 100</t>
  </si>
  <si>
    <t>BS</t>
  </si>
  <si>
    <t>wc_utilisation_l6m_BSA_Tally</t>
  </si>
  <si>
    <t>percent_util_during_l6m_on_limit</t>
  </si>
  <si>
    <r>
      <rPr>
        <rFont val="Calibri"/>
        <color theme="1"/>
      </rPr>
      <t xml:space="preserve">1. Numerator : monthly_details &gt; average of "balavg" of last 6 months where "xnscount "&gt; 0
2. sanctioned_limit from bureau json
3. (Step 1 / Step 2) * (-100)
</t>
    </r>
    <r>
      <rPr>
        <rFont val="Calibri"/>
        <color rgb="FFFF0000"/>
      </rPr>
      <t xml:space="preserve">old:
1. analysis_summary_info &gt; Account Type = contains "cash credit", "cc", "od", "over draft"
2. sum of (analysis_month_wise_average_eod_balance) for all months divide by no of months
3. compute: Step 2 * 100 / (sanctioned_limit * -1)
</t>
    </r>
  </si>
  <si>
    <t xml:space="preserve">% change in avg  outstanding balance </t>
  </si>
  <si>
    <t>per_change_outstanding_balance</t>
  </si>
  <si>
    <t>Credit protection</t>
  </si>
  <si>
    <t>effective_interest_rate_BSA_Tally</t>
  </si>
  <si>
    <t>Statement</t>
  </si>
  <si>
    <t>effective_interest_rate_period</t>
  </si>
  <si>
    <r>
      <rPr>
        <rFont val="Calibri"/>
        <b/>
        <color theme="1"/>
      </rPr>
      <t>Only applicable to Od / CC / WC accounts:
Numerator : 
1. xns &gt; filter "Category" contains "Interest Charges" - &gt; sum of "amount" fields -&gt; If negative, then take absolute value
2. Step 1 divide by "no of months" computed in step 2 to get avg interest charges
Denominator : 
3. "balance" at the end of each day
4. filter only "balance" &lt; 0
5. Simple avg of Step 4 
6. Absolute of Step 5
7.( Step 2 / Step 6) * 12*100</t>
    </r>
    <r>
      <rPr>
        <rFont val="Calibri"/>
        <color theme="1"/>
      </rPr>
      <t xml:space="preserve">
1. sum of "analysis_month_wise_average_eod_balance" for all months divide by 'no of months'. 
If negative, then take absolute value
2. xns &gt; filter "Category" contains "Interest Charges" - &gt; sum of "amount" fields -&gt; If negative, then take absolute value
3. Step 2 divide by "no of months" computed in step 2 to get avg interest charges
4.( Step 1 / Step 3) * 12*100
If Step 2 is 0, then this feature is NA</t>
    </r>
  </si>
  <si>
    <t>color</t>
  </si>
  <si>
    <t>score</t>
  </si>
  <si>
    <t>churn_rate_BSA_tally</t>
  </si>
  <si>
    <t>BSA key summary - total (period</t>
  </si>
  <si>
    <t>churn_rate</t>
  </si>
  <si>
    <t>Numerator = 
analysis_month_wise_total_amount_of_debit_transactions for month 1 + analysis_month_wise_total_amount_of_debit_transactions for month 2 + analysis_month_wise_total_amount_of_debit_transactions till month n
Denom = 
analysis_month_wise_total_amount_of_credit_transactions for month 1 + analysis_month_wise_total_amount_of_credit_transactionsfor month 2 + analysis_month_wise_total_amount_of_credit_transactions till month n
num/denom * 100</t>
  </si>
  <si>
    <t>Inward cheque returns_BSA_tally</t>
  </si>
  <si>
    <t>Cheque returns</t>
  </si>
  <si>
    <t>count_inward_return</t>
  </si>
  <si>
    <t>analysis_month_wise_total_number_of_inward_cheque_bounces for every month and then do sum for all months</t>
  </si>
  <si>
    <t>overutilisation_frequency_BSA_Tally</t>
  </si>
  <si>
    <t>days_overutilisations_in_a_period</t>
  </si>
  <si>
    <r>
      <rPr>
        <rFont val="Calibri"/>
        <color theme="1"/>
      </rPr>
      <t xml:space="preserve">1. "balance"*(-1)  
2. count of Step 1 &gt; sanction limit from bureau json
</t>
    </r>
    <r>
      <rPr>
        <rFont val="Calibri"/>
        <i/>
        <color theme="1"/>
      </rPr>
      <t xml:space="preserve">old:
1. analysis_summary_info &gt; Account Type = contains "cash credit", "cc", "od", "over draft"
2. in xns &gt; filter for (outstanding balance * -1) &gt; sanctioned limit 
3. Take count of records
</t>
    </r>
  </si>
  <si>
    <t>negative_balance_instances</t>
  </si>
  <si>
    <t>count_instances_negative_balance</t>
  </si>
  <si>
    <t>pre_post_loan_utilisation_BSA_tally</t>
  </si>
  <si>
    <t>refer Thresholds sheet</t>
  </si>
  <si>
    <t>ignore</t>
  </si>
  <si>
    <t>Low</t>
  </si>
  <si>
    <t>net_cashflow_movement _tally</t>
  </si>
  <si>
    <t>Tally, BS</t>
  </si>
  <si>
    <t>customer_ageing_tally</t>
  </si>
  <si>
    <t>N</t>
  </si>
  <si>
    <t>supplier_ageing_tally</t>
  </si>
  <si>
    <t>inventory_ageing_tally</t>
  </si>
  <si>
    <t>Profitability</t>
  </si>
  <si>
    <t>gross_profit_on_sales_GST_Tally</t>
  </si>
  <si>
    <t>GST, Tally</t>
  </si>
  <si>
    <t>Performance</t>
  </si>
  <si>
    <t>growth in revenue tally</t>
  </si>
  <si>
    <t>growth in net profit tally</t>
  </si>
  <si>
    <t>avg_cash_balance_change_tally</t>
  </si>
  <si>
    <t>gross_sales_trend_gst_tally</t>
  </si>
  <si>
    <t>1) Calculate latest 24 months using max month available in sales_trend or purchases_trend. Use this period in all gstn feature calculation.
2) Under "sales_trend"
3) sum of amount of latest 12 months determined in Step 1
4) sum of amount of previous 12 months determined in Step 1
5) ((Step 2/ Step 3) -1 )* 100
if Step 3 is not available (i.e. 24 months data not available, then this feature is NA</t>
  </si>
  <si>
    <t>gross_purchases_trend_gst_tally</t>
  </si>
  <si>
    <t>1) Calculate latest 24 months using max month available in sales_trend or purchases_trend. Use this period in all gstn feature calculation.
2) Under "purchases_trend"
3) sum of amount of latest 12 months determined in Step 1
4) sum of amount of previous 12 months determined in Step 1
5) ((Step 2/ Step 3) -1 )* 100
if Step 3 is not available (i.e. 24 months data not available, then this feature is NA</t>
  </si>
  <si>
    <t>Non Financial:</t>
  </si>
  <si>
    <t>Bureau</t>
  </si>
  <si>
    <t>commercial_bureau_score</t>
  </si>
  <si>
    <t>retail_bureau_score</t>
  </si>
  <si>
    <t xml:space="preserve">retail_mfi_bureau_score
</t>
  </si>
  <si>
    <t>unsecured_loans_enquiries_l30d</t>
  </si>
  <si>
    <t xml:space="preserve">enquiry_unsec_loans_l30d / enquiry_all_l30d * 100 </t>
  </si>
  <si>
    <t>current_account_classification_rank</t>
  </si>
  <si>
    <t>1.DelinquencySummary &gt; AsBorrower &gt; List all values under "CurrentAccountClassification"
2.Rank as per sheet "account_or_asset_classification"
3. Take max value of rank</t>
  </si>
  <si>
    <t>historic_account_classification_rank</t>
  </si>
  <si>
    <t>1.DelinquencySummary &gt; AsBorrower &gt; List all values under "MostSevere_DPD_AssetClass_Lst_48_Mths"
Note: value seperated with "/" to be again made seperate
2.Rank as per sheet "account_or_asset_classification"
3. Take max value of rank</t>
  </si>
  <si>
    <t>Corporate governance</t>
  </si>
  <si>
    <t>Significant_cash_transactions_amount_BSA_tally</t>
  </si>
  <si>
    <t>BSA key summary - total (period)</t>
  </si>
  <si>
    <t>cash_transction_as_percent_total_transactions</t>
  </si>
  <si>
    <t>num = 
for all months
(analysis_month_wise_total_amount_of_cash_deposits + analysis_month_wise_total_amount_of_cash_withdrawals)
denom = 
for all months
(analysis_month_wise_total_amount_of_credit_transactions+ analysis_month_wise_total_amount_of_debit_transactions)
num/denom * 100</t>
  </si>
  <si>
    <t>Medium</t>
  </si>
  <si>
    <t>BS , Tally</t>
  </si>
  <si>
    <t>Significant_cash_transactions_count_BSA_tally</t>
  </si>
  <si>
    <t>count_cash_transactions</t>
  </si>
  <si>
    <t>[analysis_month_wise_total_number_of_cash_deposits +  analysis_month_wise_total_number_of_cash_withdrawals] for all months</t>
  </si>
  <si>
    <t>Business risk</t>
  </si>
  <si>
    <t>customer_concentration_GST_Tally</t>
  </si>
  <si>
    <t>Customer Concentration</t>
  </si>
  <si>
    <t>Calculate latest 24 months using max month available in sales_trend or purchases_trend. Use this period in all gstn feature calculation.
Under "sales_concentration"
1) sum of amount per gstn for latest 12 months
2) Under "sales_trend", sum of amount of latest 12 months
3) step 1 divided by Step 2 per gstn * 100
4) arrange gstn in descending order 
5) sum of top 5</t>
  </si>
  <si>
    <t>supplier_concentration_GST_Tally</t>
  </si>
  <si>
    <t>Supplier Concentration</t>
  </si>
  <si>
    <t>Calculate latest 24 months using max month available in sales_trend or purchases_trend. Use this period in all gstn feature calculation.
Under "purchase_concentration"
1) sum of amount per gstn for latest 12 months
2) Under "purchase_trend", sum of amount of latest 12 months
3) step 1 divided by Step 2 per gstn * 100
4) arrange gstn in descending order 
5) sum of top 5</t>
  </si>
  <si>
    <t>salary_payment_delay_Tally_BSA</t>
  </si>
  <si>
    <t>Tally , BS</t>
  </si>
  <si>
    <t>routing_of_funds_BSA_tally</t>
  </si>
  <si>
    <t>under "partiesInCreditsAndDebits" &lt; count of "partyName"</t>
  </si>
  <si>
    <t>Related_party_transactions_unrelated_LOB_ITR_Tally_BS_GST</t>
  </si>
  <si>
    <t>Tally + ITR, BS + ITR, GST+ITR</t>
  </si>
  <si>
    <t>product_concentration_Tally_gst</t>
  </si>
  <si>
    <t>Product Concentration</t>
  </si>
  <si>
    <t>Calculate latest 12 months using max month available in sales_trend or purchases_trend. Use this period in all gstn feature calculation.
Under "hsn_summary_code_wise"
1) "hsn code" wise &gt; do sum of "total_value"
2) Under "sales_trend", sum of amount of last 12 months
3) step 2 divided by Step 3 per hsn code wise * 100
4) arrange hsn code in descending order 
5) sum of top 5</t>
  </si>
  <si>
    <t>Tally, GST</t>
  </si>
  <si>
    <t>geographic_concentration_GST</t>
  </si>
  <si>
    <t>GST</t>
  </si>
  <si>
    <t>Compliance</t>
  </si>
  <si>
    <t>late_payment_fees_GST_Tally</t>
  </si>
  <si>
    <t>1) sum of "ltfee_details" of last 1 year
2) Step 1 divided by total "pdcash" of last 1 year * 100</t>
  </si>
  <si>
    <t>GST , Tally</t>
  </si>
  <si>
    <t>applicable when (customer_concentration_GST_Tally) is not available:
concentration_risk_funds received_from_top_5_sources_BS</t>
  </si>
  <si>
    <t>Remitter Concentration</t>
  </si>
  <si>
    <t>1.Within "accounts_xns" &gt; Group by sum of  unique list of "category" having "Transfer from"
2.Arrange in descending order
3. Take sum of first five records in unique list
4. In "accounts_xns &gt; filter "category" by contains "transfer from"
5. Do sum of all Amount field on step 4 filter
6. Compute: (Step 3 * 100) / Step 5</t>
  </si>
  <si>
    <t>applicable when (customer_concentration_GST_Tally) is not available: 
concentration_risk_funds remitted_to_top_5_sources_BS</t>
  </si>
  <si>
    <t>Beneficiary Concentration</t>
  </si>
  <si>
    <t>1.Within "accounts_xns" &gt; Group by sum of  unique list of "category" having "Transfer to"
2. Convert the sum in absolute values
3.Arrange in descending order
4. Take sum of first five records in unique list
5. In "accounts_xns &gt; filter "category" by contains "transfer to"
6. Do sum of all Amount field on step 4 filter
7. Compute: (Step 3 * 100) / Step 5</t>
  </si>
  <si>
    <t>New features</t>
  </si>
  <si>
    <t>Commodity price volatility</t>
  </si>
  <si>
    <t>Customer concentation with TSR rating and receivable days</t>
  </si>
  <si>
    <t>Supplier concentation with TSR rating and payable days</t>
  </si>
  <si>
    <t>DP less than sanctioned limit daily / monthly basis with 40% as margin (customise)</t>
  </si>
  <si>
    <t>Tally and BS</t>
  </si>
  <si>
    <t>Related Party Outstanding / Transactions</t>
  </si>
  <si>
    <t>ITR (3CD) and Tally</t>
  </si>
  <si>
    <t>Bank Reconciliation</t>
  </si>
  <si>
    <t>No. of times Sanctioned limit is more than MPBF (75% of Working Capital Gap)
Ratio of sanctioned limit to 75% of WC capital gap</t>
  </si>
  <si>
    <t>Utilisation despite huge cash balance</t>
  </si>
  <si>
    <t>Working capital debt utilisation (basis drawing power)</t>
  </si>
  <si>
    <t>Delay in ITR filing</t>
  </si>
  <si>
    <t>Inconsistencies between ITR filing and FS</t>
  </si>
  <si>
    <t>Override on model Score</t>
  </si>
  <si>
    <t>Penalty</t>
  </si>
  <si>
    <t>Funds Insufficient Cheque return</t>
  </si>
  <si>
    <t>xns</t>
  </si>
  <si>
    <t xml:space="preserve">count 1 when:
account type is not cc/od
under account_xns
"category" = "Bounced I/W Cheque" and "amount" &gt; "balance"
take sum of counts of all such instances
</t>
  </si>
  <si>
    <t>1 time</t>
  </si>
  <si>
    <t>-10% on fin score</t>
  </si>
  <si>
    <t>2 times</t>
  </si>
  <si>
    <t>-20% on fin score</t>
  </si>
  <si>
    <t>3 to 5</t>
  </si>
  <si>
    <t>-40% on fin model+ fin consent  score with Max TSR score 20</t>
  </si>
  <si>
    <t>Risk tree map liquidity section to take entire fin weitage of 80%, rest 20% would be for other fin params
Colour for liquidity override to "0.01"</t>
  </si>
  <si>
    <t>&gt; 5 times</t>
  </si>
  <si>
    <t>-50% on fin model+ fin consent  score with Max TSR score 20</t>
  </si>
  <si>
    <t>DPD/SMA</t>
  </si>
  <si>
    <t>BB</t>
  </si>
  <si>
    <t>0 to 7 days</t>
  </si>
  <si>
    <t>-70% on fin score with  max fin score at 15 and TSR score of 10</t>
  </si>
  <si>
    <t>Risk tree map liquidity section to take entire fin weitage of 50%, rest 10% would be for other fin params</t>
  </si>
  <si>
    <t>&gt; 7 days</t>
  </si>
  <si>
    <t>D</t>
  </si>
  <si>
    <t>Risk tree map liquidity section to take total area of 50% with colour as  0.01</t>
  </si>
  <si>
    <t>Override on Fin Score</t>
  </si>
  <si>
    <t>Push consent fin score to</t>
  </si>
  <si>
    <t>&gt; 100 No of times account remained over utilised in 365 days</t>
  </si>
  <si>
    <t>1. analysis_summary_info &gt; Account Type = contains "cash credit", "cc", "od", "over draft"
2. sum of (analysis_month_wise_average_eod_balance) for all months divide by no of months
3. compute: Step 2 * 100 / (sanctioned_limit * -1)
4. filter records where step 3 is &gt;100
5. take count of all such records
6. If count &gt; 100</t>
  </si>
  <si>
    <t>Very Bad fin score + rating max TSR score of 15 and fin score of 10</t>
  </si>
  <si>
    <t>WC capital utilisation is over 90% + effective interest rate is over 15%</t>
  </si>
  <si>
    <t>percent_util_during_period_on_limit &gt; 90% and 
effective_interest_rate_period &gt; 15%</t>
  </si>
  <si>
    <t>Very Bad fin score</t>
  </si>
  <si>
    <t>Nothing special</t>
  </si>
  <si>
    <t>Financial Consent Feature</t>
  </si>
  <si>
    <t>Thresholds</t>
  </si>
  <si>
    <t>Scores (without fin)</t>
  </si>
  <si>
    <t>Non Financial Consent Feature</t>
  </si>
  <si>
    <t>more than 80%</t>
  </si>
  <si>
    <t>CIBIL Alerts</t>
  </si>
  <si>
    <t>Written off credit facility
Downgrade in CMR beyond 2 notches
Breach in Utilisation by 10% (Similarly 5%, 15%, 20%)
Dishonored cheque</t>
  </si>
  <si>
    <t>60 to 80%</t>
  </si>
  <si>
    <t>https://docs.google.com/spreadsheets/d/10ZsYPAvyLTeRQ48DaBE7oEcaa6RfoOp2/edit#gid=1683855733</t>
  </si>
  <si>
    <t>Downgrade in CMR within 2 notches
Deterioration in CMR
Restructure credit facility</t>
  </si>
  <si>
    <t>40 to 60%</t>
  </si>
  <si>
    <t>Others</t>
  </si>
  <si>
    <t>20 to 40%</t>
  </si>
  <si>
    <t xml:space="preserve">Upgrade in CMR within 2 notches
Improvement in CMR
</t>
  </si>
  <si>
    <t>less than 20%</t>
  </si>
  <si>
    <t>Upgrade in CMR beyond 2 notches</t>
  </si>
  <si>
    <t>less than -40%</t>
  </si>
  <si>
    <t>1 to 3</t>
  </si>
  <si>
    <t>-40% to 0%</t>
  </si>
  <si>
    <t>4 and 5</t>
  </si>
  <si>
    <t>0% to 20%</t>
  </si>
  <si>
    <t>6 and 7</t>
  </si>
  <si>
    <t>20% to 60%</t>
  </si>
  <si>
    <t xml:space="preserve">above 7 </t>
  </si>
  <si>
    <t>override</t>
  </si>
  <si>
    <t>over 60%</t>
  </si>
  <si>
    <t>Scores (with fin)</t>
  </si>
  <si>
    <t>MostSevere_DPD_AssetClass_Lst_48_Mths  = standard
CurrentAccountClassification = standard</t>
  </si>
  <si>
    <t>effecttive interest rate_BSA</t>
  </si>
  <si>
    <t>&gt;18%</t>
  </si>
  <si>
    <t>&gt;12% and (&gt; ACB + 2%)</t>
  </si>
  <si>
    <t>Current account classification</t>
  </si>
  <si>
    <t>std</t>
  </si>
  <si>
    <t>improve thresholding from more data, CHG-1</t>
  </si>
  <si>
    <t>12-18%</t>
  </si>
  <si>
    <t>over 80% + STB &gt; 80% of total debt + int coverage less than 2 times
or
over 80% + STB &gt; 80% of total debt + receivable days &gt; 90 days</t>
  </si>
  <si>
    <t>10-12%</t>
  </si>
  <si>
    <t>7-12%</t>
  </si>
  <si>
    <t>5-10%</t>
  </si>
  <si>
    <t>5-7%</t>
  </si>
  <si>
    <t>0-5%</t>
  </si>
  <si>
    <t>less than 40%</t>
  </si>
  <si>
    <t>Churn rate_BSA</t>
  </si>
  <si>
    <t>X &lt;90%</t>
  </si>
  <si>
    <t>improve with the use of churn trend</t>
  </si>
  <si>
    <t>90 to 100 %</t>
  </si>
  <si>
    <t>100 to 120%</t>
  </si>
  <si>
    <t>120-150 %</t>
  </si>
  <si>
    <t>Significant amount of cash transactions_BSA</t>
  </si>
  <si>
    <t>Greater than 150%</t>
  </si>
  <si>
    <t>&lt; 2%</t>
  </si>
  <si>
    <t>2-5%</t>
  </si>
  <si>
    <t>(if CC account then cheque shouldnt bounce due to insufficient funds given it is within drawing power)</t>
  </si>
  <si>
    <t>&gt; 5%</t>
  </si>
  <si>
    <t>0 to 7</t>
  </si>
  <si>
    <t>8 to 14</t>
  </si>
  <si>
    <t>Significant number of cash transactions_BSA</t>
  </si>
  <si>
    <t>&gt;=15</t>
  </si>
  <si>
    <t>&lt; 10</t>
  </si>
  <si>
    <t>negative balance instances</t>
  </si>
  <si>
    <t>None</t>
  </si>
  <si>
    <t>10 to 20</t>
  </si>
  <si>
    <t>improve basis continuous overutilisation and recency</t>
  </si>
  <si>
    <t>0 to 5</t>
  </si>
  <si>
    <t>&gt; 20</t>
  </si>
  <si>
    <t>6 to 15</t>
  </si>
  <si>
    <t>over 15</t>
  </si>
  <si>
    <t>Customer concentration</t>
  </si>
  <si>
    <t>&lt;10</t>
  </si>
  <si>
    <t>20 to 50</t>
  </si>
  <si>
    <t>Never overutilised</t>
  </si>
  <si>
    <t>50-70</t>
  </si>
  <si>
    <t>1 to 20</t>
  </si>
  <si>
    <t>&gt;70</t>
  </si>
  <si>
    <t>20 to 60</t>
  </si>
  <si>
    <t>Supplier concentration</t>
  </si>
  <si>
    <t>&gt; 60</t>
  </si>
  <si>
    <t>loan repayment &gt; 0,
any month post loan utilisation &gt;=100% and pre loan utilisation &lt; 100%
or
any month total credit transaction &lt;= loan repaid</t>
  </si>
  <si>
    <t>sum_loan_repayment_period &gt; 0,
percent_util_month_end_on_limit &gt;=100% and pre_loan_repayment_utilisation_month_end &lt; 100%
or
monthly_total_amount_of_credit_transactions &lt;= sum_loan_repayment_month</t>
  </si>
  <si>
    <t>loan repayment &gt; 0,
avg pre loan utilisation &gt;= 80% and avg loan utilisation &gt;= 5%</t>
  </si>
  <si>
    <t>sum_loan_repayment_period &gt; 0,
avg_pre_loan_repayment_utilisation_period &gt;= 80% and loan_utilisation_period &gt;= 5%</t>
  </si>
  <si>
    <t>other scenarios</t>
  </si>
  <si>
    <t>Salary payment trend</t>
  </si>
  <si>
    <t>0 months</t>
  </si>
  <si>
    <t>From Min payment date of salary</t>
  </si>
  <si>
    <t>1 month</t>
  </si>
  <si>
    <t>Salary payment not being classified correctly in perfious</t>
  </si>
  <si>
    <t>2 months</t>
  </si>
  <si>
    <t>3 months</t>
  </si>
  <si>
    <t>Net cashflow movement _Tally</t>
  </si>
  <si>
    <t>Less than -30%</t>
  </si>
  <si>
    <t>&gt; 3 months</t>
  </si>
  <si>
    <t>Less than 10%</t>
  </si>
  <si>
    <t>-10 to 20%</t>
  </si>
  <si>
    <t>21 to 50%</t>
  </si>
  <si>
    <t>more than 50%</t>
  </si>
  <si>
    <t>avg rec = 45</t>
  </si>
  <si>
    <t>credit period = 45</t>
  </si>
  <si>
    <t>count of common records</t>
  </si>
  <si>
    <t>&lt; 2</t>
  </si>
  <si>
    <t>Customer Ageing</t>
  </si>
  <si>
    <t>0-30</t>
  </si>
  <si>
    <t>30-60</t>
  </si>
  <si>
    <t>60-90</t>
  </si>
  <si>
    <t>2 to 5</t>
  </si>
  <si>
    <t>receivables % less than credit period</t>
  </si>
  <si>
    <t>more than 20</t>
  </si>
  <si>
    <t>&gt; 5</t>
  </si>
  <si>
    <t>0-10</t>
  </si>
  <si>
    <t>Related party transactions_unrelated LOB</t>
  </si>
  <si>
    <t>0 to 2%</t>
  </si>
  <si>
    <t>receivables % more than Avg receivable days of last 3 /2 /1 years</t>
  </si>
  <si>
    <t>20-10%</t>
  </si>
  <si>
    <t>&gt; 20%</t>
  </si>
  <si>
    <t>Supplier Ageing</t>
  </si>
  <si>
    <t>Product concentration</t>
  </si>
  <si>
    <t>payables % less than credit period</t>
  </si>
  <si>
    <t>10 to 15</t>
  </si>
  <si>
    <t>15 to 20</t>
  </si>
  <si>
    <t>20-50</t>
  </si>
  <si>
    <t>payables % more than Avg payable days of last 3 /2 /1 years</t>
  </si>
  <si>
    <t>&gt;50</t>
  </si>
  <si>
    <t>Geographic concentration</t>
  </si>
  <si>
    <t>Inventory Ageing</t>
  </si>
  <si>
    <t>inventory % less than Avg inventory days of last 3 /2 /1 years</t>
  </si>
  <si>
    <t>payables % more than Avg inventory days of last 3 /2 /1 years</t>
  </si>
  <si>
    <t>GST late payments</t>
  </si>
  <si>
    <t>sum of late fees is 0 in l12m</t>
  </si>
  <si>
    <t>&lt; 5%
and
lt fees in l6m &lt; lt fees (l12m - l6m)</t>
  </si>
  <si>
    <t>lt fees in l6m &gt; lt fees (l12m - l6m)
or
5 to 15%</t>
  </si>
  <si>
    <t>growth_annual_revenue_tally</t>
  </si>
  <si>
    <t>&lt; - 10%</t>
  </si>
  <si>
    <t>`</t>
  </si>
  <si>
    <t>(lt fees in l6m &gt; lt fees (l12m - l6m)
and
5 to 15%)
OR 
&gt; 15%</t>
  </si>
  <si>
    <t>- 10 to 0</t>
  </si>
  <si>
    <t>0 to 20</t>
  </si>
  <si>
    <t>Concentration risk - funds received from top 5 sources</t>
  </si>
  <si>
    <t>&gt; 20 to 50</t>
  </si>
  <si>
    <t>&gt; 50</t>
  </si>
  <si>
    <t>20 to 40</t>
  </si>
  <si>
    <t>40-60</t>
  </si>
  <si>
    <t>growth_annual_netprofit_tally</t>
  </si>
  <si>
    <t>&gt;60</t>
  </si>
  <si>
    <t xml:space="preserve">Concentration risk - funds remitted to top 5 </t>
  </si>
  <si>
    <t>gross sales trend_gst</t>
  </si>
  <si>
    <t>gross purchases trend_gst</t>
  </si>
  <si>
    <t>Gross profit on GST sales (GST)</t>
  </si>
  <si>
    <t>0 to 30</t>
  </si>
  <si>
    <t>&gt; 30 to 70</t>
  </si>
  <si>
    <t>&gt; 70</t>
  </si>
  <si>
    <t>Avg cash balance change</t>
  </si>
  <si>
    <t>WC utilisation_bank statement _BSA_ltm</t>
  </si>
  <si>
    <t>more than 95%</t>
  </si>
  <si>
    <t>over 80% + int coverage less than 1.5 times
or
over 80% + WC days over 90</t>
  </si>
  <si>
    <t>80-95%</t>
  </si>
  <si>
    <t>80 to 85% + int coverage &gt; 2 times</t>
  </si>
  <si>
    <t>60 to 80% + int coverage &gt; 2 times</t>
  </si>
  <si>
    <t>WC utilisation_bank statement _BSA_l6m</t>
  </si>
  <si>
    <t>No of times account remained over utilised in 365 days(negative factor only)</t>
  </si>
  <si>
    <t>Routing of funds</t>
  </si>
  <si>
    <t>&lt; 5%</t>
  </si>
  <si>
    <t>5 to 15%</t>
  </si>
  <si>
    <t>&gt; 15%</t>
  </si>
  <si>
    <t>7 to 10</t>
  </si>
  <si>
    <t>4 to 6</t>
  </si>
  <si>
    <t xml:space="preserve">retail_mfi_bureau_score
</t>
  </si>
  <si>
    <t>&gt; 50% but not equal to 100%</t>
  </si>
  <si>
    <t>20% to less than 50%</t>
  </si>
  <si>
    <t>&gt;0% to 20%</t>
  </si>
  <si>
    <t>1,2,3,4,5</t>
  </si>
  <si>
    <t>class</t>
  </si>
  <si>
    <t>0 and 
historic_account_classification_rank = 0</t>
  </si>
  <si>
    <t>current class feature</t>
  </si>
  <si>
    <t>historic_account_classification_rank = 1,2,3,4,5</t>
  </si>
  <si>
    <t>historic_account_classification_rank = 2,3,4,5
and
current_account_classification_rank = 1,2,3,4,5
or
historic_account_classification_rank = 1
and
current_account_classification_rank = 2,3,4,5</t>
  </si>
  <si>
    <t>historic_account_classification_rank = 1 or 0
and
current_account_classification_rank = 0</t>
  </si>
  <si>
    <t>historic_account_classification_rank = 2,3,4,5
and
current_account_classification_rank = 0
or
historic_account_classification_rank = 1
and
current_account_classification_rank = 1</t>
  </si>
  <si>
    <t>historic_account_classification_rank = 1
and
current_account_classification_rank = 0</t>
  </si>
  <si>
    <t>CurrentAccountClassification</t>
  </si>
  <si>
    <t>Rank</t>
  </si>
  <si>
    <t>Bureau Overrides</t>
  </si>
  <si>
    <t>Final Score</t>
  </si>
  <si>
    <t>STD</t>
  </si>
  <si>
    <t>DPD-0</t>
  </si>
  <si>
    <t>DPD1-30</t>
  </si>
  <si>
    <t>SMA0</t>
  </si>
  <si>
    <t>DPD31-60</t>
  </si>
  <si>
    <t>Override to C rating</t>
  </si>
  <si>
    <t>min of C - 0.02</t>
  </si>
  <si>
    <t>SMA1</t>
  </si>
  <si>
    <t>DPD61–90</t>
  </si>
  <si>
    <t xml:space="preserve">Override to D rating </t>
  </si>
  <si>
    <t>min of D - 0.01</t>
  </si>
  <si>
    <t>SMA2</t>
  </si>
  <si>
    <t>DPD91–180</t>
  </si>
  <si>
    <t>DPD&gt;180</t>
  </si>
  <si>
    <t>SUB</t>
  </si>
  <si>
    <t>RESTRUCTURED</t>
  </si>
  <si>
    <t>NPA</t>
  </si>
  <si>
    <t>DBT</t>
  </si>
  <si>
    <t>LOSS</t>
  </si>
  <si>
    <t>CLOSED</t>
  </si>
  <si>
    <t>Ignore</t>
  </si>
  <si>
    <t>Others + CurrentOverdue_Amt = 0</t>
  </si>
  <si>
    <t>Others + CurrentOverdue_Amt &gt; 0</t>
  </si>
  <si>
    <t>Overdue</t>
  </si>
  <si>
    <t xml:space="preserve"> tsr score</t>
  </si>
  <si>
    <t>Features_core</t>
  </si>
  <si>
    <t>max score cap</t>
  </si>
  <si>
    <t>core(70%)</t>
  </si>
  <si>
    <t>re arranged wights</t>
  </si>
  <si>
    <t>feature values-core</t>
  </si>
  <si>
    <t>Features_non core</t>
  </si>
  <si>
    <t>Non core(30%)</t>
  </si>
  <si>
    <t>re arranged weights</t>
  </si>
  <si>
    <t>feature values - non core</t>
  </si>
  <si>
    <t>Significmant cash transactions_BS</t>
  </si>
  <si>
    <t>Routing of  funds</t>
  </si>
  <si>
    <t xml:space="preserve">Salary payment trend </t>
  </si>
  <si>
    <t>Weighted score</t>
  </si>
  <si>
    <t>Overall rating 5t</t>
  </si>
  <si>
    <t>Range per rating</t>
  </si>
  <si>
    <t>C</t>
  </si>
  <si>
    <t>B</t>
  </si>
  <si>
    <t>BBB</t>
  </si>
  <si>
    <t>A</t>
  </si>
  <si>
    <t>AA</t>
  </si>
  <si>
    <t>AAA</t>
  </si>
  <si>
    <t>Final Model score</t>
  </si>
  <si>
    <t>Upper limits per upper rating (assuming max boost of +2 notches)</t>
  </si>
  <si>
    <t>Points available for movement (upward)</t>
  </si>
  <si>
    <t>V good</t>
  </si>
  <si>
    <t>Good</t>
  </si>
  <si>
    <t>Lower limits per lower rating (assuming max cut of -2 notches)</t>
  </si>
  <si>
    <t>Points available for movement (downward)</t>
  </si>
  <si>
    <t>Bad</t>
  </si>
  <si>
    <t>V Bad</t>
  </si>
  <si>
    <t>New score</t>
  </si>
  <si>
    <t>New rating</t>
  </si>
  <si>
    <t>Diff score</t>
  </si>
  <si>
    <t>Diff %</t>
  </si>
  <si>
    <t>Center point</t>
  </si>
  <si>
    <t>Month</t>
  </si>
  <si>
    <t>Monthly score</t>
  </si>
  <si>
    <t>total_credit_to_loans_repaid_BSA_tally</t>
  </si>
  <si>
    <t>less than 0.75</t>
  </si>
  <si>
    <t>0.75 to 1</t>
  </si>
  <si>
    <t>1 to 1.5</t>
  </si>
  <si>
    <t>1.5 to 2</t>
  </si>
  <si>
    <t>more than 2</t>
  </si>
  <si>
    <t>overutilisation</t>
  </si>
  <si>
    <t>contribution in utilisation</t>
  </si>
  <si>
    <t>&gt; =3</t>
  </si>
  <si>
    <t>1 to 2</t>
  </si>
  <si>
    <t>0 to 0.5</t>
  </si>
  <si>
    <t>&lt; 0</t>
  </si>
  <si>
    <t>sum l6m</t>
  </si>
  <si>
    <t>sum ltm - l6m</t>
  </si>
  <si>
    <t>final computed score</t>
  </si>
  <si>
    <t>final score to model</t>
  </si>
  <si>
    <t>cp</t>
  </si>
  <si>
    <t>avg cred</t>
  </si>
  <si>
    <t>90-180</t>
  </si>
  <si>
    <t>&gt; 180</t>
  </si>
  <si>
    <t>days</t>
  </si>
  <si>
    <t>value</t>
  </si>
  <si>
    <t>a</t>
  </si>
  <si>
    <t>b</t>
  </si>
  <si>
    <t>c</t>
  </si>
  <si>
    <t>d</t>
  </si>
  <si>
    <t>e</t>
  </si>
  <si>
    <t>f</t>
  </si>
  <si>
    <t>g</t>
  </si>
  <si>
    <t>h</t>
  </si>
  <si>
    <t>i</t>
  </si>
  <si>
    <t>concentration_risk_funds received_from_top_5_sources_BS</t>
  </si>
  <si>
    <t>concentration_risk_funds remitted_to_top_5_sources_BS</t>
  </si>
  <si>
    <t>Weightage non core</t>
  </si>
  <si>
    <t>Weightage core</t>
  </si>
  <si>
    <t>0-2</t>
  </si>
  <si>
    <t>TSR Model score</t>
  </si>
  <si>
    <t>fin score</t>
  </si>
  <si>
    <t>Score range</t>
  </si>
  <si>
    <t>Range</t>
  </si>
  <si>
    <t>Very bad</t>
  </si>
  <si>
    <t>red</t>
  </si>
  <si>
    <t>wc_utilisation_ltm_BSA_Tally</t>
  </si>
  <si>
    <t>net_cashflow_movement _tally_BSA</t>
  </si>
  <si>
    <t>bad</t>
  </si>
  <si>
    <t>brownish</t>
  </si>
  <si>
    <t>good</t>
  </si>
  <si>
    <t>light green</t>
  </si>
  <si>
    <t>v good</t>
  </si>
  <si>
    <t>gree</t>
  </si>
  <si>
    <t>Weightage</t>
  </si>
  <si>
    <t>Data avail (flags)</t>
  </si>
  <si>
    <t>Actual value (test)
Select one of data avail (flag)</t>
  </si>
  <si>
    <t>Fin, GST, EPF</t>
  </si>
  <si>
    <t>GST, EPF</t>
  </si>
  <si>
    <t>Fin and GST</t>
  </si>
  <si>
    <t>If period of data avail is less than 6 months (half of final)</t>
  </si>
  <si>
    <t>Boost v good %</t>
  </si>
  <si>
    <t>Boost good %</t>
  </si>
  <si>
    <t>Boost bad %</t>
  </si>
  <si>
    <t>Boost v bad %</t>
  </si>
  <si>
    <t>Boost avg</t>
  </si>
  <si>
    <t>When only GST AV</t>
  </si>
  <si>
    <t>When FIN and GST AV</t>
  </si>
  <si>
    <t>When GST EPFO AV</t>
  </si>
  <si>
    <t>When FIN GST EPFO AV</t>
  </si>
  <si>
    <t>consent score</t>
  </si>
  <si>
    <t>Fin</t>
  </si>
  <si>
    <t>EPFO</t>
  </si>
  <si>
    <t>Original TSR</t>
  </si>
  <si>
    <t>TSR consent</t>
  </si>
  <si>
    <t>TSR</t>
  </si>
  <si>
    <t>vgood</t>
  </si>
  <si>
    <t>avg</t>
  </si>
  <si>
    <t>vbad</t>
  </si>
  <si>
    <t>Fin Model score</t>
  </si>
  <si>
    <t>Avg</t>
  </si>
  <si>
    <t>Testing suggestions</t>
  </si>
  <si>
    <t>TAT (hours)</t>
  </si>
  <si>
    <t>Business shares PDF</t>
  </si>
  <si>
    <t>EPDF</t>
  </si>
  <si>
    <t>Conversion to excel</t>
  </si>
  <si>
    <t>Computation of fin features</t>
  </si>
  <si>
    <t>NA</t>
  </si>
  <si>
    <t>Computation of consent fin score</t>
  </si>
  <si>
    <t>Computation of variable score (function of data cateogories avail and period avail)</t>
  </si>
  <si>
    <t>Updation of model fin score = fin score with consent</t>
  </si>
  <si>
    <t>Computation of final TSR score basis fin score basis consent</t>
  </si>
  <si>
    <t>Computation of non fin consent features</t>
  </si>
  <si>
    <t>Computation of consent non fin score</t>
  </si>
  <si>
    <t>Updation of modelTSR score = TSR score with consent</t>
  </si>
  <si>
    <t>Updation of non fin score in report (model driven non fin score +/- % change in TSR with consent</t>
  </si>
  <si>
    <t>Kalyan to define flow</t>
  </si>
  <si>
    <t>Ordering of report</t>
  </si>
  <si>
    <t>Consent feature value csv</t>
  </si>
  <si>
    <t>5562991a6d6f6f3762099910</t>
  </si>
  <si>
    <t>SCPL</t>
  </si>
  <si>
    <t>original tsr</t>
  </si>
  <si>
    <t>TSR with consent</t>
  </si>
  <si>
    <t>TSR Rating</t>
  </si>
  <si>
    <t>change in fin</t>
  </si>
  <si>
    <t>change in tsr pd</t>
  </si>
  <si>
    <t>Model output</t>
  </si>
  <si>
    <t>Model output+consent</t>
  </si>
  <si>
    <t>Non fin</t>
  </si>
  <si>
    <t>Spectrum</t>
  </si>
  <si>
    <t>WC utilisation_bank statement _BSA</t>
  </si>
  <si>
    <t>Increase in customer ageing</t>
  </si>
  <si>
    <t>funds_insufficient_cheque returns_BSA</t>
  </si>
  <si>
    <t>WC utilisation_bank statement _BSA l6m</t>
  </si>
  <si>
    <t>Risk tree map area</t>
  </si>
  <si>
    <t>Account for CC OD will always be in debit. Can you prepare a cash flow</t>
  </si>
  <si>
    <t>Feature names</t>
  </si>
  <si>
    <t>Score (input)
range = -30 to 70</t>
  </si>
  <si>
    <t>Weight</t>
  </si>
  <si>
    <t>Model</t>
  </si>
  <si>
    <t>Consent data source</t>
  </si>
  <si>
    <t>Consent score</t>
  </si>
  <si>
    <t>Change in model score</t>
  </si>
  <si>
    <t>Final score</t>
  </si>
  <si>
    <t>Feature consent fin soa_1</t>
  </si>
  <si>
    <t xml:space="preserve">Fin </t>
  </si>
  <si>
    <t>Bank statements</t>
  </si>
  <si>
    <t>net total inflow/total inflow</t>
  </si>
  <si>
    <t>Churning</t>
  </si>
  <si>
    <t>Feature consent fin soa_2</t>
  </si>
  <si>
    <t>Net inlow/total inflow</t>
  </si>
  <si>
    <t>Feature consent fin soa_3</t>
  </si>
  <si>
    <t xml:space="preserve">Non core </t>
  </si>
  <si>
    <t>Avg cc od utilisation</t>
  </si>
  <si>
    <t>TSR PD</t>
  </si>
  <si>
    <t>0.5
(input fin score is final fin model score = 0.54775
(input gst score is final gst model score = 0.992)</t>
  </si>
  <si>
    <t>Feature consent fin gst_1</t>
  </si>
  <si>
    <t>Change in avg eod balance. year t-1 to year t</t>
  </si>
  <si>
    <t>Feature consent fin all_weighted score</t>
  </si>
  <si>
    <t>Value of cash dr./total or avg debits 
Value of cash cr./total or avg credits</t>
  </si>
  <si>
    <t>Salary payments</t>
  </si>
  <si>
    <t xml:space="preserve">- Max positive impact for few features to only be "no impact"
- </t>
  </si>
  <si>
    <t>- as a %
- as points
- a % or points which ever is lower
- capping more than two rating shifts</t>
  </si>
  <si>
    <t>Significant cash transactions</t>
  </si>
  <si>
    <t>If fin score is between X to X+20 (i.e. bucket)..range</t>
  </si>
  <si>
    <t>Feature consent gst gst_2</t>
  </si>
  <si>
    <t>Total debit count in cash / total debit count</t>
  </si>
  <si>
    <t>Feature consent gst gst_3</t>
  </si>
  <si>
    <t>Total credit count in cash / total debit count</t>
  </si>
  <si>
    <t>Feature consent gst all_weighted score</t>
  </si>
  <si>
    <t>Feature consent soa other_1</t>
  </si>
  <si>
    <t>Meta model TSR PD</t>
  </si>
  <si>
    <t>Feature consent gst other_2</t>
  </si>
  <si>
    <t>Feature consent soa other_3</t>
  </si>
  <si>
    <t>Feature consent gst other_4</t>
  </si>
  <si>
    <t>next bucket 75th point</t>
  </si>
  <si>
    <t>Feature consent other all_weighted score</t>
  </si>
  <si>
    <t>What you need?</t>
  </si>
  <si>
    <t>Discuss</t>
  </si>
  <si>
    <t>Bank statements for all current accounts and working capital loan accounts.</t>
  </si>
  <si>
    <t>Feasibliity?</t>
  </si>
  <si>
    <t>Period - 
For three financial years
Should include latest financial year which was concluded</t>
  </si>
  <si>
    <t>Rule based approach with top 5 params as starter</t>
  </si>
  <si>
    <t>Perfious to provide an excel output</t>
  </si>
  <si>
    <t>ok</t>
  </si>
  <si>
    <t>Clarity on docs required to BD team</t>
  </si>
  <si>
    <t>Feature</t>
  </si>
  <si>
    <t>Extent of data availbality driven clarity</t>
  </si>
  <si>
    <t>Comment on challenges</t>
  </si>
  <si>
    <t>Rationale for the feature</t>
  </si>
  <si>
    <t>Schedule interview</t>
  </si>
  <si>
    <t>5 to 5:30</t>
  </si>
  <si>
    <t>IN last XX months, monthly utilisation over 90%</t>
  </si>
  <si>
    <t xml:space="preserve">Focus areas assignment
</t>
  </si>
  <si>
    <t>Increasing sanctioned limits</t>
  </si>
  <si>
    <t>Subir ML team limitation</t>
  </si>
  <si>
    <t>Inward cheque bounce count for those issued above a threshold. 
Threshold can be avg of cheques issued in last XX years</t>
  </si>
  <si>
    <t>Round tripping instances</t>
  </si>
  <si>
    <t>No of days account remained over 100% utilisation</t>
  </si>
  <si>
    <t>Count of cheque outward (higher count suggest poor customer profile)
AS % of cheque received
or period over period trend</t>
  </si>
  <si>
    <t>No of debits
Change period to period</t>
  </si>
  <si>
    <t>No of credits
Change period to period</t>
  </si>
  <si>
    <t>Avg dr. balance in a month</t>
  </si>
  <si>
    <t>Avg cr. balance in a month</t>
  </si>
  <si>
    <t>Total debit value / dr. transactions</t>
  </si>
  <si>
    <t>Total credit value / cr. transactions</t>
  </si>
  <si>
    <t>Total cr. transaction value / total sales</t>
  </si>
  <si>
    <t>Total interest paid
Ratios regarding this. Eg. intrest paid / cr. transactions (roxy for sales)
Trend approach to conclude increasing or decreasing int.</t>
  </si>
  <si>
    <t>How to identify bank holiday trasnaction</t>
  </si>
  <si>
    <t>No of debit transactions with related parties</t>
  </si>
  <si>
    <t>No of credit transactions related parties</t>
  </si>
  <si>
    <t>Heavy cash withdrawal in loan accounts.</t>
  </si>
  <si>
    <t>CHeque outward to parties which contributed to highest funds received (% of duration period)</t>
  </si>
  <si>
    <t>Interest paid to total of credit in a month (use trend here rather than value)</t>
  </si>
  <si>
    <t>No of transactions where Dr and Cr is to same party or presence of parties in both Dr Cr</t>
  </si>
  <si>
    <t>Average utilisation</t>
  </si>
  <si>
    <t>Avg. utilisation in last 6 months</t>
  </si>
  <si>
    <t>Weight=35%</t>
  </si>
  <si>
    <t>Ratio of Avg. Debit to Avg. Credit in Last 12 Months
(Churning)</t>
  </si>
  <si>
    <t>Wegiht=20%</t>
  </si>
  <si>
    <t>Concentration risk - funds received from single source</t>
  </si>
  <si>
    <t>Weight = 5%</t>
  </si>
  <si>
    <t>Fin score model driven</t>
  </si>
  <si>
    <t>Input to meta model</t>
  </si>
  <si>
    <t>More than 100%</t>
  </si>
  <si>
    <t>X &lt;100%</t>
  </si>
  <si>
    <t>&gt; 50%</t>
  </si>
  <si>
    <t>top 5 (funds received)</t>
  </si>
  <si>
    <t>Decline basis consent fin</t>
  </si>
  <si>
    <t>90-100%</t>
  </si>
  <si>
    <t>100 to 110 %</t>
  </si>
  <si>
    <t>40 to 50%</t>
  </si>
  <si>
    <t>New fin score</t>
  </si>
  <si>
    <t>New Input to meta model</t>
  </si>
  <si>
    <t>70 to 90%</t>
  </si>
  <si>
    <t>110 to 125%</t>
  </si>
  <si>
    <t>30 to 40%</t>
  </si>
  <si>
    <t>50 to 70%</t>
  </si>
  <si>
    <t>125-150 %</t>
  </si>
  <si>
    <t>20 to 30%</t>
  </si>
  <si>
    <t>30 to 50%</t>
  </si>
  <si>
    <t>10 to 20%</t>
  </si>
  <si>
    <t>Less than 30%</t>
  </si>
  <si>
    <t>0 to 10%</t>
  </si>
  <si>
    <t>Inward cheque returns (negative factor only)</t>
  </si>
  <si>
    <t>Related party transactions</t>
  </si>
  <si>
    <t>Weight = 25%</t>
  </si>
  <si>
    <t>Concentration risk - funds remitted to single source</t>
  </si>
  <si>
    <t>No inward return</t>
  </si>
  <si>
    <t>top 5 (funds paid)</t>
  </si>
  <si>
    <t>Consent fin 1</t>
  </si>
  <si>
    <t>1 to 5 (if CC account then cheque shouldnt bounce due to insufficient funds given it is within drawing power)</t>
  </si>
  <si>
    <t>Consent fin 2</t>
  </si>
  <si>
    <t>more than 5</t>
  </si>
  <si>
    <t>Weighted consent fin score</t>
  </si>
  <si>
    <t>% change in fin score</t>
  </si>
  <si>
    <t>Consent non fin 1</t>
  </si>
  <si>
    <t>No of times account remained over utilised(negative factor only)</t>
  </si>
  <si>
    <t>% interest payout on average utilisation</t>
  </si>
  <si>
    <t>Weight = 10%</t>
  </si>
  <si>
    <t>Consent non fin 2</t>
  </si>
  <si>
    <t>Avg cash balance</t>
  </si>
  <si>
    <t>Weighted non fin consent</t>
  </si>
  <si>
    <t>% change in non fin score</t>
  </si>
  <si>
    <t>Third level is overall PD</t>
  </si>
  <si>
    <t>Check if indeed will get such values</t>
  </si>
  <si>
    <t>Final score on 6 core features for party</t>
  </si>
  <si>
    <t>Scaled score on 6 score features</t>
  </si>
  <si>
    <t>Adjusted scaled score basis 6 features</t>
  </si>
  <si>
    <t>TL</t>
  </si>
  <si>
    <t>WC L</t>
  </si>
  <si>
    <t>Common parties</t>
  </si>
  <si>
    <t>Day 1</t>
  </si>
  <si>
    <t>1 to 5</t>
  </si>
  <si>
    <t>5 to 10</t>
  </si>
  <si>
    <t>Day 2</t>
  </si>
  <si>
    <t>Day 3</t>
  </si>
  <si>
    <t>Day 4</t>
  </si>
  <si>
    <t>Day 5</t>
  </si>
  <si>
    <t>Day 6</t>
  </si>
  <si>
    <t>Day 7</t>
  </si>
  <si>
    <t>bank</t>
  </si>
  <si>
    <t>tsr</t>
  </si>
  <si>
    <t>gstn c</t>
  </si>
  <si>
    <t>epfo</t>
  </si>
  <si>
    <t>gstn</t>
  </si>
  <si>
    <t>fin</t>
  </si>
  <si>
    <t>output</t>
  </si>
  <si>
    <t>best</t>
  </si>
  <si>
    <t>worst</t>
  </si>
  <si>
    <t>medium</t>
  </si>
  <si>
    <t>(10-15+20+50)/(70+70+70+70)</t>
  </si>
  <si>
    <t>2018-19</t>
  </si>
  <si>
    <t>Older 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</si>
</sst>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m-d"/>
    <numFmt numFmtId="166" formatCode="mmmm yyyy"/>
  </numFmts>
  <fonts count="27">
    <font>
      <sz val="10.0"/>
      <color rgb="FF000000"/>
      <name val="Calibri"/>
      <scheme val="minor"/>
    </font>
    <font>
      <b/>
      <color theme="1"/>
      <name val="Calibri"/>
      <scheme val="minor"/>
    </font>
    <font>
      <color theme="1"/>
      <name val="Calibri"/>
      <scheme val="minor"/>
    </font>
    <font>
      <color theme="1"/>
      <name val="Arial"/>
    </font>
    <font>
      <color rgb="FFFF0000"/>
      <name val="Calibri"/>
      <scheme val="minor"/>
    </font>
    <font>
      <b/>
      <color rgb="FF000000"/>
      <name val="&quot;Times New Roman&quot;"/>
    </font>
    <font>
      <color rgb="FFFF0000"/>
      <name val="Arial"/>
    </font>
    <font>
      <color rgb="FF000000"/>
      <name val="Arial"/>
    </font>
    <font>
      <color rgb="FF000000"/>
      <name val="Calibri"/>
      <scheme val="minor"/>
    </font>
    <font>
      <i/>
      <color theme="1"/>
      <name val="Calibri"/>
      <scheme val="minor"/>
    </font>
    <font>
      <b/>
      <u/>
      <color theme="1"/>
      <name val="Calibri"/>
      <scheme val="minor"/>
    </font>
    <font>
      <b/>
      <u/>
      <color theme="1"/>
      <name val="Calibri"/>
      <scheme val="minor"/>
    </font>
    <font>
      <b/>
      <color rgb="FF000000"/>
      <name val="Arial"/>
    </font>
    <font>
      <color rgb="FF000000"/>
      <name val="&quot;Times New Roman&quot;"/>
    </font>
    <font>
      <sz val="11.0"/>
      <color theme="1"/>
      <name val="Calibri"/>
    </font>
    <font>
      <u/>
      <color rgb="FF0000FF"/>
    </font>
    <font>
      <sz val="8.0"/>
      <color rgb="FF000000"/>
      <name val="Arial"/>
    </font>
    <font>
      <sz val="11.0"/>
      <color rgb="FF000000"/>
      <name val="Calibri"/>
    </font>
    <font>
      <color theme="5"/>
      <name val="Calibri"/>
      <scheme val="minor"/>
    </font>
    <font>
      <color rgb="FF000000"/>
      <name val="Calibri"/>
    </font>
    <font>
      <color rgb="FF000000"/>
      <name val="Docs-Calibri"/>
    </font>
    <font>
      <b/>
      <color theme="1"/>
      <name val="Arial"/>
    </font>
    <font>
      <b/>
      <sz val="11.0"/>
      <color theme="1"/>
      <name val="Calibri"/>
    </font>
    <font/>
    <font>
      <b/>
      <color rgb="FFFF0000"/>
      <name val="Calibri"/>
      <scheme val="minor"/>
    </font>
    <font>
      <color rgb="FFEA4335"/>
      <name val="Calibri"/>
      <scheme val="minor"/>
    </font>
    <font>
      <sz val="11.0"/>
      <color rgb="FF222222"/>
      <name val="&quot;Google Sans&quot;"/>
    </font>
  </fonts>
  <fills count="14">
    <fill>
      <patternFill patternType="none"/>
    </fill>
    <fill>
      <patternFill patternType="lightGray"/>
    </fill>
    <fill>
      <patternFill patternType="solid">
        <fgColor rgb="FFFCE5CD"/>
        <bgColor rgb="FFFCE5CD"/>
      </patternFill>
    </fill>
    <fill>
      <patternFill patternType="solid">
        <fgColor rgb="FFD0E0E3"/>
        <bgColor rgb="FFD0E0E3"/>
      </patternFill>
    </fill>
    <fill>
      <patternFill patternType="solid">
        <fgColor rgb="FFC9DAF8"/>
        <bgColor rgb="FFC9DAF8"/>
      </patternFill>
    </fill>
    <fill>
      <patternFill patternType="solid">
        <fgColor rgb="FFFFFF00"/>
        <bgColor rgb="FFFFFF00"/>
      </patternFill>
    </fill>
    <fill>
      <patternFill patternType="solid">
        <fgColor rgb="FFFFFFFF"/>
        <bgColor rgb="FFFFFFFF"/>
      </patternFill>
    </fill>
    <fill>
      <patternFill patternType="solid">
        <fgColor rgb="FFEAD1DC"/>
        <bgColor rgb="FFEAD1DC"/>
      </patternFill>
    </fill>
    <fill>
      <patternFill patternType="solid">
        <fgColor rgb="FFF4CCCC"/>
        <bgColor rgb="FFF4CCCC"/>
      </patternFill>
    </fill>
    <fill>
      <patternFill patternType="solid">
        <fgColor theme="5"/>
        <bgColor theme="5"/>
      </patternFill>
    </fill>
    <fill>
      <patternFill patternType="solid">
        <fgColor rgb="FF00FF00"/>
        <bgColor rgb="FF00FF00"/>
      </patternFill>
    </fill>
    <fill>
      <patternFill patternType="solid">
        <fgColor rgb="FFE2EFDA"/>
        <bgColor rgb="FFE2EFDA"/>
      </patternFill>
    </fill>
    <fill>
      <patternFill patternType="solid">
        <fgColor rgb="FFFFF2CC"/>
        <bgColor rgb="FFFFF2CC"/>
      </patternFill>
    </fill>
    <fill>
      <patternFill patternType="solid">
        <fgColor rgb="FFD9EAD3"/>
        <bgColor rgb="FFD9EAD3"/>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horizontal="left" readingOrder="0"/>
    </xf>
    <xf borderId="0" fillId="0" fontId="2" numFmtId="0" xfId="0" applyAlignment="1" applyFont="1">
      <alignment readingOrder="0"/>
    </xf>
    <xf borderId="1" fillId="2" fontId="3" numFmtId="9" xfId="0" applyAlignment="1" applyBorder="1" applyFill="1" applyFont="1" applyNumberFormat="1">
      <alignment horizontal="left" readingOrder="0" shrinkToFit="0" vertical="bottom" wrapText="1"/>
    </xf>
    <xf borderId="1" fillId="0" fontId="2" numFmtId="0" xfId="0" applyAlignment="1" applyBorder="1" applyFont="1">
      <alignment readingOrder="0"/>
    </xf>
    <xf borderId="1" fillId="0" fontId="2" numFmtId="0" xfId="0" applyAlignment="1" applyBorder="1" applyFont="1">
      <alignment horizontal="left" readingOrder="0"/>
    </xf>
    <xf borderId="1" fillId="0" fontId="2" numFmtId="0" xfId="0" applyBorder="1" applyFont="1"/>
    <xf borderId="1" fillId="3" fontId="3" numFmtId="9" xfId="0" applyAlignment="1" applyBorder="1" applyFill="1" applyFont="1" applyNumberFormat="1">
      <alignment horizontal="left" readingOrder="0" shrinkToFit="0" vertical="bottom" wrapText="1"/>
    </xf>
    <xf borderId="1" fillId="0" fontId="2" numFmtId="0" xfId="0" applyAlignment="1" applyBorder="1" applyFont="1">
      <alignment readingOrder="0" shrinkToFit="0" wrapText="1"/>
    </xf>
    <xf borderId="1" fillId="0" fontId="4" numFmtId="0" xfId="0" applyAlignment="1" applyBorder="1" applyFont="1">
      <alignment readingOrder="0"/>
    </xf>
    <xf borderId="0" fillId="0" fontId="3" numFmtId="9" xfId="0" applyAlignment="1" applyFont="1" applyNumberFormat="1">
      <alignment horizontal="left" readingOrder="0" shrinkToFit="0" vertical="bottom" wrapText="1"/>
    </xf>
    <xf borderId="1" fillId="4" fontId="1" numFmtId="0" xfId="0" applyAlignment="1" applyBorder="1" applyFill="1" applyFont="1">
      <alignment readingOrder="0"/>
    </xf>
    <xf borderId="1" fillId="4" fontId="2" numFmtId="0" xfId="0" applyAlignment="1" applyBorder="1" applyFont="1">
      <alignment readingOrder="0"/>
    </xf>
    <xf borderId="1" fillId="4" fontId="1" numFmtId="0" xfId="0" applyAlignment="1" applyBorder="1" applyFont="1">
      <alignment horizontal="left" readingOrder="0"/>
    </xf>
    <xf borderId="1" fillId="4" fontId="2" numFmtId="0" xfId="0" applyBorder="1" applyFont="1"/>
    <xf borderId="0" fillId="4" fontId="2" numFmtId="0" xfId="0" applyFont="1"/>
    <xf borderId="0" fillId="4" fontId="2" numFmtId="0" xfId="0" applyAlignment="1" applyFont="1">
      <alignment readingOrder="0"/>
    </xf>
    <xf borderId="0" fillId="4" fontId="5" numFmtId="0" xfId="0" applyAlignment="1" applyFont="1">
      <alignment horizontal="left" readingOrder="0" shrinkToFit="0" vertical="bottom" wrapText="1"/>
    </xf>
    <xf borderId="0" fillId="0" fontId="5" numFmtId="0" xfId="0" applyAlignment="1" applyFont="1">
      <alignment horizontal="left" readingOrder="0" shrinkToFit="0" vertical="bottom" wrapText="1"/>
    </xf>
    <xf borderId="1" fillId="2" fontId="6" numFmtId="0" xfId="0" applyAlignment="1" applyBorder="1" applyFont="1">
      <alignment horizontal="left" readingOrder="0" shrinkToFit="0" vertical="bottom" wrapText="1"/>
    </xf>
    <xf borderId="1" fillId="5" fontId="6" numFmtId="0" xfId="0" applyAlignment="1" applyBorder="1" applyFill="1" applyFont="1">
      <alignment horizontal="left" readingOrder="0" shrinkToFit="0" vertical="bottom" wrapText="1"/>
    </xf>
    <xf borderId="0" fillId="0" fontId="2" numFmtId="0" xfId="0" applyAlignment="1" applyFont="1">
      <alignment horizontal="center" readingOrder="0"/>
    </xf>
    <xf borderId="1" fillId="0" fontId="2" numFmtId="0" xfId="0" applyAlignment="1" applyBorder="1" applyFont="1">
      <alignment horizontal="center" readingOrder="0"/>
    </xf>
    <xf borderId="1" fillId="2" fontId="3" numFmtId="0" xfId="0" applyAlignment="1" applyBorder="1" applyFont="1">
      <alignment horizontal="left" readingOrder="0" shrinkToFit="0" vertical="bottom" wrapText="1"/>
    </xf>
    <xf borderId="1" fillId="2" fontId="7" numFmtId="0" xfId="0" applyAlignment="1" applyBorder="1" applyFont="1">
      <alignment readingOrder="0" vertical="bottom"/>
    </xf>
    <xf borderId="1" fillId="0" fontId="8" numFmtId="0" xfId="0" applyAlignment="1" applyBorder="1" applyFont="1">
      <alignment readingOrder="0"/>
    </xf>
    <xf borderId="1" fillId="0" fontId="9" numFmtId="0" xfId="0" applyAlignment="1" applyBorder="1" applyFont="1">
      <alignment readingOrder="0"/>
    </xf>
    <xf borderId="1" fillId="3" fontId="3" numFmtId="0" xfId="0" applyAlignment="1" applyBorder="1" applyFont="1">
      <alignment horizontal="left" readingOrder="0" shrinkToFit="0" vertical="bottom" wrapText="1"/>
    </xf>
    <xf borderId="0" fillId="6" fontId="7" numFmtId="0" xfId="0" applyAlignment="1" applyFill="1" applyFont="1">
      <alignment horizontal="left" readingOrder="0"/>
    </xf>
    <xf borderId="1" fillId="3" fontId="3" numFmtId="0" xfId="0" applyAlignment="1" applyBorder="1" applyFont="1">
      <alignment readingOrder="0" shrinkToFit="0" vertical="bottom" wrapText="1"/>
    </xf>
    <xf borderId="2" fillId="0" fontId="2" numFmtId="0" xfId="0" applyAlignment="1" applyBorder="1" applyFont="1">
      <alignment readingOrder="0"/>
    </xf>
    <xf borderId="2" fillId="3" fontId="3" numFmtId="0" xfId="0" applyAlignment="1" applyBorder="1" applyFont="1">
      <alignment readingOrder="0" shrinkToFit="0" vertical="bottom" wrapText="1"/>
    </xf>
    <xf borderId="1" fillId="0" fontId="10" numFmtId="0" xfId="0" applyAlignment="1" applyBorder="1" applyFont="1">
      <alignment horizontal="left" readingOrder="0"/>
    </xf>
    <xf borderId="0" fillId="0" fontId="2" numFmtId="0" xfId="0" applyAlignment="1" applyFont="1">
      <alignment horizontal="left" readingOrder="0"/>
    </xf>
    <xf borderId="0" fillId="7" fontId="11" numFmtId="0" xfId="0" applyAlignment="1" applyFill="1" applyFont="1">
      <alignment horizontal="left" readingOrder="0"/>
    </xf>
    <xf borderId="0" fillId="7" fontId="1" numFmtId="0" xfId="0" applyAlignment="1" applyFont="1">
      <alignment readingOrder="0" shrinkToFit="0" wrapText="1"/>
    </xf>
    <xf borderId="0" fillId="0" fontId="2" numFmtId="0" xfId="0" applyAlignment="1" applyFont="1">
      <alignment shrinkToFit="0" wrapText="1"/>
    </xf>
    <xf borderId="0" fillId="7" fontId="1" numFmtId="0" xfId="0" applyAlignment="1" applyFont="1">
      <alignment readingOrder="0"/>
    </xf>
    <xf borderId="0" fillId="7" fontId="2" numFmtId="0" xfId="0" applyAlignment="1" applyFont="1">
      <alignment horizontal="left" readingOrder="0" shrinkToFit="0" wrapText="1"/>
    </xf>
    <xf borderId="0" fillId="7" fontId="2" numFmtId="0" xfId="0" applyAlignment="1" applyFont="1">
      <alignment horizontal="left" shrinkToFit="0" wrapText="1"/>
    </xf>
    <xf borderId="0" fillId="7" fontId="2" numFmtId="0" xfId="0" applyAlignment="1" applyFont="1">
      <alignment readingOrder="0"/>
    </xf>
    <xf borderId="0" fillId="0" fontId="2" numFmtId="0" xfId="0" applyAlignment="1" applyFont="1">
      <alignment readingOrder="0" shrinkToFit="0" wrapText="1"/>
    </xf>
    <xf borderId="0" fillId="7" fontId="1" numFmtId="0" xfId="0" applyAlignment="1" applyFont="1">
      <alignment horizontal="left" readingOrder="0"/>
    </xf>
    <xf borderId="0" fillId="7" fontId="2" numFmtId="0" xfId="0" applyAlignment="1" applyFont="1">
      <alignment horizontal="left" readingOrder="0"/>
    </xf>
    <xf borderId="0" fillId="7" fontId="4" numFmtId="0" xfId="0" applyAlignment="1" applyFont="1">
      <alignment horizontal="left" readingOrder="0" shrinkToFit="0" wrapText="1"/>
    </xf>
    <xf borderId="0" fillId="0" fontId="2" numFmtId="0" xfId="0" applyAlignment="1" applyFont="1">
      <alignment horizontal="left"/>
    </xf>
    <xf borderId="0" fillId="0" fontId="5" numFmtId="0" xfId="0" applyAlignment="1" applyFont="1">
      <alignment readingOrder="0" shrinkToFit="0" vertical="bottom" wrapText="1"/>
    </xf>
    <xf borderId="1" fillId="5" fontId="12" numFmtId="0" xfId="0" applyAlignment="1" applyBorder="1" applyFont="1">
      <alignment readingOrder="0" vertical="bottom"/>
    </xf>
    <xf borderId="1" fillId="0" fontId="13" numFmtId="0" xfId="0" applyAlignment="1" applyBorder="1" applyFont="1">
      <alignment horizontal="left" readingOrder="0" shrinkToFit="0" vertical="bottom" wrapText="1"/>
    </xf>
    <xf borderId="1" fillId="0" fontId="13" numFmtId="0" xfId="0" applyAlignment="1" applyBorder="1" applyFont="1">
      <alignment horizontal="center" shrinkToFit="0" vertical="bottom" wrapText="1"/>
    </xf>
    <xf borderId="0" fillId="0" fontId="7" numFmtId="0" xfId="0" applyAlignment="1" applyFont="1">
      <alignment readingOrder="0" vertical="bottom"/>
    </xf>
    <xf borderId="1" fillId="0" fontId="14" numFmtId="0" xfId="0" applyAlignment="1" applyBorder="1" applyFont="1">
      <alignment readingOrder="0" vertical="top"/>
    </xf>
    <xf borderId="1" fillId="0" fontId="14" numFmtId="0" xfId="0" applyAlignment="1" applyBorder="1" applyFont="1">
      <alignment vertical="bottom"/>
    </xf>
    <xf borderId="0" fillId="0" fontId="13" numFmtId="0" xfId="0" applyAlignment="1" applyFont="1">
      <alignment horizontal="center" readingOrder="0" shrinkToFit="0" vertical="bottom" wrapText="1"/>
    </xf>
    <xf borderId="0" fillId="0" fontId="15" numFmtId="0" xfId="0" applyAlignment="1" applyFont="1">
      <alignment readingOrder="0"/>
    </xf>
    <xf borderId="1" fillId="0" fontId="14" numFmtId="0" xfId="0" applyAlignment="1" applyBorder="1" applyFont="1">
      <alignment horizontal="left" readingOrder="0" vertical="top"/>
    </xf>
    <xf borderId="1" fillId="0" fontId="13" numFmtId="0" xfId="0" applyAlignment="1" applyBorder="1" applyFont="1">
      <alignment horizontal="center" readingOrder="0" shrinkToFit="0" vertical="bottom" wrapText="1"/>
    </xf>
    <xf borderId="1" fillId="0" fontId="14" numFmtId="0" xfId="0" applyAlignment="1" applyBorder="1" applyFont="1">
      <alignment readingOrder="0" vertical="bottom"/>
    </xf>
    <xf borderId="1" fillId="0" fontId="14" numFmtId="9" xfId="0" applyAlignment="1" applyBorder="1" applyFont="1" applyNumberFormat="1">
      <alignment vertical="top"/>
    </xf>
    <xf borderId="0" fillId="0" fontId="13" numFmtId="0" xfId="0" applyAlignment="1" applyFont="1">
      <alignment horizontal="left" readingOrder="0" shrinkToFit="0" vertical="bottom" wrapText="1"/>
    </xf>
    <xf borderId="0" fillId="0" fontId="2" numFmtId="0" xfId="0" applyAlignment="1" applyFont="1">
      <alignment horizontal="center"/>
    </xf>
    <xf borderId="0" fillId="0" fontId="2" numFmtId="9" xfId="0" applyAlignment="1" applyFont="1" applyNumberFormat="1">
      <alignment horizontal="left" readingOrder="0"/>
    </xf>
    <xf borderId="1" fillId="0" fontId="7" numFmtId="0" xfId="0" applyAlignment="1" applyBorder="1" applyFont="1">
      <alignment readingOrder="0" vertical="bottom"/>
    </xf>
    <xf borderId="1" fillId="2" fontId="12" numFmtId="0" xfId="0" applyAlignment="1" applyBorder="1" applyFont="1">
      <alignment readingOrder="0" vertical="bottom"/>
    </xf>
    <xf borderId="1" fillId="0" fontId="2" numFmtId="0" xfId="0" applyAlignment="1" applyBorder="1" applyFont="1">
      <alignment horizontal="left"/>
    </xf>
    <xf borderId="1" fillId="0" fontId="2" numFmtId="9" xfId="0" applyAlignment="1" applyBorder="1" applyFont="1" applyNumberFormat="1">
      <alignment horizontal="left" readingOrder="0"/>
    </xf>
    <xf borderId="0" fillId="8" fontId="16" numFmtId="0" xfId="0" applyAlignment="1" applyFill="1" applyFont="1">
      <alignment horizontal="left" readingOrder="0"/>
    </xf>
    <xf borderId="1" fillId="5" fontId="7" numFmtId="0" xfId="0" applyAlignment="1" applyBorder="1" applyFont="1">
      <alignment readingOrder="0" vertical="bottom"/>
    </xf>
    <xf borderId="0" fillId="0" fontId="3" numFmtId="0" xfId="0" applyAlignment="1" applyFont="1">
      <alignment horizontal="left" readingOrder="0" shrinkToFit="0" vertical="bottom" wrapText="1"/>
    </xf>
    <xf borderId="1" fillId="0" fontId="7" numFmtId="0" xfId="0" applyAlignment="1" applyBorder="1" applyFont="1">
      <alignment horizontal="left" readingOrder="0" shrinkToFit="0" vertical="bottom" wrapText="0"/>
    </xf>
    <xf borderId="0" fillId="0" fontId="13" numFmtId="0" xfId="0" applyAlignment="1" applyFont="1">
      <alignment horizontal="center" shrinkToFit="0" vertical="bottom" wrapText="1"/>
    </xf>
    <xf borderId="3" fillId="0" fontId="17" numFmtId="0" xfId="0" applyAlignment="1" applyBorder="1" applyFont="1">
      <alignment horizontal="left" readingOrder="0" shrinkToFit="0" vertical="bottom" wrapText="0"/>
    </xf>
    <xf borderId="3" fillId="9" fontId="17" numFmtId="0" xfId="0" applyAlignment="1" applyBorder="1" applyFill="1" applyFont="1">
      <alignment horizontal="left" readingOrder="0" shrinkToFit="0" vertical="bottom" wrapText="0"/>
    </xf>
    <xf borderId="1" fillId="0" fontId="17" numFmtId="0" xfId="0" applyAlignment="1" applyBorder="1" applyFont="1">
      <alignment horizontal="left" readingOrder="0" shrinkToFit="0" vertical="bottom" wrapText="0"/>
    </xf>
    <xf borderId="0" fillId="0" fontId="2" numFmtId="0" xfId="0" applyFont="1"/>
    <xf borderId="4" fillId="0" fontId="17" numFmtId="0" xfId="0" applyAlignment="1" applyBorder="1" applyFont="1">
      <alignment readingOrder="0" shrinkToFit="0" vertical="bottom" wrapText="0"/>
    </xf>
    <xf borderId="4" fillId="0" fontId="17" numFmtId="0" xfId="0" applyAlignment="1" applyBorder="1" applyFont="1">
      <alignment horizontal="left" readingOrder="0" shrinkToFit="0" vertical="bottom" wrapText="0"/>
    </xf>
    <xf borderId="0" fillId="0" fontId="7" numFmtId="0" xfId="0" applyAlignment="1" applyFont="1">
      <alignment horizontal="left" readingOrder="0" shrinkToFit="0" vertical="bottom" wrapText="0"/>
    </xf>
    <xf borderId="0" fillId="9" fontId="18" numFmtId="0" xfId="0" applyAlignment="1" applyFont="1">
      <alignment horizontal="left"/>
    </xf>
    <xf borderId="1" fillId="3" fontId="7" numFmtId="0" xfId="0" applyAlignment="1" applyBorder="1" applyFont="1">
      <alignment readingOrder="0" vertical="bottom"/>
    </xf>
    <xf borderId="0" fillId="0" fontId="3" numFmtId="0" xfId="0" applyAlignment="1" applyFont="1">
      <alignment readingOrder="0" shrinkToFit="0" vertical="bottom" wrapText="1"/>
    </xf>
    <xf borderId="0" fillId="0" fontId="17" numFmtId="0" xfId="0" applyAlignment="1" applyFont="1">
      <alignment horizontal="left" shrinkToFit="0" vertical="bottom" wrapText="0"/>
    </xf>
    <xf borderId="0" fillId="9" fontId="17" numFmtId="0" xfId="0" applyAlignment="1" applyFont="1">
      <alignment horizontal="left" shrinkToFit="0" vertical="bottom" wrapText="0"/>
    </xf>
    <xf borderId="0" fillId="0" fontId="2" numFmtId="9" xfId="0" applyAlignment="1" applyFont="1" applyNumberFormat="1">
      <alignment readingOrder="0"/>
    </xf>
    <xf borderId="0" fillId="6" fontId="19" numFmtId="0" xfId="0" applyAlignment="1" applyFont="1">
      <alignment horizontal="left" readingOrder="0"/>
    </xf>
    <xf borderId="0" fillId="6" fontId="20" numFmtId="0" xfId="0" applyAlignment="1" applyFont="1">
      <alignment horizontal="left" readingOrder="0"/>
    </xf>
    <xf borderId="4" fillId="0" fontId="17" numFmtId="0" xfId="0" applyAlignment="1" applyBorder="1" applyFont="1">
      <alignment horizontal="left" shrinkToFit="0" vertical="bottom" wrapText="0"/>
    </xf>
    <xf borderId="1" fillId="3" fontId="3" numFmtId="0" xfId="0" applyAlignment="1" applyBorder="1" applyFont="1">
      <alignment readingOrder="0" vertical="bottom"/>
    </xf>
    <xf borderId="2" fillId="3" fontId="6" numFmtId="0" xfId="0" applyAlignment="1" applyBorder="1" applyFont="1">
      <alignment readingOrder="0" vertical="bottom"/>
    </xf>
    <xf borderId="1" fillId="3" fontId="6" numFmtId="0" xfId="0" applyAlignment="1" applyBorder="1" applyFont="1">
      <alignment readingOrder="0" vertical="bottom"/>
    </xf>
    <xf borderId="0" fillId="9" fontId="2" numFmtId="0" xfId="0" applyAlignment="1" applyFont="1">
      <alignment horizontal="left"/>
    </xf>
    <xf borderId="1" fillId="3" fontId="6" numFmtId="0" xfId="0" applyAlignment="1" applyBorder="1" applyFont="1">
      <alignment horizontal="left" readingOrder="0" shrinkToFit="0" vertical="bottom" wrapText="1"/>
    </xf>
    <xf borderId="1" fillId="0" fontId="4" numFmtId="9" xfId="0" applyAlignment="1" applyBorder="1" applyFont="1" applyNumberFormat="1">
      <alignment horizontal="left" readingOrder="0"/>
    </xf>
    <xf borderId="0" fillId="0" fontId="4" numFmtId="0" xfId="0" applyFont="1"/>
    <xf borderId="1" fillId="0" fontId="4" numFmtId="0" xfId="0" applyAlignment="1" applyBorder="1" applyFont="1">
      <alignment horizontal="left" readingOrder="0"/>
    </xf>
    <xf borderId="0" fillId="0" fontId="4" numFmtId="0" xfId="0" applyAlignment="1" applyFont="1">
      <alignment readingOrder="0"/>
    </xf>
    <xf borderId="1" fillId="10" fontId="13" numFmtId="0" xfId="0" applyAlignment="1" applyBorder="1" applyFill="1" applyFont="1">
      <alignment horizontal="center" shrinkToFit="0" vertical="bottom" wrapText="1"/>
    </xf>
    <xf borderId="1" fillId="0" fontId="13" numFmtId="9" xfId="0" applyAlignment="1" applyBorder="1" applyFont="1" applyNumberFormat="1">
      <alignment horizontal="left" readingOrder="0" shrinkToFit="0" vertical="bottom" wrapText="1"/>
    </xf>
    <xf borderId="1" fillId="10" fontId="13" numFmtId="0" xfId="0" applyAlignment="1" applyBorder="1" applyFont="1">
      <alignment horizontal="center" readingOrder="0" shrinkToFit="0" vertical="bottom" wrapText="1"/>
    </xf>
    <xf borderId="1" fillId="0" fontId="3" numFmtId="9" xfId="0" applyAlignment="1" applyBorder="1" applyFont="1" applyNumberFormat="1">
      <alignment readingOrder="0" vertical="bottom"/>
    </xf>
    <xf borderId="1" fillId="2" fontId="3" numFmtId="9" xfId="0" applyAlignment="1" applyBorder="1" applyFont="1" applyNumberFormat="1">
      <alignment readingOrder="0" vertical="bottom"/>
    </xf>
    <xf borderId="1" fillId="0" fontId="3" numFmtId="0" xfId="0" applyAlignment="1" applyBorder="1" applyFont="1">
      <alignment vertical="bottom"/>
    </xf>
    <xf borderId="1" fillId="0" fontId="3" numFmtId="0" xfId="0" applyAlignment="1" applyBorder="1" applyFont="1">
      <alignment shrinkToFit="0" vertical="bottom" wrapText="1"/>
    </xf>
    <xf borderId="1" fillId="3" fontId="3" numFmtId="9" xfId="0" applyAlignment="1" applyBorder="1" applyFont="1" applyNumberFormat="1">
      <alignment vertical="bottom"/>
    </xf>
    <xf borderId="1" fillId="0" fontId="3" numFmtId="0" xfId="0" applyAlignment="1" applyBorder="1" applyFont="1">
      <alignment readingOrder="0" vertical="bottom"/>
    </xf>
    <xf borderId="1" fillId="2" fontId="21" numFmtId="0" xfId="0" applyAlignment="1" applyBorder="1" applyFont="1">
      <alignment readingOrder="0" shrinkToFit="0" vertical="bottom" wrapText="1"/>
    </xf>
    <xf borderId="0" fillId="0" fontId="1" numFmtId="0" xfId="0" applyAlignment="1" applyFont="1">
      <alignment readingOrder="0"/>
    </xf>
    <xf borderId="1" fillId="2" fontId="21" numFmtId="0" xfId="0" applyAlignment="1" applyBorder="1" applyFont="1">
      <alignment shrinkToFit="0" vertical="bottom" wrapText="1"/>
    </xf>
    <xf borderId="1" fillId="3" fontId="21" numFmtId="0" xfId="0" applyAlignment="1" applyBorder="1" applyFont="1">
      <alignment readingOrder="0" shrinkToFit="0" vertical="bottom" wrapText="1"/>
    </xf>
    <xf borderId="1" fillId="3" fontId="21" numFmtId="0" xfId="0" applyAlignment="1" applyBorder="1" applyFont="1">
      <alignment shrinkToFit="0" vertical="bottom" wrapText="1"/>
    </xf>
    <xf borderId="1" fillId="2" fontId="3" numFmtId="0" xfId="0" applyAlignment="1" applyBorder="1" applyFont="1">
      <alignment horizontal="right" readingOrder="0" shrinkToFit="0" vertical="bottom" wrapText="1"/>
    </xf>
    <xf borderId="1" fillId="2" fontId="3" numFmtId="9" xfId="0" applyAlignment="1" applyBorder="1" applyFont="1" applyNumberFormat="1">
      <alignment horizontal="right" vertical="bottom"/>
    </xf>
    <xf borderId="1" fillId="2" fontId="3" numFmtId="0" xfId="0" applyAlignment="1" applyBorder="1" applyFont="1">
      <alignment horizontal="right" readingOrder="0" vertical="bottom"/>
    </xf>
    <xf borderId="1" fillId="3" fontId="3" numFmtId="0" xfId="0" applyAlignment="1" applyBorder="1" applyFont="1">
      <alignment horizontal="right" readingOrder="0" shrinkToFit="0" vertical="bottom" wrapText="1"/>
    </xf>
    <xf borderId="1" fillId="3" fontId="3" numFmtId="9" xfId="0" applyAlignment="1" applyBorder="1" applyFont="1" applyNumberFormat="1">
      <alignment horizontal="right" vertical="bottom"/>
    </xf>
    <xf borderId="1" fillId="3" fontId="3" numFmtId="0" xfId="0" applyAlignment="1" applyBorder="1" applyFont="1">
      <alignment horizontal="right" readingOrder="0" vertical="bottom"/>
    </xf>
    <xf borderId="1" fillId="2" fontId="3" numFmtId="9" xfId="0" applyAlignment="1" applyBorder="1" applyFont="1" applyNumberFormat="1">
      <alignment horizontal="right" readingOrder="0" vertical="bottom"/>
    </xf>
    <xf borderId="1" fillId="3" fontId="3" numFmtId="9" xfId="0" applyAlignment="1" applyBorder="1" applyFont="1" applyNumberFormat="1">
      <alignment horizontal="right" readingOrder="0" vertical="bottom"/>
    </xf>
    <xf borderId="1" fillId="3" fontId="3" numFmtId="10" xfId="0" applyAlignment="1" applyBorder="1" applyFont="1" applyNumberFormat="1">
      <alignment horizontal="right" shrinkToFit="0" vertical="bottom" wrapText="1"/>
    </xf>
    <xf borderId="1" fillId="3" fontId="3" numFmtId="0" xfId="0" applyAlignment="1" applyBorder="1" applyFont="1">
      <alignment vertical="bottom"/>
    </xf>
    <xf borderId="1" fillId="2" fontId="3" numFmtId="0" xfId="0" applyAlignment="1" applyBorder="1" applyFont="1">
      <alignment vertical="bottom"/>
    </xf>
    <xf borderId="1" fillId="3" fontId="3" numFmtId="10" xfId="0" applyAlignment="1" applyBorder="1" applyFont="1" applyNumberFormat="1">
      <alignment vertical="bottom"/>
    </xf>
    <xf borderId="1" fillId="3" fontId="2" numFmtId="0" xfId="0" applyBorder="1" applyFont="1"/>
    <xf borderId="1" fillId="2" fontId="3" numFmtId="9" xfId="0" applyAlignment="1" applyBorder="1" applyFont="1" applyNumberFormat="1">
      <alignment vertical="bottom"/>
    </xf>
    <xf borderId="1" fillId="2" fontId="2" numFmtId="0" xfId="0" applyBorder="1" applyFont="1"/>
    <xf borderId="1" fillId="3" fontId="3" numFmtId="0" xfId="0" applyAlignment="1" applyBorder="1" applyFont="1">
      <alignment shrinkToFit="0" vertical="bottom" wrapText="1"/>
    </xf>
    <xf borderId="1" fillId="2" fontId="3" numFmtId="0" xfId="0" applyAlignment="1" applyBorder="1" applyFont="1">
      <alignment readingOrder="0" vertical="bottom"/>
    </xf>
    <xf borderId="1" fillId="3" fontId="2" numFmtId="0" xfId="0" applyAlignment="1" applyBorder="1" applyFont="1">
      <alignment shrinkToFit="0" wrapText="1"/>
    </xf>
    <xf borderId="1" fillId="3" fontId="3" numFmtId="1" xfId="0" applyAlignment="1" applyBorder="1" applyFont="1" applyNumberFormat="1">
      <alignment readingOrder="0" vertical="bottom"/>
    </xf>
    <xf borderId="1" fillId="10" fontId="2" numFmtId="2" xfId="0" applyBorder="1" applyFont="1" applyNumberFormat="1"/>
    <xf borderId="1" fillId="10" fontId="3" numFmtId="0" xfId="0" applyAlignment="1" applyBorder="1" applyFont="1">
      <alignment horizontal="right" vertical="bottom"/>
    </xf>
    <xf borderId="0" fillId="0" fontId="3" numFmtId="0" xfId="0" applyAlignment="1" applyFont="1">
      <alignment vertical="bottom"/>
    </xf>
    <xf borderId="1" fillId="0" fontId="3" numFmtId="0" xfId="0" applyAlignment="1" applyBorder="1" applyFont="1">
      <alignment horizontal="right" vertical="bottom"/>
    </xf>
    <xf borderId="0" fillId="0" fontId="3" numFmtId="0" xfId="0" applyAlignment="1" applyFont="1">
      <alignment shrinkToFit="0" vertical="bottom" wrapText="1"/>
    </xf>
    <xf borderId="5" fillId="11" fontId="22" numFmtId="0" xfId="0" applyAlignment="1" applyBorder="1" applyFill="1" applyFont="1">
      <alignment horizontal="center" vertical="bottom"/>
    </xf>
    <xf borderId="6" fillId="0" fontId="23" numFmtId="0" xfId="0" applyBorder="1" applyFont="1"/>
    <xf borderId="1" fillId="11" fontId="3" numFmtId="4" xfId="0" applyAlignment="1" applyBorder="1" applyFont="1" applyNumberFormat="1">
      <alignment horizontal="center" vertical="bottom"/>
    </xf>
    <xf borderId="1" fillId="11" fontId="3" numFmtId="0" xfId="0" applyAlignment="1" applyBorder="1" applyFont="1">
      <alignment horizontal="center" vertical="bottom"/>
    </xf>
    <xf borderId="0" fillId="0" fontId="2" numFmtId="4" xfId="0" applyFont="1" applyNumberFormat="1"/>
    <xf borderId="1" fillId="11" fontId="3" numFmtId="4" xfId="0" applyAlignment="1" applyBorder="1" applyFont="1" applyNumberFormat="1">
      <alignment horizontal="center" readingOrder="0" vertical="bottom"/>
    </xf>
    <xf borderId="1" fillId="11" fontId="14" numFmtId="4" xfId="0" applyAlignment="1" applyBorder="1" applyFont="1" applyNumberFormat="1">
      <alignment horizontal="right" vertical="bottom"/>
    </xf>
    <xf borderId="1" fillId="11" fontId="3" numFmtId="0" xfId="0" applyAlignment="1" applyBorder="1" applyFont="1">
      <alignment vertical="bottom"/>
    </xf>
    <xf borderId="1" fillId="12" fontId="1" numFmtId="0" xfId="0" applyAlignment="1" applyBorder="1" applyFill="1" applyFont="1">
      <alignment readingOrder="0" shrinkToFit="0" wrapText="1"/>
    </xf>
    <xf borderId="1" fillId="12" fontId="2" numFmtId="0" xfId="0" applyAlignment="1" applyBorder="1" applyFont="1">
      <alignment readingOrder="0"/>
    </xf>
    <xf borderId="1" fillId="0" fontId="2" numFmtId="3" xfId="0" applyAlignment="1" applyBorder="1" applyFont="1" applyNumberFormat="1">
      <alignment readingOrder="0"/>
    </xf>
    <xf borderId="1" fillId="0" fontId="2" numFmtId="3" xfId="0" applyBorder="1" applyFont="1" applyNumberFormat="1"/>
    <xf borderId="1" fillId="0" fontId="2" numFmtId="4" xfId="0" applyAlignment="1" applyBorder="1" applyFont="1" applyNumberFormat="1">
      <alignment readingOrder="0"/>
    </xf>
    <xf borderId="1" fillId="0" fontId="2" numFmtId="4" xfId="0" applyBorder="1" applyFont="1" applyNumberFormat="1"/>
    <xf borderId="1" fillId="0" fontId="2" numFmtId="3" xfId="0" applyAlignment="1" applyBorder="1" applyFont="1" applyNumberFormat="1">
      <alignment shrinkToFit="0" wrapText="1"/>
    </xf>
    <xf borderId="1" fillId="13" fontId="1" numFmtId="0" xfId="0" applyAlignment="1" applyBorder="1" applyFill="1" applyFont="1">
      <alignment readingOrder="0"/>
    </xf>
    <xf borderId="1" fillId="13" fontId="1" numFmtId="0" xfId="0" applyBorder="1" applyFont="1"/>
    <xf borderId="1" fillId="0" fontId="2" numFmtId="10" xfId="0" applyBorder="1" applyFont="1" applyNumberFormat="1"/>
    <xf borderId="0" fillId="0" fontId="1" numFmtId="0" xfId="0" applyFont="1"/>
    <xf borderId="0" fillId="0" fontId="24" numFmtId="0" xfId="0" applyAlignment="1" applyFont="1">
      <alignment readingOrder="0"/>
    </xf>
    <xf borderId="0" fillId="0" fontId="24" numFmtId="0" xfId="0" applyFont="1"/>
    <xf borderId="7" fillId="0" fontId="14" numFmtId="0" xfId="0" applyBorder="1" applyFont="1"/>
    <xf borderId="8" fillId="0" fontId="14" numFmtId="0" xfId="0" applyBorder="1" applyFont="1"/>
    <xf borderId="1" fillId="0" fontId="14" numFmtId="0" xfId="0" applyBorder="1" applyFont="1"/>
    <xf borderId="9" fillId="0" fontId="14" numFmtId="0" xfId="0" applyAlignment="1" applyBorder="1" applyFont="1">
      <alignment readingOrder="0"/>
    </xf>
    <xf borderId="10" fillId="0" fontId="14" numFmtId="0" xfId="0" applyBorder="1" applyFont="1"/>
    <xf borderId="0" fillId="0" fontId="14" numFmtId="9" xfId="0" applyFont="1" applyNumberFormat="1"/>
    <xf borderId="0" fillId="0" fontId="14" numFmtId="10" xfId="0" applyFont="1" applyNumberFormat="1"/>
    <xf borderId="0" fillId="0" fontId="22" numFmtId="0" xfId="0" applyFont="1"/>
    <xf borderId="5" fillId="0" fontId="3" numFmtId="0" xfId="0" applyAlignment="1" applyBorder="1" applyFont="1">
      <alignment vertical="bottom"/>
    </xf>
    <xf borderId="6" fillId="0" fontId="3" numFmtId="0" xfId="0" applyAlignment="1" applyBorder="1" applyFont="1">
      <alignment shrinkToFit="0" vertical="bottom" wrapText="1"/>
    </xf>
    <xf borderId="1" fillId="3" fontId="3" numFmtId="9" xfId="0" applyAlignment="1" applyBorder="1" applyFont="1" applyNumberFormat="1">
      <alignment readingOrder="0" vertical="bottom"/>
    </xf>
    <xf borderId="0" fillId="0" fontId="21" numFmtId="0" xfId="0" applyAlignment="1" applyFont="1">
      <alignment readingOrder="0" shrinkToFit="0" vertical="bottom" wrapText="1"/>
    </xf>
    <xf borderId="0" fillId="0" fontId="3" numFmtId="0" xfId="0" applyAlignment="1" applyFont="1">
      <alignment horizontal="right" readingOrder="0" shrinkToFit="0" vertical="bottom" wrapText="1"/>
    </xf>
    <xf borderId="1" fillId="3" fontId="2" numFmtId="0" xfId="0" applyAlignment="1" applyBorder="1" applyFont="1">
      <alignment readingOrder="0"/>
    </xf>
    <xf borderId="1" fillId="10" fontId="2" numFmtId="164" xfId="0" applyBorder="1" applyFont="1" applyNumberFormat="1"/>
    <xf borderId="1" fillId="0" fontId="2" numFmtId="165" xfId="0" applyAlignment="1" applyBorder="1" applyFont="1" applyNumberFormat="1">
      <alignment readingOrder="0"/>
    </xf>
    <xf borderId="1" fillId="0" fontId="2" numFmtId="0" xfId="0" applyAlignment="1" applyBorder="1" applyFont="1">
      <alignment shrinkToFit="0" wrapText="1"/>
    </xf>
    <xf borderId="0" fillId="0" fontId="2" numFmtId="165" xfId="0" applyAlignment="1" applyFont="1" applyNumberFormat="1">
      <alignment readingOrder="0"/>
    </xf>
    <xf borderId="1" fillId="3" fontId="3" numFmtId="0" xfId="0" applyAlignment="1" applyBorder="1" applyFont="1">
      <alignment readingOrder="0" vertical="bottom"/>
    </xf>
    <xf borderId="1" fillId="0" fontId="5" numFmtId="0" xfId="0" applyAlignment="1" applyBorder="1" applyFont="1">
      <alignment horizontal="center" readingOrder="0" shrinkToFit="0" vertical="bottom" wrapText="1"/>
    </xf>
    <xf borderId="1" fillId="2" fontId="3" numFmtId="10" xfId="0" applyAlignment="1" applyBorder="1" applyFont="1" applyNumberFormat="1">
      <alignment vertical="bottom"/>
    </xf>
    <xf borderId="0" fillId="0" fontId="2" numFmtId="0" xfId="0" applyAlignment="1" applyFont="1">
      <alignment readingOrder="0" shrinkToFit="0" vertical="center" wrapText="1"/>
    </xf>
    <xf borderId="0" fillId="0" fontId="4" numFmtId="0" xfId="0" applyAlignment="1" applyFont="1">
      <alignment readingOrder="0" shrinkToFit="0" wrapText="1"/>
    </xf>
    <xf borderId="0" fillId="0" fontId="25" numFmtId="0" xfId="0" applyAlignment="1" applyFont="1">
      <alignment readingOrder="0"/>
    </xf>
    <xf borderId="0" fillId="0" fontId="25" numFmtId="0" xfId="0" applyFont="1"/>
    <xf borderId="0" fillId="0" fontId="25" numFmtId="0" xfId="0" applyAlignment="1" applyFont="1">
      <alignment readingOrder="0" shrinkToFit="0" wrapText="1"/>
    </xf>
    <xf borderId="0" fillId="6" fontId="26" numFmtId="0" xfId="0" applyAlignment="1" applyFont="1">
      <alignment readingOrder="0"/>
    </xf>
    <xf borderId="0" fillId="0" fontId="2" numFmtId="10" xfId="0" applyFont="1" applyNumberFormat="1"/>
    <xf borderId="0" fillId="0" fontId="2" numFmtId="10" xfId="0" applyAlignment="1" applyFont="1" applyNumberFormat="1">
      <alignment readingOrder="0"/>
    </xf>
    <xf borderId="1" fillId="3" fontId="3" numFmtId="10" xfId="0" applyAlignment="1" applyBorder="1" applyFont="1" applyNumberFormat="1">
      <alignment horizontal="right" readingOrder="0" shrinkToFit="0" vertical="bottom" wrapText="1"/>
    </xf>
    <xf borderId="1" fillId="13" fontId="1" numFmtId="2" xfId="0" applyBorder="1" applyFont="1" applyNumberFormat="1"/>
    <xf borderId="1" fillId="0" fontId="2" numFmtId="2" xfId="0" applyBorder="1" applyFont="1" applyNumberFormat="1"/>
    <xf borderId="1" fillId="0" fontId="1" numFmtId="0" xfId="0" applyBorder="1" applyFont="1"/>
    <xf borderId="1" fillId="0" fontId="24" numFmtId="0" xfId="0" applyAlignment="1" applyBorder="1" applyFont="1">
      <alignment readingOrder="0" shrinkToFit="0" wrapText="1"/>
    </xf>
    <xf borderId="1" fillId="0" fontId="2" numFmtId="9" xfId="0" applyAlignment="1" applyBorder="1" applyFont="1" applyNumberFormat="1">
      <alignment readingOrder="0"/>
    </xf>
    <xf borderId="1" fillId="0" fontId="4" numFmtId="0" xfId="0" applyBorder="1" applyFont="1"/>
    <xf borderId="1" fillId="10" fontId="2" numFmtId="0" xfId="0" applyBorder="1" applyFont="1"/>
    <xf borderId="1" fillId="0" fontId="5" numFmtId="0" xfId="0" applyAlignment="1" applyBorder="1" applyFont="1">
      <alignment readingOrder="0" shrinkToFit="0" vertical="bottom" wrapText="1"/>
    </xf>
    <xf borderId="6" fillId="0" fontId="5"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13" numFmtId="0" xfId="0" applyAlignment="1" applyBorder="1" applyFont="1">
      <alignment readingOrder="0" shrinkToFit="0" vertical="bottom" wrapText="1"/>
    </xf>
    <xf borderId="0" fillId="0" fontId="17" numFmtId="0" xfId="0" applyAlignment="1" applyFont="1">
      <alignment shrinkToFit="0" vertical="bottom" wrapText="0"/>
    </xf>
    <xf borderId="1" fillId="10" fontId="13" numFmtId="0" xfId="0" applyAlignment="1" applyBorder="1" applyFont="1">
      <alignment readingOrder="0" shrinkToFit="0" vertical="bottom" wrapText="1"/>
    </xf>
    <xf borderId="1" fillId="10" fontId="5" numFmtId="0" xfId="0" applyAlignment="1" applyBorder="1" applyFont="1">
      <alignment horizontal="center" readingOrder="0" shrinkToFit="0" vertical="bottom" wrapText="1"/>
    </xf>
    <xf borderId="0" fillId="0" fontId="17" numFmtId="0" xfId="0" applyAlignment="1" applyFont="1">
      <alignment horizontal="right" readingOrder="0" shrinkToFit="0" vertical="bottom" wrapText="0"/>
    </xf>
    <xf borderId="1" fillId="10" fontId="1" numFmtId="0" xfId="0" applyAlignment="1" applyBorder="1" applyFont="1">
      <alignment readingOrder="0"/>
    </xf>
    <xf borderId="0" fillId="0" fontId="13" numFmtId="0" xfId="0" applyAlignment="1" applyFont="1">
      <alignment readingOrder="0" shrinkToFit="0" vertical="bottom" wrapText="1"/>
    </xf>
    <xf borderId="0" fillId="0" fontId="13" numFmtId="0" xfId="0" applyAlignment="1" applyFont="1">
      <alignment shrinkToFit="0" vertical="bottom" wrapText="1"/>
    </xf>
    <xf borderId="5" fillId="8" fontId="5" numFmtId="0" xfId="0" applyAlignment="1" applyBorder="1" applyFont="1">
      <alignment readingOrder="0" shrinkToFit="0" vertical="bottom" wrapText="1"/>
    </xf>
    <xf borderId="5" fillId="0" fontId="5" numFmtId="0" xfId="0" applyAlignment="1" applyBorder="1" applyFont="1">
      <alignment readingOrder="0" shrinkToFit="0" vertical="bottom" wrapText="1"/>
    </xf>
    <xf borderId="6" fillId="0" fontId="5" numFmtId="0" xfId="0" applyAlignment="1" applyBorder="1" applyFont="1">
      <alignment readingOrder="0" shrinkToFit="0" vertical="bottom" wrapText="1"/>
    </xf>
    <xf borderId="1" fillId="10" fontId="2" numFmtId="0" xfId="0" applyAlignment="1" applyBorder="1" applyFont="1">
      <alignment readingOrder="0"/>
    </xf>
    <xf borderId="1" fillId="8" fontId="2" numFmtId="0" xfId="0" applyAlignment="1" applyBorder="1" applyFont="1">
      <alignment readingOrder="0" shrinkToFit="0" wrapText="1"/>
    </xf>
    <xf borderId="1" fillId="8" fontId="2" numFmtId="0" xfId="0" applyAlignment="1" applyBorder="1" applyFont="1">
      <alignment readingOrder="0"/>
    </xf>
    <xf borderId="1" fillId="8" fontId="2" numFmtId="0" xfId="0" applyBorder="1" applyFont="1"/>
    <xf borderId="0" fillId="8" fontId="2" numFmtId="0" xfId="0" applyFont="1"/>
    <xf borderId="1" fillId="8" fontId="1" numFmtId="0" xfId="0" applyAlignment="1" applyBorder="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123825</xdr:colOff>
      <xdr:row>0</xdr:row>
      <xdr:rowOff>0</xdr:rowOff>
    </xdr:from>
    <xdr:ext cx="8696325" cy="6686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0ZsYPAvyLTeRQ48DaBE7oEcaa6RfoOp2/edit"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0ZsYPAvyLTeRQ48DaBE7oEcaa6RfoOp2/edit"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5.xml"/><Relationship Id="rId3"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8.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75"/>
  <cols>
    <col customWidth="1" min="1" max="1" width="21.71"/>
    <col customWidth="1" min="2" max="2" width="12.14"/>
    <col customWidth="1" min="3" max="3" width="42.57"/>
    <col customWidth="1" min="4" max="4" width="32.14"/>
    <col customWidth="1" min="5" max="5" width="82.86"/>
    <col customWidth="1" min="6" max="6" width="57.0"/>
    <col customWidth="1" min="8" max="8" width="20.86"/>
    <col customWidth="1" min="9" max="11" width="17.86"/>
    <col customWidth="1" min="17" max="17" width="16.57"/>
  </cols>
  <sheetData>
    <row r="1">
      <c r="A1" s="1" t="s">
        <v>0</v>
      </c>
      <c r="B1" s="2" t="s">
        <v>1</v>
      </c>
      <c r="C1" s="3" t="s">
        <v>2</v>
      </c>
      <c r="D1" s="1" t="s">
        <v>3</v>
      </c>
      <c r="E1" s="1" t="s">
        <v>4</v>
      </c>
      <c r="F1" s="1" t="s">
        <v>5</v>
      </c>
      <c r="H1" s="1" t="s">
        <v>6</v>
      </c>
      <c r="I1" s="2" t="s">
        <v>7</v>
      </c>
      <c r="J1" s="1" t="s">
        <v>8</v>
      </c>
      <c r="K1" s="1" t="s">
        <v>9</v>
      </c>
      <c r="L1" s="1"/>
      <c r="M1" s="1"/>
      <c r="O1" s="4" t="s">
        <v>10</v>
      </c>
      <c r="P1" s="4" t="s">
        <v>11</v>
      </c>
      <c r="Q1" s="4" t="s">
        <v>12</v>
      </c>
      <c r="R1" s="5">
        <v>0.7</v>
      </c>
      <c r="S1" s="6" t="s">
        <v>13</v>
      </c>
      <c r="U1" s="2" t="s">
        <v>14</v>
      </c>
      <c r="V1" s="2" t="s">
        <v>15</v>
      </c>
      <c r="W1" s="2" t="s">
        <v>16</v>
      </c>
    </row>
    <row r="2">
      <c r="A2" s="6" t="s">
        <v>17</v>
      </c>
      <c r="B2" s="6">
        <v>100.0</v>
      </c>
      <c r="C2" s="7" t="s">
        <v>18</v>
      </c>
      <c r="D2" s="6"/>
      <c r="E2" s="6"/>
      <c r="F2" s="6"/>
      <c r="H2" s="6"/>
      <c r="I2" s="6"/>
      <c r="J2" s="6"/>
      <c r="K2" s="6" t="s">
        <v>19</v>
      </c>
      <c r="L2" s="8"/>
      <c r="M2" s="8"/>
      <c r="R2" s="9">
        <v>0.3</v>
      </c>
      <c r="S2" s="6" t="s">
        <v>20</v>
      </c>
      <c r="U2" s="10" t="s">
        <v>21</v>
      </c>
      <c r="V2" s="10">
        <v>90.0</v>
      </c>
      <c r="W2" s="10">
        <v>10.0</v>
      </c>
    </row>
    <row r="3">
      <c r="A3" s="6" t="s">
        <v>17</v>
      </c>
      <c r="B3" s="11">
        <v>70.0</v>
      </c>
      <c r="C3" s="7" t="s">
        <v>22</v>
      </c>
      <c r="D3" s="11"/>
      <c r="E3" s="11"/>
      <c r="F3" s="11"/>
      <c r="H3" s="8"/>
      <c r="I3" s="8"/>
      <c r="J3" s="8"/>
      <c r="K3" s="6" t="s">
        <v>19</v>
      </c>
      <c r="L3" s="8"/>
      <c r="M3" s="8"/>
      <c r="O3" s="12"/>
      <c r="U3" s="10" t="s">
        <v>23</v>
      </c>
      <c r="V3" s="10">
        <v>80.0</v>
      </c>
      <c r="W3" s="10">
        <v>20.0</v>
      </c>
    </row>
    <row r="4">
      <c r="A4" s="8"/>
      <c r="B4" s="1"/>
      <c r="C4" s="3"/>
      <c r="D4" s="1"/>
      <c r="E4" s="1"/>
      <c r="F4" s="1"/>
      <c r="H4" s="8"/>
      <c r="I4" s="8"/>
      <c r="J4" s="8"/>
      <c r="K4" s="8"/>
      <c r="L4" s="8"/>
      <c r="M4" s="8"/>
      <c r="O4" s="12"/>
      <c r="U4" s="10" t="s">
        <v>24</v>
      </c>
      <c r="V4" s="10">
        <v>70.0</v>
      </c>
      <c r="W4" s="10">
        <v>30.0</v>
      </c>
    </row>
    <row r="5">
      <c r="A5" s="13" t="s">
        <v>25</v>
      </c>
      <c r="B5" s="14"/>
      <c r="C5" s="15"/>
      <c r="D5" s="14"/>
      <c r="E5" s="14"/>
      <c r="F5" s="14"/>
      <c r="H5" s="14"/>
      <c r="I5" s="14"/>
      <c r="J5" s="14"/>
      <c r="K5" s="14"/>
      <c r="L5" s="14"/>
      <c r="M5" s="16"/>
      <c r="N5" s="17"/>
      <c r="O5" s="17"/>
      <c r="P5" s="18"/>
      <c r="Q5" s="17"/>
      <c r="R5" s="19"/>
      <c r="S5" s="19"/>
      <c r="T5" s="17"/>
      <c r="U5" s="17"/>
      <c r="V5" s="17"/>
      <c r="W5" s="17"/>
      <c r="X5" s="17"/>
      <c r="Y5" s="17"/>
      <c r="Z5" s="17"/>
      <c r="AA5" s="17"/>
      <c r="AB5" s="17"/>
    </row>
    <row r="6">
      <c r="A6" s="6"/>
      <c r="B6" s="6"/>
      <c r="C6" s="3"/>
      <c r="D6" s="6"/>
      <c r="E6" s="6"/>
      <c r="F6" s="6"/>
      <c r="H6" s="6"/>
      <c r="I6" s="6"/>
      <c r="J6" s="6"/>
      <c r="K6" s="6"/>
      <c r="L6" s="6"/>
      <c r="M6" s="8"/>
      <c r="P6" s="4"/>
      <c r="R6" s="20"/>
      <c r="S6" s="20"/>
    </row>
    <row r="7">
      <c r="A7" s="6" t="s">
        <v>26</v>
      </c>
      <c r="B7" s="6">
        <v>20.0</v>
      </c>
      <c r="C7" s="21" t="s">
        <v>27</v>
      </c>
      <c r="D7" s="6" t="s">
        <v>28</v>
      </c>
      <c r="E7" s="6" t="s">
        <v>29</v>
      </c>
      <c r="F7" s="6" t="s">
        <v>30</v>
      </c>
      <c r="H7" s="6">
        <v>30.0</v>
      </c>
      <c r="I7" s="6" t="s">
        <v>31</v>
      </c>
      <c r="J7" s="6"/>
      <c r="K7" s="6" t="s">
        <v>32</v>
      </c>
      <c r="L7" s="6"/>
      <c r="M7" s="8"/>
      <c r="P7" s="4" t="s">
        <v>33</v>
      </c>
      <c r="R7" s="20" t="s">
        <v>34</v>
      </c>
      <c r="S7" s="20" t="s">
        <v>34</v>
      </c>
    </row>
    <row r="8">
      <c r="A8" s="6"/>
      <c r="B8" s="6">
        <v>20.0</v>
      </c>
      <c r="C8" s="22" t="s">
        <v>35</v>
      </c>
      <c r="D8" s="6"/>
      <c r="E8" s="6" t="s">
        <v>36</v>
      </c>
      <c r="F8" s="6" t="s">
        <v>37</v>
      </c>
      <c r="H8" s="6"/>
      <c r="I8" s="6"/>
      <c r="J8" s="6"/>
      <c r="K8" s="6" t="s">
        <v>38</v>
      </c>
      <c r="L8" s="6"/>
      <c r="M8" s="8"/>
      <c r="P8" s="4"/>
      <c r="R8" s="23"/>
      <c r="S8" s="23"/>
    </row>
    <row r="9">
      <c r="A9" s="6" t="s">
        <v>26</v>
      </c>
      <c r="B9" s="6">
        <v>10.0</v>
      </c>
      <c r="C9" s="21" t="s">
        <v>39</v>
      </c>
      <c r="D9" s="6" t="s">
        <v>28</v>
      </c>
      <c r="E9" s="6" t="s">
        <v>40</v>
      </c>
      <c r="F9" s="6" t="s">
        <v>41</v>
      </c>
      <c r="H9" s="6">
        <v>0.0</v>
      </c>
      <c r="I9" s="6" t="s">
        <v>31</v>
      </c>
      <c r="J9" s="6"/>
      <c r="K9" s="6" t="s">
        <v>38</v>
      </c>
      <c r="L9" s="6"/>
      <c r="M9" s="8"/>
      <c r="P9" s="4" t="s">
        <v>33</v>
      </c>
      <c r="R9" s="24">
        <v>30.0</v>
      </c>
      <c r="S9" s="24">
        <v>30.0</v>
      </c>
    </row>
    <row r="10">
      <c r="A10" s="6"/>
      <c r="B10" s="6">
        <v>10.0</v>
      </c>
      <c r="C10" s="22" t="s">
        <v>42</v>
      </c>
      <c r="D10" s="6"/>
      <c r="E10" s="6"/>
      <c r="F10" s="6" t="s">
        <v>43</v>
      </c>
      <c r="H10" s="6"/>
      <c r="I10" s="6"/>
      <c r="J10" s="6"/>
      <c r="K10" s="6" t="s">
        <v>38</v>
      </c>
      <c r="L10" s="6"/>
      <c r="M10" s="8"/>
      <c r="P10" s="4"/>
      <c r="R10" s="24"/>
      <c r="S10" s="24"/>
      <c r="W10" s="4"/>
      <c r="X10" s="4"/>
    </row>
    <row r="11">
      <c r="A11" s="6" t="s">
        <v>44</v>
      </c>
      <c r="B11" s="6">
        <v>20.0</v>
      </c>
      <c r="C11" s="21" t="s">
        <v>45</v>
      </c>
      <c r="D11" s="6" t="s">
        <v>46</v>
      </c>
      <c r="E11" s="6" t="s">
        <v>47</v>
      </c>
      <c r="F11" s="6" t="s">
        <v>48</v>
      </c>
      <c r="H11" s="6"/>
      <c r="I11" s="6" t="s">
        <v>31</v>
      </c>
      <c r="J11" s="6"/>
      <c r="K11" s="6" t="s">
        <v>32</v>
      </c>
      <c r="L11" s="6"/>
      <c r="M11" s="8"/>
      <c r="P11" s="4" t="s">
        <v>33</v>
      </c>
      <c r="R11" s="24">
        <v>15.0</v>
      </c>
      <c r="S11" s="24">
        <v>15.0</v>
      </c>
      <c r="W11" s="4" t="s">
        <v>49</v>
      </c>
      <c r="X11" s="4" t="s">
        <v>50</v>
      </c>
    </row>
    <row r="12">
      <c r="A12" s="6" t="s">
        <v>26</v>
      </c>
      <c r="B12" s="6">
        <v>20.0</v>
      </c>
      <c r="C12" s="25" t="s">
        <v>51</v>
      </c>
      <c r="D12" s="6" t="s">
        <v>52</v>
      </c>
      <c r="E12" s="6" t="s">
        <v>53</v>
      </c>
      <c r="F12" s="6" t="s">
        <v>54</v>
      </c>
      <c r="H12" s="6"/>
      <c r="I12" s="6" t="s">
        <v>31</v>
      </c>
      <c r="J12" s="6"/>
      <c r="K12" s="6" t="s">
        <v>32</v>
      </c>
      <c r="L12" s="6"/>
      <c r="M12" s="8"/>
      <c r="P12" s="4" t="s">
        <v>33</v>
      </c>
      <c r="R12" s="24">
        <v>0.0</v>
      </c>
      <c r="S12" s="24">
        <v>0.0</v>
      </c>
    </row>
    <row r="13">
      <c r="A13" s="6" t="s">
        <v>26</v>
      </c>
      <c r="B13" s="6">
        <v>10.0</v>
      </c>
      <c r="C13" s="26" t="s">
        <v>55</v>
      </c>
      <c r="D13" s="6" t="s">
        <v>56</v>
      </c>
      <c r="E13" s="6" t="s">
        <v>57</v>
      </c>
      <c r="F13" s="27" t="s">
        <v>58</v>
      </c>
      <c r="H13" s="6"/>
      <c r="I13" s="6" t="s">
        <v>31</v>
      </c>
      <c r="J13" s="6"/>
      <c r="K13" s="6" t="s">
        <v>32</v>
      </c>
      <c r="L13" s="6"/>
      <c r="M13" s="8"/>
      <c r="P13" s="4" t="s">
        <v>33</v>
      </c>
      <c r="R13" s="24">
        <v>-15.0</v>
      </c>
      <c r="S13" s="24">
        <v>-15.0</v>
      </c>
    </row>
    <row r="14">
      <c r="A14" s="6" t="s">
        <v>26</v>
      </c>
      <c r="B14" s="6">
        <v>10.0</v>
      </c>
      <c r="C14" s="21" t="s">
        <v>59</v>
      </c>
      <c r="D14" s="6" t="s">
        <v>28</v>
      </c>
      <c r="E14" s="6" t="s">
        <v>60</v>
      </c>
      <c r="F14" s="6" t="s">
        <v>61</v>
      </c>
      <c r="H14" s="6"/>
      <c r="I14" s="6" t="s">
        <v>31</v>
      </c>
      <c r="J14" s="6"/>
      <c r="K14" s="6" t="s">
        <v>32</v>
      </c>
      <c r="L14" s="6"/>
      <c r="M14" s="8"/>
      <c r="P14" s="4" t="s">
        <v>33</v>
      </c>
      <c r="R14" s="24">
        <v>-30.0</v>
      </c>
      <c r="S14" s="24">
        <v>-30.0</v>
      </c>
    </row>
    <row r="15">
      <c r="A15" s="6"/>
      <c r="B15" s="6">
        <v>10.0</v>
      </c>
      <c r="C15" s="22" t="s">
        <v>62</v>
      </c>
      <c r="D15" s="6"/>
      <c r="E15" s="28"/>
      <c r="F15" s="27" t="s">
        <v>63</v>
      </c>
      <c r="H15" s="6"/>
      <c r="I15" s="6"/>
      <c r="J15" s="6"/>
      <c r="K15" s="6"/>
      <c r="L15" s="8"/>
      <c r="M15" s="8"/>
      <c r="P15" s="4"/>
    </row>
    <row r="16">
      <c r="A16" s="6" t="s">
        <v>26</v>
      </c>
      <c r="B16" s="6">
        <v>10.0</v>
      </c>
      <c r="C16" s="25" t="s">
        <v>64</v>
      </c>
      <c r="D16" s="6" t="s">
        <v>28</v>
      </c>
      <c r="E16" s="28" t="s">
        <v>65</v>
      </c>
      <c r="F16" s="11" t="s">
        <v>66</v>
      </c>
      <c r="H16" s="6"/>
      <c r="I16" s="6" t="s">
        <v>67</v>
      </c>
      <c r="J16" s="6"/>
      <c r="K16" s="6" t="s">
        <v>38</v>
      </c>
      <c r="L16" s="8"/>
      <c r="M16" s="8"/>
      <c r="P16" s="4" t="s">
        <v>33</v>
      </c>
    </row>
    <row r="17">
      <c r="A17" s="6"/>
      <c r="B17" s="1">
        <f>sum(B7:B16)</f>
        <v>140</v>
      </c>
      <c r="C17" s="6"/>
      <c r="D17" s="1"/>
      <c r="E17" s="1"/>
      <c r="F17" s="1"/>
      <c r="H17" s="6"/>
      <c r="I17" s="6"/>
      <c r="J17" s="6"/>
      <c r="K17" s="6"/>
      <c r="L17" s="8"/>
      <c r="M17" s="8"/>
    </row>
    <row r="18">
      <c r="A18" s="6" t="s">
        <v>26</v>
      </c>
      <c r="B18" s="6">
        <v>10.0</v>
      </c>
      <c r="C18" s="29" t="s">
        <v>68</v>
      </c>
      <c r="D18" s="6"/>
      <c r="E18" s="6"/>
      <c r="F18" s="6"/>
      <c r="H18" s="6"/>
      <c r="I18" s="6" t="s">
        <v>31</v>
      </c>
      <c r="J18" s="6"/>
      <c r="K18" s="6" t="s">
        <v>69</v>
      </c>
      <c r="L18" s="8"/>
      <c r="M18" s="8"/>
      <c r="P18" s="4" t="s">
        <v>33</v>
      </c>
    </row>
    <row r="19">
      <c r="A19" s="6" t="s">
        <v>26</v>
      </c>
      <c r="B19" s="6">
        <v>10.0</v>
      </c>
      <c r="C19" s="29" t="s">
        <v>70</v>
      </c>
      <c r="D19" s="6"/>
      <c r="E19" s="6"/>
      <c r="F19" s="6"/>
      <c r="H19" s="6"/>
      <c r="I19" s="6" t="s">
        <v>31</v>
      </c>
      <c r="J19" s="6"/>
      <c r="K19" s="6" t="s">
        <v>19</v>
      </c>
      <c r="L19" s="8"/>
      <c r="M19" s="8"/>
      <c r="P19" s="4" t="s">
        <v>71</v>
      </c>
    </row>
    <row r="20">
      <c r="A20" s="6" t="s">
        <v>26</v>
      </c>
      <c r="B20" s="6">
        <v>10.0</v>
      </c>
      <c r="C20" s="29" t="s">
        <v>72</v>
      </c>
      <c r="D20" s="6"/>
      <c r="E20" s="6"/>
      <c r="F20" s="6"/>
      <c r="H20" s="6"/>
      <c r="I20" s="6" t="s">
        <v>31</v>
      </c>
      <c r="J20" s="6"/>
      <c r="K20" s="6" t="s">
        <v>19</v>
      </c>
      <c r="L20" s="6"/>
      <c r="M20" s="8"/>
      <c r="P20" s="4" t="s">
        <v>71</v>
      </c>
    </row>
    <row r="21">
      <c r="A21" s="6" t="s">
        <v>26</v>
      </c>
      <c r="B21" s="6">
        <v>10.0</v>
      </c>
      <c r="C21" s="29" t="s">
        <v>73</v>
      </c>
      <c r="D21" s="6"/>
      <c r="E21" s="6"/>
      <c r="F21" s="6"/>
      <c r="H21" s="6"/>
      <c r="I21" s="6" t="s">
        <v>31</v>
      </c>
      <c r="J21" s="6"/>
      <c r="K21" s="6" t="s">
        <v>19</v>
      </c>
      <c r="L21" s="6"/>
      <c r="M21" s="8"/>
      <c r="P21" s="4" t="s">
        <v>71</v>
      </c>
    </row>
    <row r="22">
      <c r="A22" s="6" t="s">
        <v>74</v>
      </c>
      <c r="B22" s="6">
        <v>10.0</v>
      </c>
      <c r="C22" s="29" t="s">
        <v>75</v>
      </c>
      <c r="D22" s="6"/>
      <c r="E22" s="6"/>
      <c r="F22" s="6"/>
      <c r="H22" s="6"/>
      <c r="I22" s="6" t="s">
        <v>31</v>
      </c>
      <c r="J22" s="6"/>
      <c r="K22" s="6" t="s">
        <v>76</v>
      </c>
      <c r="L22" s="6"/>
      <c r="M22" s="8"/>
      <c r="P22" s="4" t="s">
        <v>71</v>
      </c>
    </row>
    <row r="23">
      <c r="A23" s="6" t="s">
        <v>77</v>
      </c>
      <c r="B23" s="6">
        <v>10.0</v>
      </c>
      <c r="C23" s="29" t="s">
        <v>78</v>
      </c>
      <c r="D23" s="6"/>
      <c r="E23" s="6"/>
      <c r="F23" s="6"/>
      <c r="H23" s="6"/>
      <c r="I23" s="6" t="s">
        <v>31</v>
      </c>
      <c r="J23" s="6"/>
      <c r="K23" s="6" t="s">
        <v>19</v>
      </c>
      <c r="L23" s="8"/>
      <c r="M23" s="8"/>
      <c r="P23" s="4"/>
    </row>
    <row r="24">
      <c r="A24" s="6" t="s">
        <v>77</v>
      </c>
      <c r="B24" s="6">
        <v>10.0</v>
      </c>
      <c r="C24" s="29" t="s">
        <v>79</v>
      </c>
      <c r="D24" s="6"/>
      <c r="E24" s="6"/>
      <c r="F24" s="6"/>
      <c r="H24" s="6"/>
      <c r="I24" s="6" t="s">
        <v>31</v>
      </c>
      <c r="J24" s="6"/>
      <c r="K24" s="6" t="s">
        <v>19</v>
      </c>
      <c r="L24" s="8"/>
      <c r="M24" s="8"/>
      <c r="P24" s="4"/>
    </row>
    <row r="25">
      <c r="A25" s="6" t="s">
        <v>26</v>
      </c>
      <c r="B25" s="6">
        <v>0.0</v>
      </c>
      <c r="C25" s="29" t="s">
        <v>80</v>
      </c>
      <c r="D25" s="6"/>
      <c r="E25" s="6"/>
      <c r="F25" s="6"/>
      <c r="H25" s="6"/>
      <c r="I25" s="6" t="s">
        <v>31</v>
      </c>
      <c r="J25" s="6"/>
      <c r="K25" s="6" t="s">
        <v>19</v>
      </c>
      <c r="L25" s="8"/>
      <c r="M25" s="8"/>
      <c r="P25" s="4"/>
    </row>
    <row r="26">
      <c r="A26" s="6" t="s">
        <v>77</v>
      </c>
      <c r="B26" s="6">
        <v>15.0</v>
      </c>
      <c r="C26" s="29" t="s">
        <v>81</v>
      </c>
      <c r="D26" s="6"/>
      <c r="E26" s="6"/>
      <c r="F26" s="6" t="s">
        <v>82</v>
      </c>
      <c r="H26" s="6"/>
      <c r="I26" s="6" t="s">
        <v>31</v>
      </c>
      <c r="J26" s="6"/>
      <c r="K26" s="6" t="s">
        <v>76</v>
      </c>
      <c r="L26" s="6"/>
      <c r="M26" s="8"/>
      <c r="P26" s="4" t="s">
        <v>71</v>
      </c>
    </row>
    <row r="27">
      <c r="A27" s="6" t="s">
        <v>77</v>
      </c>
      <c r="B27" s="6">
        <v>15.0</v>
      </c>
      <c r="C27" s="29" t="s">
        <v>83</v>
      </c>
      <c r="D27" s="6"/>
      <c r="E27" s="6"/>
      <c r="F27" s="6" t="s">
        <v>84</v>
      </c>
      <c r="H27" s="6"/>
      <c r="I27" s="6" t="s">
        <v>31</v>
      </c>
      <c r="J27" s="6"/>
      <c r="K27" s="6" t="s">
        <v>76</v>
      </c>
      <c r="L27" s="6"/>
      <c r="M27" s="8"/>
      <c r="P27" s="4" t="s">
        <v>71</v>
      </c>
    </row>
    <row r="28">
      <c r="A28" s="6"/>
      <c r="B28" s="1">
        <f>SUM(B18:B27)</f>
        <v>100</v>
      </c>
      <c r="C28" s="7"/>
      <c r="D28" s="1"/>
      <c r="E28" s="1"/>
      <c r="F28" s="1"/>
      <c r="H28" s="6"/>
      <c r="I28" s="6"/>
      <c r="J28" s="6"/>
      <c r="K28" s="6"/>
      <c r="L28" s="8"/>
      <c r="M28" s="8"/>
    </row>
    <row r="31">
      <c r="A31" s="8"/>
      <c r="B31" s="6"/>
      <c r="C31" s="3" t="s">
        <v>85</v>
      </c>
      <c r="D31" s="8"/>
      <c r="E31" s="8"/>
      <c r="F31" s="8"/>
      <c r="H31" s="8"/>
      <c r="I31" s="8"/>
      <c r="J31" s="8"/>
      <c r="K31" s="8"/>
      <c r="L31" s="8"/>
      <c r="M31" s="8"/>
    </row>
    <row r="32">
      <c r="A32" s="6" t="s">
        <v>86</v>
      </c>
      <c r="B32" s="6">
        <v>15.0</v>
      </c>
      <c r="C32" s="25" t="s">
        <v>87</v>
      </c>
      <c r="D32" s="6"/>
      <c r="E32" s="30" t="s">
        <v>87</v>
      </c>
      <c r="F32" s="6"/>
      <c r="H32" s="6"/>
      <c r="I32" s="6"/>
      <c r="J32" s="6"/>
      <c r="K32" s="6"/>
      <c r="L32" s="6"/>
      <c r="M32" s="8"/>
      <c r="P32" s="4"/>
    </row>
    <row r="33">
      <c r="A33" s="11" t="s">
        <v>86</v>
      </c>
      <c r="B33" s="6">
        <v>5.0</v>
      </c>
      <c r="C33" s="21" t="s">
        <v>88</v>
      </c>
      <c r="D33" s="11"/>
      <c r="E33" s="11" t="s">
        <v>89</v>
      </c>
      <c r="F33" s="6"/>
      <c r="H33" s="6"/>
      <c r="I33" s="6"/>
      <c r="J33" s="6"/>
      <c r="K33" s="6"/>
      <c r="L33" s="6"/>
      <c r="M33" s="8"/>
      <c r="P33" s="4"/>
    </row>
    <row r="34">
      <c r="A34" s="6" t="s">
        <v>86</v>
      </c>
      <c r="B34" s="6">
        <v>10.0</v>
      </c>
      <c r="C34" s="25" t="s">
        <v>90</v>
      </c>
      <c r="D34" s="6"/>
      <c r="E34" s="6" t="s">
        <v>91</v>
      </c>
      <c r="F34" s="6"/>
      <c r="H34" s="6"/>
      <c r="I34" s="6"/>
      <c r="J34" s="6"/>
      <c r="K34" s="6"/>
      <c r="L34" s="6"/>
      <c r="M34" s="8"/>
      <c r="P34" s="4"/>
    </row>
    <row r="35">
      <c r="A35" s="6" t="s">
        <v>86</v>
      </c>
      <c r="B35" s="6">
        <v>10.0</v>
      </c>
      <c r="C35" s="25" t="s">
        <v>92</v>
      </c>
      <c r="D35" s="6"/>
      <c r="E35" s="6" t="s">
        <v>93</v>
      </c>
      <c r="F35" s="6"/>
      <c r="H35" s="6"/>
      <c r="I35" s="6"/>
      <c r="J35" s="6"/>
      <c r="K35" s="6"/>
      <c r="L35" s="6"/>
      <c r="M35" s="8"/>
      <c r="P35" s="4"/>
    </row>
    <row r="36">
      <c r="A36" s="6" t="s">
        <v>86</v>
      </c>
      <c r="B36" s="6">
        <v>10.0</v>
      </c>
      <c r="C36" s="25" t="s">
        <v>94</v>
      </c>
      <c r="D36" s="6"/>
      <c r="E36" s="6" t="s">
        <v>95</v>
      </c>
      <c r="F36" s="6"/>
      <c r="H36" s="6"/>
      <c r="I36" s="6"/>
      <c r="J36" s="6"/>
      <c r="K36" s="6"/>
      <c r="L36" s="6"/>
      <c r="M36" s="8"/>
      <c r="P36" s="4"/>
    </row>
    <row r="37">
      <c r="A37" s="6" t="s">
        <v>96</v>
      </c>
      <c r="B37" s="6">
        <v>10.0</v>
      </c>
      <c r="C37" s="25" t="s">
        <v>97</v>
      </c>
      <c r="D37" s="6" t="s">
        <v>98</v>
      </c>
      <c r="E37" s="6" t="s">
        <v>99</v>
      </c>
      <c r="F37" s="6" t="s">
        <v>100</v>
      </c>
      <c r="H37" s="6"/>
      <c r="I37" s="6" t="s">
        <v>101</v>
      </c>
      <c r="J37" s="6"/>
      <c r="K37" s="6" t="s">
        <v>102</v>
      </c>
      <c r="L37" s="6"/>
      <c r="M37" s="8"/>
      <c r="P37" s="4" t="s">
        <v>33</v>
      </c>
    </row>
    <row r="38">
      <c r="A38" s="6" t="s">
        <v>96</v>
      </c>
      <c r="B38" s="6">
        <v>10.0</v>
      </c>
      <c r="C38" s="25" t="s">
        <v>103</v>
      </c>
      <c r="D38" s="6" t="s">
        <v>98</v>
      </c>
      <c r="E38" s="6" t="s">
        <v>104</v>
      </c>
      <c r="F38" s="6" t="s">
        <v>105</v>
      </c>
      <c r="H38" s="6"/>
      <c r="I38" s="6" t="s">
        <v>101</v>
      </c>
      <c r="J38" s="6"/>
      <c r="K38" s="6" t="s">
        <v>102</v>
      </c>
      <c r="L38" s="6"/>
      <c r="M38" s="6"/>
      <c r="P38" s="4" t="s">
        <v>33</v>
      </c>
    </row>
    <row r="39">
      <c r="A39" s="6" t="s">
        <v>106</v>
      </c>
      <c r="B39" s="6">
        <v>10.0</v>
      </c>
      <c r="C39" s="25" t="s">
        <v>107</v>
      </c>
      <c r="D39" s="6" t="s">
        <v>108</v>
      </c>
      <c r="E39" s="6"/>
      <c r="F39" s="6" t="s">
        <v>109</v>
      </c>
      <c r="H39" s="6"/>
      <c r="I39" s="6" t="s">
        <v>31</v>
      </c>
      <c r="J39" s="6"/>
      <c r="K39" s="6" t="s">
        <v>76</v>
      </c>
      <c r="L39" s="6"/>
      <c r="M39" s="6"/>
      <c r="P39" s="4" t="s">
        <v>71</v>
      </c>
    </row>
    <row r="40">
      <c r="A40" s="6" t="s">
        <v>106</v>
      </c>
      <c r="B40" s="6">
        <v>10.0</v>
      </c>
      <c r="C40" s="25" t="s">
        <v>110</v>
      </c>
      <c r="D40" s="6" t="s">
        <v>111</v>
      </c>
      <c r="E40" s="6"/>
      <c r="F40" s="6" t="s">
        <v>112</v>
      </c>
      <c r="H40" s="6"/>
      <c r="I40" s="6" t="s">
        <v>31</v>
      </c>
      <c r="J40" s="6"/>
      <c r="K40" s="6" t="s">
        <v>76</v>
      </c>
      <c r="L40" s="6"/>
      <c r="M40" s="6"/>
      <c r="P40" s="4" t="s">
        <v>71</v>
      </c>
    </row>
    <row r="41">
      <c r="A41" s="6" t="s">
        <v>26</v>
      </c>
      <c r="B41" s="11">
        <v>0.0</v>
      </c>
      <c r="C41" s="21" t="s">
        <v>113</v>
      </c>
      <c r="D41" s="11"/>
      <c r="E41" s="11"/>
      <c r="F41" s="11"/>
      <c r="H41" s="6"/>
      <c r="I41" s="6" t="s">
        <v>67</v>
      </c>
      <c r="J41" s="6"/>
      <c r="K41" s="6" t="s">
        <v>114</v>
      </c>
      <c r="L41" s="6"/>
      <c r="M41" s="8"/>
      <c r="P41" s="4" t="s">
        <v>33</v>
      </c>
    </row>
    <row r="42">
      <c r="A42" s="6" t="s">
        <v>96</v>
      </c>
      <c r="B42" s="6">
        <v>10.0</v>
      </c>
      <c r="C42" s="25" t="s">
        <v>115</v>
      </c>
      <c r="D42" s="6"/>
      <c r="E42" s="6"/>
      <c r="F42" s="6" t="s">
        <v>116</v>
      </c>
      <c r="H42" s="6"/>
      <c r="I42" s="6" t="s">
        <v>67</v>
      </c>
      <c r="J42" s="6"/>
      <c r="K42" s="6" t="s">
        <v>102</v>
      </c>
      <c r="L42" s="6"/>
      <c r="M42" s="8"/>
      <c r="P42" s="4" t="s">
        <v>33</v>
      </c>
    </row>
    <row r="43">
      <c r="A43" s="6"/>
      <c r="B43" s="1">
        <f>SUM(B32:B42)</f>
        <v>100</v>
      </c>
      <c r="C43" s="6"/>
      <c r="D43" s="1"/>
      <c r="E43" s="1"/>
      <c r="F43" s="1"/>
      <c r="H43" s="6"/>
      <c r="I43" s="6"/>
      <c r="J43" s="6"/>
      <c r="K43" s="6"/>
      <c r="L43" s="6"/>
      <c r="M43" s="8"/>
    </row>
    <row r="44">
      <c r="A44" s="6" t="s">
        <v>96</v>
      </c>
      <c r="B44" s="6">
        <v>15.0</v>
      </c>
      <c r="C44" s="29" t="s">
        <v>117</v>
      </c>
      <c r="D44" s="6"/>
      <c r="E44" s="6"/>
      <c r="F44" s="6"/>
      <c r="H44" s="6"/>
      <c r="I44" s="6" t="s">
        <v>67</v>
      </c>
      <c r="J44" s="6"/>
      <c r="K44" s="6" t="s">
        <v>118</v>
      </c>
      <c r="L44" s="6"/>
      <c r="M44" s="6"/>
      <c r="P44" s="4" t="s">
        <v>71</v>
      </c>
    </row>
    <row r="45">
      <c r="A45" s="6" t="s">
        <v>106</v>
      </c>
      <c r="B45" s="6">
        <v>5.0</v>
      </c>
      <c r="C45" s="29" t="s">
        <v>119</v>
      </c>
      <c r="D45" s="6" t="s">
        <v>120</v>
      </c>
      <c r="E45" s="6"/>
      <c r="F45" s="6" t="s">
        <v>121</v>
      </c>
      <c r="H45" s="6"/>
      <c r="I45" s="6" t="s">
        <v>31</v>
      </c>
      <c r="J45" s="6"/>
      <c r="K45" s="6" t="s">
        <v>122</v>
      </c>
      <c r="L45" s="6"/>
      <c r="M45" s="8"/>
      <c r="P45" s="4" t="s">
        <v>71</v>
      </c>
    </row>
    <row r="46">
      <c r="A46" s="6" t="s">
        <v>106</v>
      </c>
      <c r="B46" s="6">
        <v>20.0</v>
      </c>
      <c r="C46" s="29" t="s">
        <v>123</v>
      </c>
      <c r="D46" s="6"/>
      <c r="E46" s="6"/>
      <c r="F46" s="6"/>
      <c r="H46" s="6"/>
      <c r="I46" s="6" t="s">
        <v>31</v>
      </c>
      <c r="J46" s="6"/>
      <c r="K46" s="6" t="s">
        <v>124</v>
      </c>
      <c r="L46" s="8"/>
      <c r="M46" s="8"/>
      <c r="P46" s="4" t="s">
        <v>71</v>
      </c>
    </row>
    <row r="47">
      <c r="A47" s="6" t="s">
        <v>125</v>
      </c>
      <c r="B47" s="6">
        <v>30.0</v>
      </c>
      <c r="C47" s="29" t="s">
        <v>126</v>
      </c>
      <c r="D47" s="6"/>
      <c r="E47" s="6"/>
      <c r="F47" s="6" t="s">
        <v>127</v>
      </c>
      <c r="H47" s="6"/>
      <c r="I47" s="6" t="s">
        <v>101</v>
      </c>
      <c r="J47" s="6"/>
      <c r="K47" s="6" t="s">
        <v>128</v>
      </c>
      <c r="L47" s="6"/>
      <c r="M47" s="8"/>
      <c r="P47" s="4" t="s">
        <v>71</v>
      </c>
    </row>
    <row r="48">
      <c r="A48" s="6" t="s">
        <v>106</v>
      </c>
      <c r="B48" s="6">
        <v>15.0</v>
      </c>
      <c r="C48" s="31" t="s">
        <v>129</v>
      </c>
      <c r="D48" s="6" t="s">
        <v>130</v>
      </c>
      <c r="E48" s="6"/>
      <c r="F48" s="6" t="s">
        <v>131</v>
      </c>
      <c r="H48" s="6"/>
      <c r="I48" s="6" t="s">
        <v>101</v>
      </c>
      <c r="J48" s="6"/>
      <c r="K48" s="6" t="s">
        <v>38</v>
      </c>
      <c r="L48" s="8"/>
      <c r="M48" s="8"/>
      <c r="P48" s="4" t="s">
        <v>33</v>
      </c>
    </row>
    <row r="49">
      <c r="A49" s="6" t="s">
        <v>106</v>
      </c>
      <c r="B49" s="32">
        <v>15.0</v>
      </c>
      <c r="C49" s="33" t="s">
        <v>132</v>
      </c>
      <c r="D49" s="32" t="s">
        <v>133</v>
      </c>
      <c r="E49" s="32"/>
      <c r="F49" s="6" t="s">
        <v>134</v>
      </c>
      <c r="H49" s="32"/>
      <c r="I49" s="6" t="s">
        <v>101</v>
      </c>
      <c r="J49" s="32"/>
      <c r="K49" s="6" t="s">
        <v>38</v>
      </c>
      <c r="L49" s="8"/>
      <c r="M49" s="8"/>
      <c r="P49" s="4" t="s">
        <v>33</v>
      </c>
    </row>
    <row r="50">
      <c r="A50" s="6"/>
      <c r="B50" s="1">
        <f>SUM(B44:B49)</f>
        <v>100</v>
      </c>
      <c r="C50" s="6"/>
      <c r="D50" s="1"/>
      <c r="E50" s="1"/>
      <c r="F50" s="1"/>
      <c r="H50" s="6"/>
      <c r="I50" s="6"/>
      <c r="J50" s="6"/>
      <c r="K50" s="6"/>
      <c r="L50" s="6"/>
      <c r="M50" s="8"/>
    </row>
    <row r="51">
      <c r="A51" s="6"/>
      <c r="B51" s="6"/>
      <c r="C51" s="7"/>
      <c r="D51" s="6"/>
      <c r="E51" s="6"/>
      <c r="F51" s="6"/>
      <c r="H51" s="6"/>
      <c r="I51" s="6"/>
      <c r="J51" s="6"/>
      <c r="K51" s="6"/>
      <c r="L51" s="6"/>
      <c r="M51" s="8"/>
    </row>
    <row r="52">
      <c r="A52" s="6"/>
      <c r="B52" s="6"/>
      <c r="C52" s="7"/>
      <c r="D52" s="6"/>
      <c r="E52" s="6"/>
      <c r="F52" s="6"/>
      <c r="H52" s="6"/>
      <c r="I52" s="6"/>
      <c r="J52" s="6"/>
      <c r="K52" s="6"/>
      <c r="L52" s="8"/>
      <c r="M52" s="8"/>
      <c r="P52" s="4"/>
    </row>
    <row r="53">
      <c r="A53" s="6"/>
      <c r="B53" s="6"/>
      <c r="C53" s="34" t="s">
        <v>135</v>
      </c>
      <c r="D53" s="6"/>
      <c r="E53" s="6"/>
      <c r="F53" s="6"/>
      <c r="H53" s="6"/>
      <c r="I53" s="6"/>
      <c r="J53" s="6"/>
      <c r="K53" s="6"/>
      <c r="L53" s="8"/>
      <c r="M53" s="8"/>
      <c r="P53" s="4"/>
    </row>
    <row r="54">
      <c r="A54" s="6"/>
      <c r="B54" s="6"/>
      <c r="C54" s="7" t="s">
        <v>136</v>
      </c>
      <c r="D54" s="6"/>
      <c r="E54" s="6"/>
      <c r="F54" s="6"/>
      <c r="H54" s="6"/>
      <c r="I54" s="6"/>
      <c r="J54" s="6"/>
      <c r="K54" s="6"/>
      <c r="L54" s="8"/>
      <c r="M54" s="8"/>
      <c r="P54" s="4"/>
    </row>
    <row r="55">
      <c r="A55" s="6"/>
      <c r="B55" s="6"/>
      <c r="C55" s="7" t="s">
        <v>137</v>
      </c>
      <c r="D55" s="6"/>
      <c r="E55" s="6"/>
      <c r="F55" s="6"/>
      <c r="H55" s="6"/>
      <c r="I55" s="6"/>
      <c r="J55" s="6"/>
      <c r="K55" s="6"/>
      <c r="L55" s="8"/>
      <c r="M55" s="8"/>
      <c r="P55" s="4"/>
    </row>
    <row r="56">
      <c r="A56" s="6"/>
      <c r="B56" s="6"/>
      <c r="C56" s="7" t="s">
        <v>138</v>
      </c>
      <c r="D56" s="6"/>
      <c r="E56" s="6"/>
      <c r="F56" s="6"/>
      <c r="H56" s="6"/>
      <c r="I56" s="6"/>
      <c r="J56" s="6"/>
      <c r="K56" s="6"/>
      <c r="L56" s="8"/>
      <c r="M56" s="8"/>
      <c r="P56" s="4"/>
    </row>
    <row r="57">
      <c r="A57" s="6" t="s">
        <v>26</v>
      </c>
      <c r="B57" s="6">
        <v>10.0</v>
      </c>
      <c r="C57" s="7" t="s">
        <v>139</v>
      </c>
      <c r="D57" s="6"/>
      <c r="E57" s="6"/>
      <c r="F57" s="6"/>
      <c r="H57" s="6"/>
      <c r="I57" s="6"/>
      <c r="J57" s="6"/>
      <c r="K57" s="6" t="s">
        <v>140</v>
      </c>
      <c r="L57" s="8"/>
      <c r="M57" s="8"/>
      <c r="P57" s="4" t="s">
        <v>71</v>
      </c>
    </row>
    <row r="58">
      <c r="A58" s="6" t="s">
        <v>96</v>
      </c>
      <c r="B58" s="6">
        <v>10.0</v>
      </c>
      <c r="C58" s="7" t="s">
        <v>141</v>
      </c>
      <c r="D58" s="6"/>
      <c r="E58" s="6"/>
      <c r="F58" s="6"/>
      <c r="H58" s="6"/>
      <c r="I58" s="6"/>
      <c r="J58" s="6"/>
      <c r="K58" s="6" t="s">
        <v>142</v>
      </c>
      <c r="L58" s="8"/>
      <c r="M58" s="8"/>
      <c r="P58" s="4" t="s">
        <v>71</v>
      </c>
    </row>
    <row r="59">
      <c r="A59" s="6" t="s">
        <v>96</v>
      </c>
      <c r="B59" s="6">
        <v>10.0</v>
      </c>
      <c r="C59" s="7" t="s">
        <v>143</v>
      </c>
      <c r="D59" s="6"/>
      <c r="E59" s="6"/>
      <c r="F59" s="6"/>
      <c r="H59" s="6"/>
      <c r="I59" s="6"/>
      <c r="J59" s="6"/>
      <c r="K59" s="6" t="s">
        <v>140</v>
      </c>
      <c r="L59" s="8"/>
      <c r="M59" s="8"/>
      <c r="P59" s="4" t="s">
        <v>71</v>
      </c>
    </row>
    <row r="60">
      <c r="A60" s="6" t="s">
        <v>26</v>
      </c>
      <c r="B60" s="6">
        <v>10.0</v>
      </c>
      <c r="C60" s="7" t="s">
        <v>144</v>
      </c>
      <c r="D60" s="6"/>
      <c r="E60" s="6"/>
      <c r="F60" s="6"/>
      <c r="H60" s="6"/>
      <c r="I60" s="6"/>
      <c r="J60" s="6"/>
      <c r="K60" s="6" t="s">
        <v>140</v>
      </c>
      <c r="L60" s="8"/>
      <c r="M60" s="8"/>
      <c r="P60" s="4" t="s">
        <v>71</v>
      </c>
    </row>
    <row r="61">
      <c r="A61" s="6" t="s">
        <v>96</v>
      </c>
      <c r="B61" s="6">
        <v>10.0</v>
      </c>
      <c r="C61" s="7" t="s">
        <v>145</v>
      </c>
      <c r="D61" s="6"/>
      <c r="E61" s="6"/>
      <c r="F61" s="6"/>
      <c r="H61" s="6"/>
      <c r="I61" s="6"/>
      <c r="J61" s="6"/>
      <c r="K61" s="6" t="s">
        <v>140</v>
      </c>
      <c r="L61" s="8"/>
      <c r="M61" s="8"/>
      <c r="P61" s="4" t="s">
        <v>71</v>
      </c>
    </row>
    <row r="62">
      <c r="A62" s="6" t="s">
        <v>26</v>
      </c>
      <c r="B62" s="6">
        <v>10.0</v>
      </c>
      <c r="C62" s="7" t="s">
        <v>146</v>
      </c>
      <c r="D62" s="6"/>
      <c r="E62" s="6"/>
      <c r="F62" s="6"/>
      <c r="H62" s="8"/>
      <c r="I62" s="8"/>
      <c r="J62" s="8"/>
      <c r="K62" s="8"/>
      <c r="L62" s="8"/>
      <c r="M62" s="8"/>
      <c r="P62" s="4" t="s">
        <v>71</v>
      </c>
    </row>
    <row r="63">
      <c r="A63" s="6" t="s">
        <v>125</v>
      </c>
      <c r="B63" s="6">
        <v>10.0</v>
      </c>
      <c r="C63" s="7" t="s">
        <v>147</v>
      </c>
      <c r="D63" s="4"/>
      <c r="E63" s="4"/>
      <c r="F63" s="4"/>
    </row>
    <row r="64">
      <c r="A64" s="6" t="s">
        <v>96</v>
      </c>
      <c r="B64" s="6">
        <v>5.0</v>
      </c>
      <c r="C64" s="7" t="s">
        <v>148</v>
      </c>
      <c r="D64" s="4"/>
      <c r="E64" s="4"/>
      <c r="F64" s="4"/>
    </row>
    <row r="65">
      <c r="C65" s="35"/>
    </row>
    <row r="66">
      <c r="C66" s="36" t="s">
        <v>149</v>
      </c>
      <c r="D66" s="37"/>
      <c r="E66" s="37"/>
      <c r="F66" s="37"/>
      <c r="G66" s="37" t="s">
        <v>150</v>
      </c>
      <c r="H66" s="38"/>
      <c r="I66" s="38"/>
      <c r="J66" s="38"/>
      <c r="K66" s="38"/>
      <c r="L66" s="38"/>
    </row>
    <row r="67">
      <c r="C67" s="39" t="s">
        <v>151</v>
      </c>
      <c r="D67" s="40" t="s">
        <v>152</v>
      </c>
      <c r="E67" s="40"/>
      <c r="F67" s="40" t="s">
        <v>153</v>
      </c>
      <c r="G67" s="41"/>
      <c r="H67" s="38"/>
      <c r="I67" s="38"/>
      <c r="J67" s="38"/>
      <c r="K67" s="38"/>
      <c r="L67" s="38"/>
    </row>
    <row r="68">
      <c r="C68" s="42" t="s">
        <v>154</v>
      </c>
      <c r="D68" s="40"/>
      <c r="E68" s="40"/>
      <c r="F68" s="40"/>
      <c r="G68" s="40" t="s">
        <v>155</v>
      </c>
      <c r="H68" s="38"/>
      <c r="I68" s="38"/>
      <c r="J68" s="38"/>
      <c r="K68" s="38"/>
      <c r="L68" s="38"/>
    </row>
    <row r="69">
      <c r="C69" s="42" t="s">
        <v>156</v>
      </c>
      <c r="D69" s="40"/>
      <c r="E69" s="40"/>
      <c r="F69" s="40"/>
      <c r="G69" s="40" t="s">
        <v>157</v>
      </c>
      <c r="H69" s="38"/>
      <c r="I69" s="38"/>
      <c r="J69" s="38"/>
      <c r="K69" s="38"/>
      <c r="L69" s="38"/>
    </row>
    <row r="70">
      <c r="C70" s="42" t="s">
        <v>158</v>
      </c>
      <c r="D70" s="40"/>
      <c r="E70" s="40"/>
      <c r="F70" s="40"/>
      <c r="G70" s="40" t="s">
        <v>159</v>
      </c>
      <c r="H70" s="43" t="s">
        <v>160</v>
      </c>
      <c r="I70" s="38"/>
      <c r="J70" s="38"/>
      <c r="K70" s="38"/>
      <c r="L70" s="38"/>
    </row>
    <row r="71">
      <c r="C71" s="42" t="s">
        <v>161</v>
      </c>
      <c r="D71" s="40"/>
      <c r="E71" s="40"/>
      <c r="F71" s="40"/>
      <c r="G71" s="40" t="s">
        <v>162</v>
      </c>
      <c r="H71" s="43" t="s">
        <v>160</v>
      </c>
      <c r="I71" s="38"/>
      <c r="J71" s="38"/>
      <c r="K71" s="38"/>
      <c r="L71" s="38"/>
    </row>
    <row r="72">
      <c r="C72" s="44" t="s">
        <v>163</v>
      </c>
      <c r="D72" s="41"/>
      <c r="E72" s="41"/>
      <c r="F72" s="41"/>
      <c r="G72" s="41"/>
      <c r="H72" s="38"/>
      <c r="I72" s="38"/>
      <c r="J72" s="43" t="s">
        <v>164</v>
      </c>
      <c r="K72" s="38"/>
      <c r="L72" s="38"/>
    </row>
    <row r="73">
      <c r="C73" s="45" t="s">
        <v>165</v>
      </c>
      <c r="D73" s="46"/>
      <c r="E73" s="46"/>
      <c r="F73" s="46"/>
      <c r="G73" s="46" t="s">
        <v>166</v>
      </c>
      <c r="H73" s="43" t="s">
        <v>167</v>
      </c>
      <c r="I73" s="43">
        <v>55.0</v>
      </c>
      <c r="J73" s="38">
        <f>I73*0.3</f>
        <v>16.5</v>
      </c>
      <c r="K73" s="43">
        <v>40.0</v>
      </c>
      <c r="L73" s="38">
        <f>K73*0.3</f>
        <v>12</v>
      </c>
    </row>
    <row r="74">
      <c r="C74" s="45" t="s">
        <v>168</v>
      </c>
      <c r="D74" s="40"/>
      <c r="E74" s="40"/>
      <c r="F74" s="40"/>
      <c r="G74" s="40" t="s">
        <v>169</v>
      </c>
      <c r="H74" s="43" t="s">
        <v>170</v>
      </c>
      <c r="I74" s="38"/>
      <c r="J74" s="38"/>
      <c r="K74" s="38"/>
      <c r="L74" s="38"/>
    </row>
    <row r="75">
      <c r="C75" s="47"/>
      <c r="D75" s="38"/>
      <c r="E75" s="38"/>
      <c r="F75" s="38"/>
      <c r="G75" s="38"/>
      <c r="H75" s="38"/>
      <c r="I75" s="38"/>
      <c r="J75" s="38"/>
      <c r="K75" s="38"/>
      <c r="L75" s="38"/>
    </row>
    <row r="76">
      <c r="C76" s="36" t="s">
        <v>171</v>
      </c>
      <c r="D76" s="37"/>
      <c r="E76" s="37"/>
      <c r="F76" s="37"/>
      <c r="G76" s="37" t="s">
        <v>172</v>
      </c>
      <c r="I76" s="38"/>
      <c r="J76" s="38"/>
      <c r="K76" s="38"/>
      <c r="L76" s="38"/>
    </row>
    <row r="77">
      <c r="C77" s="45" t="s">
        <v>173</v>
      </c>
      <c r="D77" s="40" t="s">
        <v>28</v>
      </c>
      <c r="E77" s="40" t="s">
        <v>60</v>
      </c>
      <c r="F77" s="40" t="s">
        <v>174</v>
      </c>
      <c r="G77" s="40" t="s">
        <v>175</v>
      </c>
      <c r="H77" s="43" t="s">
        <v>167</v>
      </c>
      <c r="I77" s="38"/>
      <c r="J77" s="38"/>
      <c r="K77" s="38"/>
      <c r="L77" s="38"/>
    </row>
    <row r="78">
      <c r="C78" s="45" t="s">
        <v>176</v>
      </c>
      <c r="D78" s="40" t="s">
        <v>28</v>
      </c>
      <c r="E78" s="40" t="s">
        <v>177</v>
      </c>
      <c r="F78" s="40" t="s">
        <v>177</v>
      </c>
      <c r="G78" s="40" t="s">
        <v>178</v>
      </c>
      <c r="H78" s="43" t="s">
        <v>179</v>
      </c>
      <c r="I78" s="38"/>
      <c r="J78" s="38"/>
      <c r="K78" s="38"/>
      <c r="L78" s="38"/>
    </row>
    <row r="79">
      <c r="C79" s="47"/>
    </row>
    <row r="80">
      <c r="C80" s="47"/>
    </row>
    <row r="81">
      <c r="C81" s="47"/>
    </row>
    <row r="82">
      <c r="C82" s="47"/>
    </row>
    <row r="83">
      <c r="C83" s="47"/>
    </row>
    <row r="84">
      <c r="C84" s="47"/>
    </row>
    <row r="85">
      <c r="C85" s="47"/>
    </row>
    <row r="86">
      <c r="C86" s="47"/>
    </row>
    <row r="87">
      <c r="C87" s="47"/>
    </row>
    <row r="88">
      <c r="C88" s="47"/>
    </row>
    <row r="89">
      <c r="C89" s="47"/>
    </row>
    <row r="90">
      <c r="C90" s="47"/>
    </row>
    <row r="91">
      <c r="C91" s="47"/>
    </row>
    <row r="92">
      <c r="C92" s="47"/>
    </row>
    <row r="93">
      <c r="C93" s="47"/>
    </row>
    <row r="94">
      <c r="C94" s="47"/>
    </row>
    <row r="95">
      <c r="C95" s="47"/>
    </row>
    <row r="96">
      <c r="C96" s="47"/>
    </row>
    <row r="97">
      <c r="C97" s="47"/>
    </row>
    <row r="98">
      <c r="C98" s="47"/>
    </row>
    <row r="99">
      <c r="C99" s="47"/>
    </row>
    <row r="100">
      <c r="C100" s="47"/>
    </row>
    <row r="101">
      <c r="C101" s="47"/>
    </row>
    <row r="102">
      <c r="C102" s="47"/>
    </row>
    <row r="103">
      <c r="C103" s="47"/>
    </row>
    <row r="104">
      <c r="C104" s="47"/>
    </row>
    <row r="105">
      <c r="C105" s="47"/>
    </row>
    <row r="106">
      <c r="C106" s="47"/>
    </row>
    <row r="107">
      <c r="C107" s="47"/>
    </row>
    <row r="108">
      <c r="C108" s="47"/>
    </row>
    <row r="109">
      <c r="C109" s="47"/>
    </row>
    <row r="110">
      <c r="C110" s="47"/>
    </row>
    <row r="111">
      <c r="C111" s="47"/>
    </row>
    <row r="112">
      <c r="C112" s="47"/>
    </row>
    <row r="113">
      <c r="C113" s="47"/>
    </row>
    <row r="114">
      <c r="C114" s="47"/>
    </row>
    <row r="115">
      <c r="C115" s="47"/>
    </row>
    <row r="116">
      <c r="C116" s="47"/>
    </row>
    <row r="117">
      <c r="C117" s="47"/>
    </row>
    <row r="118">
      <c r="C118" s="47"/>
    </row>
    <row r="119">
      <c r="C119" s="47"/>
    </row>
    <row r="120">
      <c r="C120" s="47"/>
    </row>
    <row r="121">
      <c r="C121" s="47"/>
    </row>
    <row r="122">
      <c r="C122" s="47"/>
    </row>
    <row r="123">
      <c r="C123" s="47"/>
    </row>
    <row r="124">
      <c r="C124" s="47"/>
    </row>
    <row r="125">
      <c r="C125" s="47"/>
    </row>
    <row r="126">
      <c r="C126" s="47"/>
    </row>
    <row r="127">
      <c r="C127" s="47"/>
    </row>
    <row r="128">
      <c r="C128" s="47"/>
    </row>
    <row r="129">
      <c r="C129" s="47"/>
    </row>
    <row r="130">
      <c r="C130" s="47"/>
    </row>
    <row r="131">
      <c r="C131" s="47"/>
    </row>
    <row r="132">
      <c r="C132" s="47"/>
    </row>
    <row r="133">
      <c r="C133" s="47"/>
    </row>
    <row r="134">
      <c r="C134" s="47"/>
    </row>
    <row r="135">
      <c r="C135" s="47"/>
    </row>
    <row r="136">
      <c r="C136" s="47"/>
    </row>
    <row r="137">
      <c r="C137" s="47"/>
    </row>
    <row r="138">
      <c r="C138" s="47"/>
    </row>
    <row r="139">
      <c r="C139" s="47"/>
    </row>
    <row r="140">
      <c r="C140" s="47"/>
    </row>
    <row r="141">
      <c r="C141" s="47"/>
    </row>
    <row r="142">
      <c r="C142" s="47"/>
    </row>
    <row r="143">
      <c r="C143" s="47"/>
    </row>
    <row r="144">
      <c r="C144" s="47"/>
    </row>
    <row r="145">
      <c r="C145" s="47"/>
    </row>
    <row r="146">
      <c r="C146" s="47"/>
    </row>
    <row r="147">
      <c r="C147" s="47"/>
    </row>
    <row r="148">
      <c r="C148" s="47"/>
    </row>
    <row r="149">
      <c r="C149" s="47"/>
    </row>
    <row r="150">
      <c r="C150" s="47"/>
    </row>
    <row r="151">
      <c r="C151" s="47"/>
    </row>
    <row r="152">
      <c r="C152" s="47"/>
    </row>
    <row r="153">
      <c r="C153" s="47"/>
    </row>
    <row r="154">
      <c r="C154" s="47"/>
    </row>
    <row r="155">
      <c r="C155" s="47"/>
    </row>
    <row r="156">
      <c r="C156" s="47"/>
    </row>
    <row r="157">
      <c r="C157" s="47"/>
    </row>
    <row r="158">
      <c r="C158" s="47"/>
    </row>
    <row r="159">
      <c r="C159" s="47"/>
    </row>
    <row r="160">
      <c r="C160" s="47"/>
    </row>
    <row r="161">
      <c r="C161" s="47"/>
    </row>
    <row r="162">
      <c r="C162" s="47"/>
    </row>
    <row r="163">
      <c r="C163" s="47"/>
    </row>
    <row r="164">
      <c r="C164" s="47"/>
    </row>
    <row r="165">
      <c r="C165" s="47"/>
    </row>
    <row r="166">
      <c r="C166" s="47"/>
    </row>
    <row r="167">
      <c r="C167" s="47"/>
    </row>
    <row r="168">
      <c r="C168" s="47"/>
    </row>
    <row r="169">
      <c r="C169" s="47"/>
    </row>
    <row r="170">
      <c r="C170" s="47"/>
    </row>
    <row r="171">
      <c r="C171" s="47"/>
    </row>
    <row r="172">
      <c r="C172" s="47"/>
    </row>
    <row r="173">
      <c r="C173" s="47"/>
    </row>
    <row r="174">
      <c r="C174" s="47"/>
    </row>
    <row r="175">
      <c r="C175" s="47"/>
    </row>
    <row r="176">
      <c r="C176" s="47"/>
    </row>
    <row r="177">
      <c r="C177" s="47"/>
    </row>
    <row r="178">
      <c r="C178" s="47"/>
    </row>
    <row r="179">
      <c r="C179" s="47"/>
    </row>
    <row r="180">
      <c r="C180" s="47"/>
    </row>
    <row r="181">
      <c r="C181" s="47"/>
    </row>
    <row r="182">
      <c r="C182" s="47"/>
    </row>
    <row r="183">
      <c r="C183" s="47"/>
    </row>
    <row r="184">
      <c r="C184" s="47"/>
    </row>
    <row r="185">
      <c r="C185" s="47"/>
    </row>
    <row r="186">
      <c r="C186" s="47"/>
    </row>
    <row r="187">
      <c r="C187" s="47"/>
    </row>
    <row r="188">
      <c r="C188" s="47"/>
    </row>
    <row r="189">
      <c r="C189" s="47"/>
    </row>
    <row r="190">
      <c r="C190" s="47"/>
    </row>
    <row r="191">
      <c r="C191" s="47"/>
    </row>
    <row r="192">
      <c r="C192" s="47"/>
    </row>
    <row r="193">
      <c r="C193" s="47"/>
    </row>
    <row r="194">
      <c r="C194" s="47"/>
    </row>
    <row r="195">
      <c r="C195" s="47"/>
    </row>
    <row r="196">
      <c r="C196" s="47"/>
    </row>
    <row r="197">
      <c r="C197" s="47"/>
    </row>
    <row r="198">
      <c r="C198" s="47"/>
    </row>
    <row r="199">
      <c r="C199" s="47"/>
    </row>
    <row r="200">
      <c r="C200" s="47"/>
    </row>
    <row r="201">
      <c r="C201" s="47"/>
    </row>
    <row r="202">
      <c r="C202" s="47"/>
    </row>
    <row r="203">
      <c r="C203" s="47"/>
    </row>
    <row r="204">
      <c r="C204" s="47"/>
    </row>
    <row r="205">
      <c r="C205" s="47"/>
    </row>
    <row r="206">
      <c r="C206" s="47"/>
    </row>
    <row r="207">
      <c r="C207" s="47"/>
    </row>
    <row r="208">
      <c r="C208" s="47"/>
    </row>
    <row r="209">
      <c r="C209" s="47"/>
    </row>
    <row r="210">
      <c r="C210" s="47"/>
    </row>
    <row r="211">
      <c r="C211" s="47"/>
    </row>
    <row r="212">
      <c r="C212" s="47"/>
    </row>
    <row r="213">
      <c r="C213" s="47"/>
    </row>
    <row r="214">
      <c r="C214" s="47"/>
    </row>
    <row r="215">
      <c r="C215" s="47"/>
    </row>
    <row r="216">
      <c r="C216" s="47"/>
    </row>
    <row r="217">
      <c r="C217" s="47"/>
    </row>
    <row r="218">
      <c r="C218" s="47"/>
    </row>
    <row r="219">
      <c r="C219" s="47"/>
    </row>
    <row r="220">
      <c r="C220" s="47"/>
    </row>
    <row r="221">
      <c r="C221" s="47"/>
    </row>
    <row r="222">
      <c r="C222" s="47"/>
    </row>
    <row r="223">
      <c r="C223" s="47"/>
    </row>
    <row r="224">
      <c r="C224" s="47"/>
    </row>
    <row r="225">
      <c r="C225" s="47"/>
    </row>
    <row r="226">
      <c r="C226" s="47"/>
    </row>
    <row r="227">
      <c r="C227" s="47"/>
    </row>
    <row r="228">
      <c r="C228" s="47"/>
    </row>
    <row r="229">
      <c r="C229" s="47"/>
    </row>
    <row r="230">
      <c r="C230" s="47"/>
    </row>
    <row r="231">
      <c r="C231" s="47"/>
    </row>
    <row r="232">
      <c r="C232" s="47"/>
    </row>
    <row r="233">
      <c r="C233" s="47"/>
    </row>
    <row r="234">
      <c r="C234" s="47"/>
    </row>
    <row r="235">
      <c r="C235" s="47"/>
    </row>
    <row r="236">
      <c r="C236" s="47"/>
    </row>
    <row r="237">
      <c r="C237" s="47"/>
    </row>
    <row r="238">
      <c r="C238" s="47"/>
    </row>
    <row r="239">
      <c r="C239" s="47"/>
    </row>
    <row r="240">
      <c r="C240" s="47"/>
    </row>
    <row r="241">
      <c r="C241" s="47"/>
    </row>
    <row r="242">
      <c r="C242" s="47"/>
    </row>
    <row r="243">
      <c r="C243" s="47"/>
    </row>
    <row r="244">
      <c r="C244" s="47"/>
    </row>
    <row r="245">
      <c r="C245" s="47"/>
    </row>
    <row r="246">
      <c r="C246" s="47"/>
    </row>
    <row r="247">
      <c r="C247" s="47"/>
    </row>
    <row r="248">
      <c r="C248" s="47"/>
    </row>
    <row r="249">
      <c r="C249" s="47"/>
    </row>
    <row r="250">
      <c r="C250" s="47"/>
    </row>
    <row r="251">
      <c r="C251" s="47"/>
    </row>
    <row r="252">
      <c r="C252" s="47"/>
    </row>
    <row r="253">
      <c r="C253" s="47"/>
    </row>
    <row r="254">
      <c r="C254" s="47"/>
    </row>
    <row r="255">
      <c r="C255" s="47"/>
    </row>
    <row r="256">
      <c r="C256" s="47"/>
    </row>
    <row r="257">
      <c r="C257" s="47"/>
    </row>
    <row r="258">
      <c r="C258" s="47"/>
    </row>
    <row r="259">
      <c r="C259" s="47"/>
    </row>
    <row r="260">
      <c r="C260" s="47"/>
    </row>
    <row r="261">
      <c r="C261" s="47"/>
    </row>
    <row r="262">
      <c r="C262" s="47"/>
    </row>
    <row r="263">
      <c r="C263" s="47"/>
    </row>
    <row r="264">
      <c r="C264" s="47"/>
    </row>
    <row r="265">
      <c r="C265" s="47"/>
    </row>
    <row r="266">
      <c r="C266" s="47"/>
    </row>
    <row r="267">
      <c r="C267" s="47"/>
    </row>
    <row r="268">
      <c r="C268" s="47"/>
    </row>
    <row r="269">
      <c r="C269" s="47"/>
    </row>
    <row r="270">
      <c r="C270" s="47"/>
    </row>
    <row r="271">
      <c r="C271" s="47"/>
    </row>
    <row r="272">
      <c r="C272" s="47"/>
    </row>
    <row r="273">
      <c r="C273" s="47"/>
    </row>
    <row r="274">
      <c r="C274" s="47"/>
    </row>
    <row r="275">
      <c r="C275" s="47"/>
    </row>
    <row r="276">
      <c r="C276" s="47"/>
    </row>
    <row r="277">
      <c r="C277" s="47"/>
    </row>
    <row r="278">
      <c r="C278" s="47"/>
    </row>
    <row r="279">
      <c r="C279" s="47"/>
    </row>
    <row r="280">
      <c r="C280" s="47"/>
    </row>
    <row r="281">
      <c r="C281" s="47"/>
    </row>
    <row r="282">
      <c r="C282" s="47"/>
    </row>
    <row r="283">
      <c r="C283" s="47"/>
    </row>
    <row r="284">
      <c r="C284" s="47"/>
    </row>
    <row r="285">
      <c r="C285" s="47"/>
    </row>
    <row r="286">
      <c r="C286" s="47"/>
    </row>
    <row r="287">
      <c r="C287" s="47"/>
    </row>
    <row r="288">
      <c r="C288" s="47"/>
    </row>
    <row r="289">
      <c r="C289" s="47"/>
    </row>
    <row r="290">
      <c r="C290" s="47"/>
    </row>
    <row r="291">
      <c r="C291" s="47"/>
    </row>
    <row r="292">
      <c r="C292" s="47"/>
    </row>
    <row r="293">
      <c r="C293" s="47"/>
    </row>
    <row r="294">
      <c r="C294" s="47"/>
    </row>
    <row r="295">
      <c r="C295" s="47"/>
    </row>
    <row r="296">
      <c r="C296" s="47"/>
    </row>
    <row r="297">
      <c r="C297" s="47"/>
    </row>
    <row r="298">
      <c r="C298" s="47"/>
    </row>
    <row r="299">
      <c r="C299" s="47"/>
    </row>
    <row r="300">
      <c r="C300" s="47"/>
    </row>
    <row r="301">
      <c r="C301" s="47"/>
    </row>
    <row r="302">
      <c r="C302" s="47"/>
    </row>
    <row r="303">
      <c r="C303" s="47"/>
    </row>
    <row r="304">
      <c r="C304" s="47"/>
    </row>
    <row r="305">
      <c r="C305" s="47"/>
    </row>
    <row r="306">
      <c r="C306" s="47"/>
    </row>
    <row r="307">
      <c r="C307" s="47"/>
    </row>
    <row r="308">
      <c r="C308" s="47"/>
    </row>
    <row r="309">
      <c r="C309" s="47"/>
    </row>
    <row r="310">
      <c r="C310" s="47"/>
    </row>
    <row r="311">
      <c r="C311" s="47"/>
    </row>
    <row r="312">
      <c r="C312" s="47"/>
    </row>
    <row r="313">
      <c r="C313" s="47"/>
    </row>
    <row r="314">
      <c r="C314" s="47"/>
    </row>
    <row r="315">
      <c r="C315" s="47"/>
    </row>
    <row r="316">
      <c r="C316" s="47"/>
    </row>
    <row r="317">
      <c r="C317" s="47"/>
    </row>
    <row r="318">
      <c r="C318" s="47"/>
    </row>
    <row r="319">
      <c r="C319" s="47"/>
    </row>
    <row r="320">
      <c r="C320" s="47"/>
    </row>
    <row r="321">
      <c r="C321" s="47"/>
    </row>
    <row r="322">
      <c r="C322" s="47"/>
    </row>
    <row r="323">
      <c r="C323" s="47"/>
    </row>
    <row r="324">
      <c r="C324" s="47"/>
    </row>
    <row r="325">
      <c r="C325" s="47"/>
    </row>
    <row r="326">
      <c r="C326" s="47"/>
    </row>
    <row r="327">
      <c r="C327" s="47"/>
    </row>
    <row r="328">
      <c r="C328" s="47"/>
    </row>
    <row r="329">
      <c r="C329" s="47"/>
    </row>
    <row r="330">
      <c r="C330" s="47"/>
    </row>
    <row r="331">
      <c r="C331" s="47"/>
    </row>
    <row r="332">
      <c r="C332" s="47"/>
    </row>
    <row r="333">
      <c r="C333" s="47"/>
    </row>
    <row r="334">
      <c r="C334" s="47"/>
    </row>
    <row r="335">
      <c r="C335" s="47"/>
    </row>
    <row r="336">
      <c r="C336" s="47"/>
    </row>
    <row r="337">
      <c r="C337" s="47"/>
    </row>
    <row r="338">
      <c r="C338" s="47"/>
    </row>
    <row r="339">
      <c r="C339" s="47"/>
    </row>
    <row r="340">
      <c r="C340" s="47"/>
    </row>
    <row r="341">
      <c r="C341" s="47"/>
    </row>
    <row r="342">
      <c r="C342" s="47"/>
    </row>
    <row r="343">
      <c r="C343" s="47"/>
    </row>
    <row r="344">
      <c r="C344" s="47"/>
    </row>
    <row r="345">
      <c r="C345" s="47"/>
    </row>
    <row r="346">
      <c r="C346" s="47"/>
    </row>
    <row r="347">
      <c r="C347" s="47"/>
    </row>
    <row r="348">
      <c r="C348" s="47"/>
    </row>
    <row r="349">
      <c r="C349" s="47"/>
    </row>
    <row r="350">
      <c r="C350" s="47"/>
    </row>
    <row r="351">
      <c r="C351" s="47"/>
    </row>
    <row r="352">
      <c r="C352" s="47"/>
    </row>
    <row r="353">
      <c r="C353" s="47"/>
    </row>
    <row r="354">
      <c r="C354" s="47"/>
    </row>
    <row r="355">
      <c r="C355" s="47"/>
    </row>
    <row r="356">
      <c r="C356" s="47"/>
    </row>
    <row r="357">
      <c r="C357" s="47"/>
    </row>
    <row r="358">
      <c r="C358" s="47"/>
    </row>
    <row r="359">
      <c r="C359" s="47"/>
    </row>
    <row r="360">
      <c r="C360" s="47"/>
    </row>
    <row r="361">
      <c r="C361" s="47"/>
    </row>
    <row r="362">
      <c r="C362" s="47"/>
    </row>
    <row r="363">
      <c r="C363" s="47"/>
    </row>
    <row r="364">
      <c r="C364" s="47"/>
    </row>
    <row r="365">
      <c r="C365" s="47"/>
    </row>
    <row r="366">
      <c r="C366" s="47"/>
    </row>
    <row r="367">
      <c r="C367" s="47"/>
    </row>
    <row r="368">
      <c r="C368" s="47"/>
    </row>
    <row r="369">
      <c r="C369" s="47"/>
    </row>
    <row r="370">
      <c r="C370" s="47"/>
    </row>
    <row r="371">
      <c r="C371" s="47"/>
    </row>
    <row r="372">
      <c r="C372" s="47"/>
    </row>
    <row r="373">
      <c r="C373" s="47"/>
    </row>
    <row r="374">
      <c r="C374" s="47"/>
    </row>
    <row r="375">
      <c r="C375" s="47"/>
    </row>
    <row r="376">
      <c r="C376" s="47"/>
    </row>
    <row r="377">
      <c r="C377" s="47"/>
    </row>
    <row r="378">
      <c r="C378" s="47"/>
    </row>
    <row r="379">
      <c r="C379" s="47"/>
    </row>
    <row r="380">
      <c r="C380" s="47"/>
    </row>
    <row r="381">
      <c r="C381" s="47"/>
    </row>
    <row r="382">
      <c r="C382" s="47"/>
    </row>
    <row r="383">
      <c r="C383" s="47"/>
    </row>
    <row r="384">
      <c r="C384" s="47"/>
    </row>
    <row r="385">
      <c r="C385" s="47"/>
    </row>
    <row r="386">
      <c r="C386" s="47"/>
    </row>
    <row r="387">
      <c r="C387" s="47"/>
    </row>
    <row r="388">
      <c r="C388" s="47"/>
    </row>
    <row r="389">
      <c r="C389" s="47"/>
    </row>
    <row r="390">
      <c r="C390" s="47"/>
    </row>
    <row r="391">
      <c r="C391" s="47"/>
    </row>
    <row r="392">
      <c r="C392" s="47"/>
    </row>
    <row r="393">
      <c r="C393" s="47"/>
    </row>
    <row r="394">
      <c r="C394" s="47"/>
    </row>
    <row r="395">
      <c r="C395" s="47"/>
    </row>
    <row r="396">
      <c r="C396" s="47"/>
    </row>
    <row r="397">
      <c r="C397" s="47"/>
    </row>
    <row r="398">
      <c r="C398" s="47"/>
    </row>
    <row r="399">
      <c r="C399" s="47"/>
    </row>
    <row r="400">
      <c r="C400" s="47"/>
    </row>
    <row r="401">
      <c r="C401" s="47"/>
    </row>
    <row r="402">
      <c r="C402" s="47"/>
    </row>
    <row r="403">
      <c r="C403" s="47"/>
    </row>
    <row r="404">
      <c r="C404" s="47"/>
    </row>
    <row r="405">
      <c r="C405" s="47"/>
    </row>
    <row r="406">
      <c r="C406" s="47"/>
    </row>
    <row r="407">
      <c r="C407" s="47"/>
    </row>
    <row r="408">
      <c r="C408" s="47"/>
    </row>
    <row r="409">
      <c r="C409" s="47"/>
    </row>
    <row r="410">
      <c r="C410" s="47"/>
    </row>
    <row r="411">
      <c r="C411" s="47"/>
    </row>
    <row r="412">
      <c r="C412" s="47"/>
    </row>
    <row r="413">
      <c r="C413" s="47"/>
    </row>
    <row r="414">
      <c r="C414" s="47"/>
    </row>
    <row r="415">
      <c r="C415" s="47"/>
    </row>
    <row r="416">
      <c r="C416" s="47"/>
    </row>
    <row r="417">
      <c r="C417" s="47"/>
    </row>
    <row r="418">
      <c r="C418" s="47"/>
    </row>
    <row r="419">
      <c r="C419" s="47"/>
    </row>
    <row r="420">
      <c r="C420" s="47"/>
    </row>
    <row r="421">
      <c r="C421" s="47"/>
    </row>
    <row r="422">
      <c r="C422" s="47"/>
    </row>
    <row r="423">
      <c r="C423" s="47"/>
    </row>
    <row r="424">
      <c r="C424" s="47"/>
    </row>
    <row r="425">
      <c r="C425" s="47"/>
    </row>
    <row r="426">
      <c r="C426" s="47"/>
    </row>
    <row r="427">
      <c r="C427" s="47"/>
    </row>
    <row r="428">
      <c r="C428" s="47"/>
    </row>
    <row r="429">
      <c r="C429" s="47"/>
    </row>
    <row r="430">
      <c r="C430" s="47"/>
    </row>
    <row r="431">
      <c r="C431" s="47"/>
    </row>
    <row r="432">
      <c r="C432" s="47"/>
    </row>
    <row r="433">
      <c r="C433" s="47"/>
    </row>
    <row r="434">
      <c r="C434" s="47"/>
    </row>
    <row r="435">
      <c r="C435" s="47"/>
    </row>
    <row r="436">
      <c r="C436" s="47"/>
    </row>
    <row r="437">
      <c r="C437" s="47"/>
    </row>
    <row r="438">
      <c r="C438" s="47"/>
    </row>
    <row r="439">
      <c r="C439" s="47"/>
    </row>
    <row r="440">
      <c r="C440" s="47"/>
    </row>
    <row r="441">
      <c r="C441" s="47"/>
    </row>
    <row r="442">
      <c r="C442" s="47"/>
    </row>
    <row r="443">
      <c r="C443" s="47"/>
    </row>
    <row r="444">
      <c r="C444" s="47"/>
    </row>
    <row r="445">
      <c r="C445" s="47"/>
    </row>
    <row r="446">
      <c r="C446" s="47"/>
    </row>
    <row r="447">
      <c r="C447" s="47"/>
    </row>
    <row r="448">
      <c r="C448" s="47"/>
    </row>
    <row r="449">
      <c r="C449" s="47"/>
    </row>
    <row r="450">
      <c r="C450" s="47"/>
    </row>
    <row r="451">
      <c r="C451" s="47"/>
    </row>
    <row r="452">
      <c r="C452" s="47"/>
    </row>
    <row r="453">
      <c r="C453" s="47"/>
    </row>
    <row r="454">
      <c r="C454" s="47"/>
    </row>
    <row r="455">
      <c r="C455" s="47"/>
    </row>
    <row r="456">
      <c r="C456" s="47"/>
    </row>
    <row r="457">
      <c r="C457" s="47"/>
    </row>
    <row r="458">
      <c r="C458" s="47"/>
    </row>
    <row r="459">
      <c r="C459" s="47"/>
    </row>
    <row r="460">
      <c r="C460" s="47"/>
    </row>
    <row r="461">
      <c r="C461" s="47"/>
    </row>
    <row r="462">
      <c r="C462" s="47"/>
    </row>
    <row r="463">
      <c r="C463" s="47"/>
    </row>
    <row r="464">
      <c r="C464" s="47"/>
    </row>
    <row r="465">
      <c r="C465" s="47"/>
    </row>
    <row r="466">
      <c r="C466" s="47"/>
    </row>
    <row r="467">
      <c r="C467" s="47"/>
    </row>
    <row r="468">
      <c r="C468" s="47"/>
    </row>
    <row r="469">
      <c r="C469" s="47"/>
    </row>
    <row r="470">
      <c r="C470" s="47"/>
    </row>
    <row r="471">
      <c r="C471" s="47"/>
    </row>
    <row r="472">
      <c r="C472" s="47"/>
    </row>
    <row r="473">
      <c r="C473" s="47"/>
    </row>
    <row r="474">
      <c r="C474" s="47"/>
    </row>
    <row r="475">
      <c r="C475" s="47"/>
    </row>
    <row r="476">
      <c r="C476" s="47"/>
    </row>
    <row r="477">
      <c r="C477" s="47"/>
    </row>
    <row r="478">
      <c r="C478" s="47"/>
    </row>
    <row r="479">
      <c r="C479" s="47"/>
    </row>
    <row r="480">
      <c r="C480" s="47"/>
    </row>
    <row r="481">
      <c r="C481" s="47"/>
    </row>
    <row r="482">
      <c r="C482" s="47"/>
    </row>
    <row r="483">
      <c r="C483" s="47"/>
    </row>
    <row r="484">
      <c r="C484" s="47"/>
    </row>
    <row r="485">
      <c r="C485" s="47"/>
    </row>
    <row r="486">
      <c r="C486" s="47"/>
    </row>
    <row r="487">
      <c r="C487" s="47"/>
    </row>
    <row r="488">
      <c r="C488" s="47"/>
    </row>
    <row r="489">
      <c r="C489" s="47"/>
    </row>
    <row r="490">
      <c r="C490" s="47"/>
    </row>
    <row r="491">
      <c r="C491" s="47"/>
    </row>
    <row r="492">
      <c r="C492" s="47"/>
    </row>
    <row r="493">
      <c r="C493" s="47"/>
    </row>
    <row r="494">
      <c r="C494" s="47"/>
    </row>
    <row r="495">
      <c r="C495" s="47"/>
    </row>
    <row r="496">
      <c r="C496" s="47"/>
    </row>
    <row r="497">
      <c r="C497" s="47"/>
    </row>
    <row r="498">
      <c r="C498" s="47"/>
    </row>
    <row r="499">
      <c r="C499" s="47"/>
    </row>
    <row r="500">
      <c r="C500" s="47"/>
    </row>
    <row r="501">
      <c r="C501" s="47"/>
    </row>
    <row r="502">
      <c r="C502" s="47"/>
    </row>
    <row r="503">
      <c r="C503" s="47"/>
    </row>
    <row r="504">
      <c r="C504" s="47"/>
    </row>
    <row r="505">
      <c r="C505" s="47"/>
    </row>
    <row r="506">
      <c r="C506" s="47"/>
    </row>
    <row r="507">
      <c r="C507" s="47"/>
    </row>
    <row r="508">
      <c r="C508" s="47"/>
    </row>
    <row r="509">
      <c r="C509" s="47"/>
    </row>
    <row r="510">
      <c r="C510" s="47"/>
    </row>
    <row r="511">
      <c r="C511" s="47"/>
    </row>
    <row r="512">
      <c r="C512" s="47"/>
    </row>
    <row r="513">
      <c r="C513" s="47"/>
    </row>
    <row r="514">
      <c r="C514" s="47"/>
    </row>
    <row r="515">
      <c r="C515" s="47"/>
    </row>
    <row r="516">
      <c r="C516" s="47"/>
    </row>
    <row r="517">
      <c r="C517" s="47"/>
    </row>
    <row r="518">
      <c r="C518" s="47"/>
    </row>
    <row r="519">
      <c r="C519" s="47"/>
    </row>
    <row r="520">
      <c r="C520" s="47"/>
    </row>
    <row r="521">
      <c r="C521" s="47"/>
    </row>
    <row r="522">
      <c r="C522" s="47"/>
    </row>
    <row r="523">
      <c r="C523" s="47"/>
    </row>
    <row r="524">
      <c r="C524" s="47"/>
    </row>
    <row r="525">
      <c r="C525" s="47"/>
    </row>
    <row r="526">
      <c r="C526" s="47"/>
    </row>
    <row r="527">
      <c r="C527" s="47"/>
    </row>
    <row r="528">
      <c r="C528" s="47"/>
    </row>
    <row r="529">
      <c r="C529" s="47"/>
    </row>
    <row r="530">
      <c r="C530" s="47"/>
    </row>
    <row r="531">
      <c r="C531" s="47"/>
    </row>
    <row r="532">
      <c r="C532" s="47"/>
    </row>
    <row r="533">
      <c r="C533" s="47"/>
    </row>
    <row r="534">
      <c r="C534" s="47"/>
    </row>
    <row r="535">
      <c r="C535" s="47"/>
    </row>
    <row r="536">
      <c r="C536" s="47"/>
    </row>
    <row r="537">
      <c r="C537" s="47"/>
    </row>
    <row r="538">
      <c r="C538" s="47"/>
    </row>
    <row r="539">
      <c r="C539" s="47"/>
    </row>
    <row r="540">
      <c r="C540" s="47"/>
    </row>
    <row r="541">
      <c r="C541" s="47"/>
    </row>
    <row r="542">
      <c r="C542" s="47"/>
    </row>
    <row r="543">
      <c r="C543" s="47"/>
    </row>
    <row r="544">
      <c r="C544" s="47"/>
    </row>
    <row r="545">
      <c r="C545" s="47"/>
    </row>
    <row r="546">
      <c r="C546" s="47"/>
    </row>
    <row r="547">
      <c r="C547" s="47"/>
    </row>
    <row r="548">
      <c r="C548" s="47"/>
    </row>
    <row r="549">
      <c r="C549" s="47"/>
    </row>
    <row r="550">
      <c r="C550" s="47"/>
    </row>
    <row r="551">
      <c r="C551" s="47"/>
    </row>
    <row r="552">
      <c r="C552" s="47"/>
    </row>
    <row r="553">
      <c r="C553" s="47"/>
    </row>
    <row r="554">
      <c r="C554" s="47"/>
    </row>
    <row r="555">
      <c r="C555" s="47"/>
    </row>
    <row r="556">
      <c r="C556" s="47"/>
    </row>
    <row r="557">
      <c r="C557" s="47"/>
    </row>
    <row r="558">
      <c r="C558" s="47"/>
    </row>
    <row r="559">
      <c r="C559" s="47"/>
    </row>
    <row r="560">
      <c r="C560" s="47"/>
    </row>
    <row r="561">
      <c r="C561" s="47"/>
    </row>
    <row r="562">
      <c r="C562" s="47"/>
    </row>
    <row r="563">
      <c r="C563" s="47"/>
    </row>
    <row r="564">
      <c r="C564" s="47"/>
    </row>
    <row r="565">
      <c r="C565" s="47"/>
    </row>
    <row r="566">
      <c r="C566" s="47"/>
    </row>
    <row r="567">
      <c r="C567" s="47"/>
    </row>
    <row r="568">
      <c r="C568" s="47"/>
    </row>
    <row r="569">
      <c r="C569" s="47"/>
    </row>
    <row r="570">
      <c r="C570" s="47"/>
    </row>
    <row r="571">
      <c r="C571" s="47"/>
    </row>
    <row r="572">
      <c r="C572" s="47"/>
    </row>
    <row r="573">
      <c r="C573" s="47"/>
    </row>
    <row r="574">
      <c r="C574" s="47"/>
    </row>
    <row r="575">
      <c r="C575" s="47"/>
    </row>
    <row r="576">
      <c r="C576" s="47"/>
    </row>
    <row r="577">
      <c r="C577" s="47"/>
    </row>
    <row r="578">
      <c r="C578" s="47"/>
    </row>
    <row r="579">
      <c r="C579" s="47"/>
    </row>
    <row r="580">
      <c r="C580" s="47"/>
    </row>
    <row r="581">
      <c r="C581" s="47"/>
    </row>
    <row r="582">
      <c r="C582" s="47"/>
    </row>
    <row r="583">
      <c r="C583" s="47"/>
    </row>
    <row r="584">
      <c r="C584" s="47"/>
    </row>
    <row r="585">
      <c r="C585" s="47"/>
    </row>
    <row r="586">
      <c r="C586" s="47"/>
    </row>
    <row r="587">
      <c r="C587" s="47"/>
    </row>
    <row r="588">
      <c r="C588" s="47"/>
    </row>
    <row r="589">
      <c r="C589" s="47"/>
    </row>
    <row r="590">
      <c r="C590" s="47"/>
    </row>
    <row r="591">
      <c r="C591" s="47"/>
    </row>
    <row r="592">
      <c r="C592" s="47"/>
    </row>
    <row r="593">
      <c r="C593" s="47"/>
    </row>
    <row r="594">
      <c r="C594" s="47"/>
    </row>
    <row r="595">
      <c r="C595" s="47"/>
    </row>
    <row r="596">
      <c r="C596" s="47"/>
    </row>
    <row r="597">
      <c r="C597" s="47"/>
    </row>
    <row r="598">
      <c r="C598" s="47"/>
    </row>
    <row r="599">
      <c r="C599" s="47"/>
    </row>
    <row r="600">
      <c r="C600" s="47"/>
    </row>
    <row r="601">
      <c r="C601" s="47"/>
    </row>
    <row r="602">
      <c r="C602" s="47"/>
    </row>
    <row r="603">
      <c r="C603" s="47"/>
    </row>
    <row r="604">
      <c r="C604" s="47"/>
    </row>
    <row r="605">
      <c r="C605" s="47"/>
    </row>
    <row r="606">
      <c r="C606" s="47"/>
    </row>
    <row r="607">
      <c r="C607" s="47"/>
    </row>
    <row r="608">
      <c r="C608" s="47"/>
    </row>
    <row r="609">
      <c r="C609" s="47"/>
    </row>
    <row r="610">
      <c r="C610" s="47"/>
    </row>
    <row r="611">
      <c r="C611" s="47"/>
    </row>
    <row r="612">
      <c r="C612" s="47"/>
    </row>
    <row r="613">
      <c r="C613" s="47"/>
    </row>
    <row r="614">
      <c r="C614" s="47"/>
    </row>
    <row r="615">
      <c r="C615" s="47"/>
    </row>
    <row r="616">
      <c r="C616" s="47"/>
    </row>
    <row r="617">
      <c r="C617" s="47"/>
    </row>
    <row r="618">
      <c r="C618" s="47"/>
    </row>
    <row r="619">
      <c r="C619" s="47"/>
    </row>
    <row r="620">
      <c r="C620" s="47"/>
    </row>
    <row r="621">
      <c r="C621" s="47"/>
    </row>
    <row r="622">
      <c r="C622" s="47"/>
    </row>
    <row r="623">
      <c r="C623" s="47"/>
    </row>
    <row r="624">
      <c r="C624" s="47"/>
    </row>
    <row r="625">
      <c r="C625" s="47"/>
    </row>
    <row r="626">
      <c r="C626" s="47"/>
    </row>
    <row r="627">
      <c r="C627" s="47"/>
    </row>
    <row r="628">
      <c r="C628" s="47"/>
    </row>
    <row r="629">
      <c r="C629" s="47"/>
    </row>
    <row r="630">
      <c r="C630" s="47"/>
    </row>
    <row r="631">
      <c r="C631" s="47"/>
    </row>
    <row r="632">
      <c r="C632" s="47"/>
    </row>
    <row r="633">
      <c r="C633" s="47"/>
    </row>
    <row r="634">
      <c r="C634" s="47"/>
    </row>
    <row r="635">
      <c r="C635" s="47"/>
    </row>
    <row r="636">
      <c r="C636" s="47"/>
    </row>
    <row r="637">
      <c r="C637" s="47"/>
    </row>
    <row r="638">
      <c r="C638" s="47"/>
    </row>
    <row r="639">
      <c r="C639" s="47"/>
    </row>
    <row r="640">
      <c r="C640" s="47"/>
    </row>
    <row r="641">
      <c r="C641" s="47"/>
    </row>
    <row r="642">
      <c r="C642" s="47"/>
    </row>
    <row r="643">
      <c r="C643" s="47"/>
    </row>
    <row r="644">
      <c r="C644" s="47"/>
    </row>
    <row r="645">
      <c r="C645" s="47"/>
    </row>
    <row r="646">
      <c r="C646" s="47"/>
    </row>
    <row r="647">
      <c r="C647" s="47"/>
    </row>
    <row r="648">
      <c r="C648" s="47"/>
    </row>
    <row r="649">
      <c r="C649" s="47"/>
    </row>
    <row r="650">
      <c r="C650" s="47"/>
    </row>
    <row r="651">
      <c r="C651" s="47"/>
    </row>
    <row r="652">
      <c r="C652" s="47"/>
    </row>
    <row r="653">
      <c r="C653" s="47"/>
    </row>
    <row r="654">
      <c r="C654" s="47"/>
    </row>
    <row r="655">
      <c r="C655" s="47"/>
    </row>
    <row r="656">
      <c r="C656" s="47"/>
    </row>
    <row r="657">
      <c r="C657" s="47"/>
    </row>
    <row r="658">
      <c r="C658" s="47"/>
    </row>
    <row r="659">
      <c r="C659" s="47"/>
    </row>
    <row r="660">
      <c r="C660" s="47"/>
    </row>
    <row r="661">
      <c r="C661" s="47"/>
    </row>
    <row r="662">
      <c r="C662" s="47"/>
    </row>
    <row r="663">
      <c r="C663" s="47"/>
    </row>
    <row r="664">
      <c r="C664" s="47"/>
    </row>
    <row r="665">
      <c r="C665" s="47"/>
    </row>
    <row r="666">
      <c r="C666" s="47"/>
    </row>
    <row r="667">
      <c r="C667" s="47"/>
    </row>
    <row r="668">
      <c r="C668" s="47"/>
    </row>
    <row r="669">
      <c r="C669" s="47"/>
    </row>
    <row r="670">
      <c r="C670" s="47"/>
    </row>
    <row r="671">
      <c r="C671" s="47"/>
    </row>
    <row r="672">
      <c r="C672" s="47"/>
    </row>
    <row r="673">
      <c r="C673" s="47"/>
    </row>
    <row r="674">
      <c r="C674" s="47"/>
    </row>
    <row r="675">
      <c r="C675" s="47"/>
    </row>
    <row r="676">
      <c r="C676" s="47"/>
    </row>
    <row r="677">
      <c r="C677" s="47"/>
    </row>
    <row r="678">
      <c r="C678" s="47"/>
    </row>
    <row r="679">
      <c r="C679" s="47"/>
    </row>
    <row r="680">
      <c r="C680" s="47"/>
    </row>
    <row r="681">
      <c r="C681" s="47"/>
    </row>
    <row r="682">
      <c r="C682" s="47"/>
    </row>
    <row r="683">
      <c r="C683" s="47"/>
    </row>
    <row r="684">
      <c r="C684" s="47"/>
    </row>
    <row r="685">
      <c r="C685" s="47"/>
    </row>
    <row r="686">
      <c r="C686" s="47"/>
    </row>
    <row r="687">
      <c r="C687" s="47"/>
    </row>
    <row r="688">
      <c r="C688" s="47"/>
    </row>
    <row r="689">
      <c r="C689" s="47"/>
    </row>
    <row r="690">
      <c r="C690" s="47"/>
    </row>
    <row r="691">
      <c r="C691" s="47"/>
    </row>
    <row r="692">
      <c r="C692" s="47"/>
    </row>
    <row r="693">
      <c r="C693" s="47"/>
    </row>
    <row r="694">
      <c r="C694" s="47"/>
    </row>
    <row r="695">
      <c r="C695" s="47"/>
    </row>
    <row r="696">
      <c r="C696" s="47"/>
    </row>
    <row r="697">
      <c r="C697" s="47"/>
    </row>
    <row r="698">
      <c r="C698" s="47"/>
    </row>
    <row r="699">
      <c r="C699" s="47"/>
    </row>
    <row r="700">
      <c r="C700" s="47"/>
    </row>
    <row r="701">
      <c r="C701" s="47"/>
    </row>
    <row r="702">
      <c r="C702" s="47"/>
    </row>
    <row r="703">
      <c r="C703" s="47"/>
    </row>
    <row r="704">
      <c r="C704" s="47"/>
    </row>
    <row r="705">
      <c r="C705" s="47"/>
    </row>
    <row r="706">
      <c r="C706" s="47"/>
    </row>
    <row r="707">
      <c r="C707" s="47"/>
    </row>
    <row r="708">
      <c r="C708" s="47"/>
    </row>
    <row r="709">
      <c r="C709" s="47"/>
    </row>
    <row r="710">
      <c r="C710" s="47"/>
    </row>
    <row r="711">
      <c r="C711" s="47"/>
    </row>
    <row r="712">
      <c r="C712" s="47"/>
    </row>
    <row r="713">
      <c r="C713" s="47"/>
    </row>
    <row r="714">
      <c r="C714" s="47"/>
    </row>
    <row r="715">
      <c r="C715" s="47"/>
    </row>
    <row r="716">
      <c r="C716" s="47"/>
    </row>
    <row r="717">
      <c r="C717" s="47"/>
    </row>
    <row r="718">
      <c r="C718" s="47"/>
    </row>
    <row r="719">
      <c r="C719" s="47"/>
    </row>
    <row r="720">
      <c r="C720" s="47"/>
    </row>
    <row r="721">
      <c r="C721" s="47"/>
    </row>
    <row r="722">
      <c r="C722" s="47"/>
    </row>
    <row r="723">
      <c r="C723" s="47"/>
    </row>
    <row r="724">
      <c r="C724" s="47"/>
    </row>
    <row r="725">
      <c r="C725" s="47"/>
    </row>
    <row r="726">
      <c r="C726" s="47"/>
    </row>
    <row r="727">
      <c r="C727" s="47"/>
    </row>
    <row r="728">
      <c r="C728" s="47"/>
    </row>
    <row r="729">
      <c r="C729" s="47"/>
    </row>
    <row r="730">
      <c r="C730" s="47"/>
    </row>
    <row r="731">
      <c r="C731" s="47"/>
    </row>
    <row r="732">
      <c r="C732" s="47"/>
    </row>
    <row r="733">
      <c r="C733" s="47"/>
    </row>
    <row r="734">
      <c r="C734" s="47"/>
    </row>
    <row r="735">
      <c r="C735" s="47"/>
    </row>
    <row r="736">
      <c r="C736" s="47"/>
    </row>
    <row r="737">
      <c r="C737" s="47"/>
    </row>
    <row r="738">
      <c r="C738" s="47"/>
    </row>
    <row r="739">
      <c r="C739" s="47"/>
    </row>
    <row r="740">
      <c r="C740" s="47"/>
    </row>
    <row r="741">
      <c r="C741" s="47"/>
    </row>
    <row r="742">
      <c r="C742" s="47"/>
    </row>
    <row r="743">
      <c r="C743" s="47"/>
    </row>
    <row r="744">
      <c r="C744" s="47"/>
    </row>
    <row r="745">
      <c r="C745" s="47"/>
    </row>
    <row r="746">
      <c r="C746" s="47"/>
    </row>
    <row r="747">
      <c r="C747" s="47"/>
    </row>
    <row r="748">
      <c r="C748" s="47"/>
    </row>
    <row r="749">
      <c r="C749" s="47"/>
    </row>
    <row r="750">
      <c r="C750" s="47"/>
    </row>
    <row r="751">
      <c r="C751" s="47"/>
    </row>
    <row r="752">
      <c r="C752" s="47"/>
    </row>
    <row r="753">
      <c r="C753" s="47"/>
    </row>
    <row r="754">
      <c r="C754" s="47"/>
    </row>
    <row r="755">
      <c r="C755" s="47"/>
    </row>
    <row r="756">
      <c r="C756" s="47"/>
    </row>
    <row r="757">
      <c r="C757" s="47"/>
    </row>
    <row r="758">
      <c r="C758" s="47"/>
    </row>
    <row r="759">
      <c r="C759" s="47"/>
    </row>
    <row r="760">
      <c r="C760" s="47"/>
    </row>
    <row r="761">
      <c r="C761" s="47"/>
    </row>
    <row r="762">
      <c r="C762" s="47"/>
    </row>
    <row r="763">
      <c r="C763" s="47"/>
    </row>
    <row r="764">
      <c r="C764" s="47"/>
    </row>
    <row r="765">
      <c r="C765" s="47"/>
    </row>
    <row r="766">
      <c r="C766" s="47"/>
    </row>
    <row r="767">
      <c r="C767" s="47"/>
    </row>
    <row r="768">
      <c r="C768" s="47"/>
    </row>
    <row r="769">
      <c r="C769" s="47"/>
    </row>
    <row r="770">
      <c r="C770" s="47"/>
    </row>
    <row r="771">
      <c r="C771" s="47"/>
    </row>
    <row r="772">
      <c r="C772" s="47"/>
    </row>
    <row r="773">
      <c r="C773" s="47"/>
    </row>
    <row r="774">
      <c r="C774" s="47"/>
    </row>
    <row r="775">
      <c r="C775" s="47"/>
    </row>
    <row r="776">
      <c r="C776" s="47"/>
    </row>
    <row r="777">
      <c r="C777" s="47"/>
    </row>
    <row r="778">
      <c r="C778" s="47"/>
    </row>
    <row r="779">
      <c r="C779" s="47"/>
    </row>
    <row r="780">
      <c r="C780" s="47"/>
    </row>
    <row r="781">
      <c r="C781" s="47"/>
    </row>
    <row r="782">
      <c r="C782" s="47"/>
    </row>
    <row r="783">
      <c r="C783" s="47"/>
    </row>
    <row r="784">
      <c r="C784" s="47"/>
    </row>
    <row r="785">
      <c r="C785" s="47"/>
    </row>
    <row r="786">
      <c r="C786" s="47"/>
    </row>
    <row r="787">
      <c r="C787" s="47"/>
    </row>
    <row r="788">
      <c r="C788" s="47"/>
    </row>
    <row r="789">
      <c r="C789" s="47"/>
    </row>
    <row r="790">
      <c r="C790" s="47"/>
    </row>
    <row r="791">
      <c r="C791" s="47"/>
    </row>
    <row r="792">
      <c r="C792" s="47"/>
    </row>
    <row r="793">
      <c r="C793" s="47"/>
    </row>
    <row r="794">
      <c r="C794" s="47"/>
    </row>
    <row r="795">
      <c r="C795" s="47"/>
    </row>
    <row r="796">
      <c r="C796" s="47"/>
    </row>
    <row r="797">
      <c r="C797" s="47"/>
    </row>
    <row r="798">
      <c r="C798" s="47"/>
    </row>
    <row r="799">
      <c r="C799" s="47"/>
    </row>
    <row r="800">
      <c r="C800" s="47"/>
    </row>
    <row r="801">
      <c r="C801" s="47"/>
    </row>
    <row r="802">
      <c r="C802" s="47"/>
    </row>
    <row r="803">
      <c r="C803" s="47"/>
    </row>
    <row r="804">
      <c r="C804" s="47"/>
    </row>
    <row r="805">
      <c r="C805" s="47"/>
    </row>
    <row r="806">
      <c r="C806" s="47"/>
    </row>
    <row r="807">
      <c r="C807" s="47"/>
    </row>
    <row r="808">
      <c r="C808" s="47"/>
    </row>
    <row r="809">
      <c r="C809" s="47"/>
    </row>
    <row r="810">
      <c r="C810" s="47"/>
    </row>
    <row r="811">
      <c r="C811" s="47"/>
    </row>
    <row r="812">
      <c r="C812" s="47"/>
    </row>
    <row r="813">
      <c r="C813" s="47"/>
    </row>
    <row r="814">
      <c r="C814" s="47"/>
    </row>
    <row r="815">
      <c r="C815" s="47"/>
    </row>
    <row r="816">
      <c r="C816" s="47"/>
    </row>
    <row r="817">
      <c r="C817" s="47"/>
    </row>
    <row r="818">
      <c r="C818" s="47"/>
    </row>
    <row r="819">
      <c r="C819" s="47"/>
    </row>
    <row r="820">
      <c r="C820" s="47"/>
    </row>
    <row r="821">
      <c r="C821" s="47"/>
    </row>
    <row r="822">
      <c r="C822" s="47"/>
    </row>
    <row r="823">
      <c r="C823" s="47"/>
    </row>
    <row r="824">
      <c r="C824" s="47"/>
    </row>
    <row r="825">
      <c r="C825" s="47"/>
    </row>
    <row r="826">
      <c r="C826" s="47"/>
    </row>
    <row r="827">
      <c r="C827" s="47"/>
    </row>
    <row r="828">
      <c r="C828" s="47"/>
    </row>
    <row r="829">
      <c r="C829" s="47"/>
    </row>
    <row r="830">
      <c r="C830" s="47"/>
    </row>
    <row r="831">
      <c r="C831" s="47"/>
    </row>
    <row r="832">
      <c r="C832" s="47"/>
    </row>
    <row r="833">
      <c r="C833" s="47"/>
    </row>
    <row r="834">
      <c r="C834" s="47"/>
    </row>
    <row r="835">
      <c r="C835" s="47"/>
    </row>
    <row r="836">
      <c r="C836" s="47"/>
    </row>
    <row r="837">
      <c r="C837" s="47"/>
    </row>
    <row r="838">
      <c r="C838" s="47"/>
    </row>
    <row r="839">
      <c r="C839" s="47"/>
    </row>
    <row r="840">
      <c r="C840" s="47"/>
    </row>
    <row r="841">
      <c r="C841" s="47"/>
    </row>
    <row r="842">
      <c r="C842" s="47"/>
    </row>
    <row r="843">
      <c r="C843" s="47"/>
    </row>
    <row r="844">
      <c r="C844" s="47"/>
    </row>
    <row r="845">
      <c r="C845" s="47"/>
    </row>
    <row r="846">
      <c r="C846" s="47"/>
    </row>
    <row r="847">
      <c r="C847" s="47"/>
    </row>
    <row r="848">
      <c r="C848" s="47"/>
    </row>
    <row r="849">
      <c r="C849" s="47"/>
    </row>
    <row r="850">
      <c r="C850" s="47"/>
    </row>
    <row r="851">
      <c r="C851" s="47"/>
    </row>
    <row r="852">
      <c r="C852" s="47"/>
    </row>
    <row r="853">
      <c r="C853" s="47"/>
    </row>
    <row r="854">
      <c r="C854" s="47"/>
    </row>
    <row r="855">
      <c r="C855" s="47"/>
    </row>
    <row r="856">
      <c r="C856" s="47"/>
    </row>
    <row r="857">
      <c r="C857" s="47"/>
    </row>
    <row r="858">
      <c r="C858" s="47"/>
    </row>
    <row r="859">
      <c r="C859" s="47"/>
    </row>
    <row r="860">
      <c r="C860" s="47"/>
    </row>
    <row r="861">
      <c r="C861" s="47"/>
    </row>
    <row r="862">
      <c r="C862" s="47"/>
    </row>
    <row r="863">
      <c r="C863" s="47"/>
    </row>
    <row r="864">
      <c r="C864" s="47"/>
    </row>
    <row r="865">
      <c r="C865" s="47"/>
    </row>
    <row r="866">
      <c r="C866" s="47"/>
    </row>
    <row r="867">
      <c r="C867" s="47"/>
    </row>
    <row r="868">
      <c r="C868" s="47"/>
    </row>
    <row r="869">
      <c r="C869" s="47"/>
    </row>
    <row r="870">
      <c r="C870" s="47"/>
    </row>
    <row r="871">
      <c r="C871" s="47"/>
    </row>
    <row r="872">
      <c r="C872" s="47"/>
    </row>
    <row r="873">
      <c r="C873" s="47"/>
    </row>
    <row r="874">
      <c r="C874" s="47"/>
    </row>
    <row r="875">
      <c r="C875" s="47"/>
    </row>
    <row r="876">
      <c r="C876" s="47"/>
    </row>
    <row r="877">
      <c r="C877" s="47"/>
    </row>
    <row r="878">
      <c r="C878" s="47"/>
    </row>
    <row r="879">
      <c r="C879" s="47"/>
    </row>
    <row r="880">
      <c r="C880" s="47"/>
    </row>
    <row r="881">
      <c r="C881" s="47"/>
    </row>
    <row r="882">
      <c r="C882" s="47"/>
    </row>
    <row r="883">
      <c r="C883" s="47"/>
    </row>
    <row r="884">
      <c r="C884" s="47"/>
    </row>
    <row r="885">
      <c r="C885" s="47"/>
    </row>
    <row r="886">
      <c r="C886" s="47"/>
    </row>
    <row r="887">
      <c r="C887" s="47"/>
    </row>
    <row r="888">
      <c r="C888" s="47"/>
    </row>
    <row r="889">
      <c r="C889" s="47"/>
    </row>
    <row r="890">
      <c r="C890" s="47"/>
    </row>
    <row r="891">
      <c r="C891" s="47"/>
    </row>
    <row r="892">
      <c r="C892" s="47"/>
    </row>
    <row r="893">
      <c r="C893" s="47"/>
    </row>
    <row r="894">
      <c r="C894" s="47"/>
    </row>
    <row r="895">
      <c r="C895" s="47"/>
    </row>
    <row r="896">
      <c r="C896" s="47"/>
    </row>
    <row r="897">
      <c r="C897" s="47"/>
    </row>
    <row r="898">
      <c r="C898" s="47"/>
    </row>
    <row r="899">
      <c r="C899" s="47"/>
    </row>
    <row r="900">
      <c r="C900" s="47"/>
    </row>
    <row r="901">
      <c r="C901" s="47"/>
    </row>
    <row r="902">
      <c r="C902" s="47"/>
    </row>
    <row r="903">
      <c r="C903" s="47"/>
    </row>
    <row r="904">
      <c r="C904" s="47"/>
    </row>
    <row r="905">
      <c r="C905" s="47"/>
    </row>
    <row r="906">
      <c r="C906" s="47"/>
    </row>
    <row r="907">
      <c r="C907" s="47"/>
    </row>
    <row r="908">
      <c r="C908" s="47"/>
    </row>
    <row r="909">
      <c r="C909" s="47"/>
    </row>
    <row r="910">
      <c r="C910" s="47"/>
    </row>
    <row r="911">
      <c r="C911" s="47"/>
    </row>
    <row r="912">
      <c r="C912" s="47"/>
    </row>
    <row r="913">
      <c r="C913" s="47"/>
    </row>
    <row r="914">
      <c r="C914" s="47"/>
    </row>
    <row r="915">
      <c r="C915" s="47"/>
    </row>
    <row r="916">
      <c r="C916" s="47"/>
    </row>
    <row r="917">
      <c r="C917" s="47"/>
    </row>
    <row r="918">
      <c r="C918" s="47"/>
    </row>
    <row r="919">
      <c r="C919" s="47"/>
    </row>
    <row r="920">
      <c r="C920" s="47"/>
    </row>
    <row r="921">
      <c r="C921" s="47"/>
    </row>
    <row r="922">
      <c r="C922" s="47"/>
    </row>
    <row r="923">
      <c r="C923" s="47"/>
    </row>
    <row r="924">
      <c r="C924" s="47"/>
    </row>
    <row r="925">
      <c r="C925" s="47"/>
    </row>
    <row r="926">
      <c r="C926" s="47"/>
    </row>
    <row r="927">
      <c r="C927" s="47"/>
    </row>
    <row r="928">
      <c r="C928" s="47"/>
    </row>
    <row r="929">
      <c r="C929" s="47"/>
    </row>
    <row r="930">
      <c r="C930" s="47"/>
    </row>
    <row r="931">
      <c r="C931" s="47"/>
    </row>
    <row r="932">
      <c r="C932" s="47"/>
    </row>
    <row r="933">
      <c r="C933" s="47"/>
    </row>
    <row r="934">
      <c r="C934" s="47"/>
    </row>
    <row r="935">
      <c r="C935" s="47"/>
    </row>
    <row r="936">
      <c r="C936" s="47"/>
    </row>
    <row r="937">
      <c r="C937" s="47"/>
    </row>
    <row r="938">
      <c r="C938" s="47"/>
    </row>
    <row r="939">
      <c r="C939" s="47"/>
    </row>
    <row r="940">
      <c r="C940" s="47"/>
    </row>
    <row r="941">
      <c r="C941" s="47"/>
    </row>
    <row r="942">
      <c r="C942" s="47"/>
    </row>
    <row r="943">
      <c r="C943" s="47"/>
    </row>
    <row r="944">
      <c r="C944" s="47"/>
    </row>
    <row r="945">
      <c r="C945" s="47"/>
    </row>
    <row r="946">
      <c r="C946" s="47"/>
    </row>
    <row r="947">
      <c r="C947" s="47"/>
    </row>
    <row r="948">
      <c r="C948" s="47"/>
    </row>
    <row r="949">
      <c r="C949" s="47"/>
    </row>
    <row r="950">
      <c r="C950" s="47"/>
    </row>
    <row r="951">
      <c r="C951" s="47"/>
    </row>
    <row r="952">
      <c r="C952" s="47"/>
    </row>
    <row r="953">
      <c r="C953" s="47"/>
    </row>
    <row r="954">
      <c r="C954" s="47"/>
    </row>
    <row r="955">
      <c r="C955" s="47"/>
    </row>
    <row r="956">
      <c r="C956" s="47"/>
    </row>
    <row r="957">
      <c r="C957" s="47"/>
    </row>
    <row r="958">
      <c r="C958" s="47"/>
    </row>
    <row r="959">
      <c r="C959" s="47"/>
    </row>
    <row r="960">
      <c r="C960" s="47"/>
    </row>
    <row r="961">
      <c r="C961" s="47"/>
    </row>
    <row r="962">
      <c r="C962" s="47"/>
    </row>
    <row r="963">
      <c r="C963" s="47"/>
    </row>
    <row r="964">
      <c r="C964" s="47"/>
    </row>
    <row r="965">
      <c r="C965" s="47"/>
    </row>
    <row r="966">
      <c r="C966" s="47"/>
    </row>
    <row r="967">
      <c r="C967" s="47"/>
    </row>
    <row r="968">
      <c r="C968" s="47"/>
    </row>
    <row r="969">
      <c r="C969" s="47"/>
    </row>
    <row r="970">
      <c r="C970" s="47"/>
    </row>
    <row r="971">
      <c r="C971" s="47"/>
    </row>
    <row r="972">
      <c r="C972" s="47"/>
    </row>
    <row r="973">
      <c r="C973" s="47"/>
    </row>
    <row r="974">
      <c r="C974" s="47"/>
    </row>
    <row r="975">
      <c r="C975" s="47"/>
    </row>
    <row r="976">
      <c r="C976" s="47"/>
    </row>
    <row r="977">
      <c r="C977" s="47"/>
    </row>
    <row r="978">
      <c r="C978" s="47"/>
    </row>
    <row r="979">
      <c r="C979" s="47"/>
    </row>
    <row r="980">
      <c r="C980" s="47"/>
    </row>
    <row r="981">
      <c r="C981" s="47"/>
    </row>
    <row r="982">
      <c r="C982" s="47"/>
    </row>
    <row r="983">
      <c r="C983" s="47"/>
    </row>
    <row r="984">
      <c r="C984" s="47"/>
    </row>
    <row r="985">
      <c r="C985" s="47"/>
    </row>
    <row r="986">
      <c r="C986" s="47"/>
    </row>
    <row r="987">
      <c r="C987" s="47"/>
    </row>
    <row r="988">
      <c r="C988" s="47"/>
    </row>
    <row r="989">
      <c r="C989" s="47"/>
    </row>
    <row r="990">
      <c r="C990" s="47"/>
    </row>
    <row r="991">
      <c r="C991" s="47"/>
    </row>
    <row r="992">
      <c r="C992" s="47"/>
    </row>
    <row r="993">
      <c r="C993" s="47"/>
    </row>
    <row r="994">
      <c r="C994" s="47"/>
    </row>
    <row r="995">
      <c r="C995" s="47"/>
    </row>
    <row r="996">
      <c r="C996" s="47"/>
    </row>
    <row r="997">
      <c r="C997" s="47"/>
    </row>
    <row r="998">
      <c r="C998" s="47"/>
    </row>
    <row r="999">
      <c r="C999" s="47"/>
    </row>
    <row r="1000">
      <c r="C1000" s="47"/>
    </row>
    <row r="1001">
      <c r="C1001" s="47"/>
    </row>
    <row r="1002">
      <c r="C1002" s="47"/>
    </row>
    <row r="1003">
      <c r="C1003" s="47"/>
    </row>
    <row r="1004">
      <c r="C1004" s="47"/>
    </row>
    <row r="1005">
      <c r="C1005" s="47"/>
    </row>
    <row r="1006">
      <c r="C1006" s="47"/>
    </row>
    <row r="1007">
      <c r="C1007" s="47"/>
    </row>
    <row r="1008">
      <c r="C1008" s="47"/>
    </row>
    <row r="1009">
      <c r="C1009" s="47"/>
    </row>
    <row r="1010">
      <c r="C1010" s="47"/>
    </row>
    <row r="1011">
      <c r="C1011" s="47"/>
    </row>
    <row r="1012">
      <c r="C1012" s="47"/>
    </row>
    <row r="1013">
      <c r="C1013" s="47"/>
    </row>
    <row r="1014">
      <c r="C1014" s="47"/>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9.57"/>
    <col customWidth="1" min="2" max="2" width="20.86"/>
    <col customWidth="1" min="3" max="3" width="23.71"/>
    <col customWidth="1" min="4" max="4" width="41.29"/>
    <col customWidth="1" min="6" max="6" width="17.0"/>
    <col customWidth="1" min="7" max="7" width="70.71"/>
    <col customWidth="1" min="8" max="8" width="46.57"/>
    <col customWidth="1" min="9" max="9" width="7.43"/>
    <col customWidth="1" min="10" max="10" width="28.0"/>
  </cols>
  <sheetData>
    <row r="1">
      <c r="A1" s="48" t="s">
        <v>180</v>
      </c>
      <c r="B1" s="20" t="s">
        <v>181</v>
      </c>
      <c r="C1" s="20" t="s">
        <v>182</v>
      </c>
      <c r="D1" s="20"/>
      <c r="E1" s="20"/>
      <c r="F1" s="48"/>
      <c r="G1" s="48" t="s">
        <v>183</v>
      </c>
      <c r="H1" s="20" t="s">
        <v>181</v>
      </c>
      <c r="I1" s="20" t="s">
        <v>34</v>
      </c>
    </row>
    <row r="2">
      <c r="A2" s="49" t="s">
        <v>35</v>
      </c>
      <c r="B2" s="50" t="s">
        <v>184</v>
      </c>
      <c r="C2" s="51">
        <v>-30.0</v>
      </c>
      <c r="D2" s="50"/>
      <c r="E2" s="51"/>
      <c r="F2" s="52"/>
      <c r="G2" s="26" t="s">
        <v>185</v>
      </c>
      <c r="H2" s="53" t="s">
        <v>186</v>
      </c>
      <c r="I2" s="54">
        <v>-30.0</v>
      </c>
    </row>
    <row r="3">
      <c r="A3" s="55"/>
      <c r="B3" s="50" t="s">
        <v>187</v>
      </c>
      <c r="C3" s="51">
        <v>-15.0</v>
      </c>
      <c r="D3" s="50"/>
      <c r="E3" s="51"/>
      <c r="G3" s="56" t="s">
        <v>188</v>
      </c>
      <c r="H3" s="57" t="s">
        <v>189</v>
      </c>
      <c r="I3" s="54">
        <v>-15.0</v>
      </c>
    </row>
    <row r="4">
      <c r="A4" s="55"/>
      <c r="B4" s="50" t="s">
        <v>190</v>
      </c>
      <c r="C4" s="58">
        <v>0.0</v>
      </c>
      <c r="D4" s="50"/>
      <c r="E4" s="58"/>
      <c r="G4" s="52"/>
      <c r="H4" s="53" t="s">
        <v>191</v>
      </c>
      <c r="I4" s="59">
        <v>0.0</v>
      </c>
    </row>
    <row r="5">
      <c r="A5" s="55"/>
      <c r="B5" s="50" t="s">
        <v>192</v>
      </c>
      <c r="C5" s="58">
        <v>15.0</v>
      </c>
      <c r="D5" s="50"/>
      <c r="E5" s="58"/>
      <c r="G5" s="52"/>
      <c r="H5" s="53" t="s">
        <v>193</v>
      </c>
      <c r="I5" s="54">
        <v>15.0</v>
      </c>
    </row>
    <row r="6">
      <c r="A6" s="55"/>
      <c r="B6" s="50" t="s">
        <v>194</v>
      </c>
      <c r="C6" s="58">
        <v>30.0</v>
      </c>
      <c r="D6" s="50"/>
      <c r="E6" s="58"/>
      <c r="G6" s="52"/>
      <c r="H6" s="60" t="s">
        <v>195</v>
      </c>
      <c r="I6" s="54">
        <v>30.0</v>
      </c>
    </row>
    <row r="7">
      <c r="A7" s="55"/>
      <c r="B7" s="61"/>
      <c r="C7" s="62"/>
      <c r="G7" s="52"/>
      <c r="H7" s="63"/>
      <c r="I7" s="23"/>
    </row>
    <row r="8">
      <c r="A8" s="49" t="s">
        <v>42</v>
      </c>
      <c r="B8" s="50" t="s">
        <v>196</v>
      </c>
      <c r="C8" s="51">
        <v>-30.0</v>
      </c>
      <c r="F8" s="52"/>
      <c r="G8" s="25" t="s">
        <v>87</v>
      </c>
      <c r="H8" s="7" t="s">
        <v>197</v>
      </c>
      <c r="I8" s="24">
        <v>0.0</v>
      </c>
    </row>
    <row r="9">
      <c r="B9" s="50" t="s">
        <v>198</v>
      </c>
      <c r="C9" s="51">
        <v>-15.0</v>
      </c>
      <c r="G9" s="64"/>
      <c r="H9" s="7" t="s">
        <v>199</v>
      </c>
      <c r="I9" s="24">
        <v>-15.0</v>
      </c>
    </row>
    <row r="10">
      <c r="B10" s="50" t="s">
        <v>200</v>
      </c>
      <c r="C10" s="58">
        <v>0.0</v>
      </c>
      <c r="G10" s="64"/>
      <c r="H10" s="7" t="s">
        <v>201</v>
      </c>
      <c r="I10" s="24">
        <v>-30.0</v>
      </c>
    </row>
    <row r="11">
      <c r="B11" s="50" t="s">
        <v>202</v>
      </c>
      <c r="C11" s="58">
        <v>15.0</v>
      </c>
      <c r="G11" s="64"/>
      <c r="H11" s="7" t="s">
        <v>203</v>
      </c>
      <c r="I11" s="24" t="s">
        <v>204</v>
      </c>
    </row>
    <row r="12">
      <c r="B12" s="50" t="s">
        <v>205</v>
      </c>
      <c r="C12" s="58">
        <v>30.0</v>
      </c>
      <c r="G12" s="52"/>
      <c r="H12" s="63"/>
      <c r="I12" s="23"/>
    </row>
    <row r="13">
      <c r="B13" s="47"/>
      <c r="C13" s="62"/>
      <c r="D13" s="20" t="s">
        <v>181</v>
      </c>
      <c r="E13" s="20" t="s">
        <v>206</v>
      </c>
      <c r="G13" s="25" t="s">
        <v>90</v>
      </c>
      <c r="H13" s="35" t="s">
        <v>207</v>
      </c>
      <c r="I13" s="23">
        <v>15.0</v>
      </c>
    </row>
    <row r="14">
      <c r="A14" s="65" t="s">
        <v>208</v>
      </c>
      <c r="B14" s="66" t="s">
        <v>209</v>
      </c>
      <c r="C14" s="51">
        <v>-30.0</v>
      </c>
      <c r="D14" s="50" t="s">
        <v>210</v>
      </c>
      <c r="E14" s="51">
        <v>-30.0</v>
      </c>
      <c r="F14" s="66" t="s">
        <v>209</v>
      </c>
      <c r="G14" s="52" t="s">
        <v>211</v>
      </c>
      <c r="H14" s="35" t="s">
        <v>212</v>
      </c>
      <c r="I14" s="23">
        <v>0.0</v>
      </c>
    </row>
    <row r="15">
      <c r="A15" s="4" t="s">
        <v>213</v>
      </c>
      <c r="B15" s="66" t="s">
        <v>214</v>
      </c>
      <c r="C15" s="51">
        <v>-15.0</v>
      </c>
      <c r="D15" s="50" t="s">
        <v>215</v>
      </c>
      <c r="E15" s="51">
        <v>-15.0</v>
      </c>
      <c r="F15" s="66" t="s">
        <v>214</v>
      </c>
      <c r="G15" s="52"/>
      <c r="H15" s="35"/>
      <c r="I15" s="23">
        <v>-15.0</v>
      </c>
    </row>
    <row r="16">
      <c r="B16" s="66" t="s">
        <v>216</v>
      </c>
      <c r="C16" s="58">
        <v>0.0</v>
      </c>
      <c r="D16" s="50" t="s">
        <v>187</v>
      </c>
      <c r="E16" s="58">
        <v>0.0</v>
      </c>
      <c r="F16" s="7" t="s">
        <v>217</v>
      </c>
      <c r="G16" s="52"/>
      <c r="H16" s="35"/>
      <c r="I16" s="23">
        <v>-30.0</v>
      </c>
    </row>
    <row r="17">
      <c r="B17" s="66" t="s">
        <v>218</v>
      </c>
      <c r="C17" s="58">
        <v>15.0</v>
      </c>
      <c r="D17" s="50" t="s">
        <v>190</v>
      </c>
      <c r="E17" s="58">
        <v>15.0</v>
      </c>
      <c r="F17" s="7" t="s">
        <v>219</v>
      </c>
      <c r="G17" s="52"/>
      <c r="H17" s="63"/>
      <c r="I17" s="23"/>
    </row>
    <row r="18">
      <c r="B18" s="66" t="s">
        <v>220</v>
      </c>
      <c r="C18" s="58">
        <v>30.0</v>
      </c>
      <c r="D18" s="50" t="s">
        <v>221</v>
      </c>
      <c r="E18" s="58">
        <v>30.0</v>
      </c>
      <c r="F18" s="66" t="s">
        <v>220</v>
      </c>
      <c r="G18" s="52"/>
      <c r="H18" s="63"/>
      <c r="I18" s="23"/>
    </row>
    <row r="19">
      <c r="B19" s="47"/>
      <c r="C19" s="62"/>
      <c r="D19" s="50"/>
      <c r="E19" s="58"/>
      <c r="G19" s="52"/>
      <c r="H19" s="63"/>
      <c r="I19" s="23"/>
    </row>
    <row r="20">
      <c r="A20" s="26" t="s">
        <v>222</v>
      </c>
      <c r="B20" s="50" t="s">
        <v>223</v>
      </c>
      <c r="C20" s="24">
        <v>30.0</v>
      </c>
      <c r="F20" s="52"/>
      <c r="G20" s="52"/>
      <c r="H20" s="63"/>
      <c r="I20" s="23"/>
    </row>
    <row r="21">
      <c r="A21" s="4" t="s">
        <v>224</v>
      </c>
      <c r="B21" s="50" t="s">
        <v>225</v>
      </c>
      <c r="C21" s="24">
        <v>15.0</v>
      </c>
      <c r="G21" s="52"/>
      <c r="H21" s="63"/>
      <c r="I21" s="23"/>
    </row>
    <row r="22">
      <c r="B22" s="50" t="s">
        <v>226</v>
      </c>
      <c r="C22" s="24">
        <v>0.0</v>
      </c>
      <c r="G22" s="52"/>
      <c r="H22" s="63"/>
      <c r="I22" s="23"/>
    </row>
    <row r="23">
      <c r="B23" s="50" t="s">
        <v>227</v>
      </c>
      <c r="C23" s="24">
        <v>-15.0</v>
      </c>
      <c r="G23" s="26" t="s">
        <v>228</v>
      </c>
      <c r="H23" s="67"/>
      <c r="I23" s="24"/>
    </row>
    <row r="24">
      <c r="B24" s="50" t="s">
        <v>229</v>
      </c>
      <c r="C24" s="24">
        <v>-30.0</v>
      </c>
      <c r="H24" s="7"/>
      <c r="I24" s="24"/>
    </row>
    <row r="25">
      <c r="B25" s="47"/>
      <c r="C25" s="62"/>
      <c r="H25" s="7" t="s">
        <v>230</v>
      </c>
      <c r="I25" s="24">
        <v>0.0</v>
      </c>
    </row>
    <row r="26">
      <c r="A26" s="26" t="s">
        <v>55</v>
      </c>
      <c r="B26" s="7"/>
      <c r="C26" s="24"/>
      <c r="F26" s="52"/>
      <c r="H26" s="7" t="s">
        <v>231</v>
      </c>
      <c r="I26" s="24">
        <v>-15.0</v>
      </c>
    </row>
    <row r="27">
      <c r="A27" s="68" t="s">
        <v>232</v>
      </c>
      <c r="B27" s="7"/>
      <c r="C27" s="24"/>
      <c r="F27" s="4"/>
      <c r="H27" s="7" t="s">
        <v>233</v>
      </c>
      <c r="I27" s="24">
        <v>-30.0</v>
      </c>
    </row>
    <row r="28">
      <c r="B28" s="7" t="s">
        <v>234</v>
      </c>
      <c r="C28" s="24">
        <v>0.0</v>
      </c>
      <c r="F28" s="4"/>
      <c r="H28" s="35"/>
      <c r="I28" s="62"/>
    </row>
    <row r="29">
      <c r="B29" s="7" t="s">
        <v>235</v>
      </c>
      <c r="C29" s="24">
        <v>-15.0</v>
      </c>
      <c r="G29" s="26" t="s">
        <v>236</v>
      </c>
      <c r="H29" s="7"/>
      <c r="I29" s="24"/>
    </row>
    <row r="30">
      <c r="B30" s="7" t="s">
        <v>237</v>
      </c>
      <c r="C30" s="24">
        <v>-30.0</v>
      </c>
      <c r="H30" s="7"/>
      <c r="I30" s="24"/>
    </row>
    <row r="31">
      <c r="B31" s="47"/>
      <c r="C31" s="62"/>
      <c r="H31" s="7" t="s">
        <v>238</v>
      </c>
      <c r="I31" s="24">
        <v>0.0</v>
      </c>
    </row>
    <row r="32">
      <c r="A32" s="69" t="s">
        <v>239</v>
      </c>
      <c r="B32" s="7" t="s">
        <v>240</v>
      </c>
      <c r="C32" s="24">
        <v>0.0</v>
      </c>
      <c r="F32" s="70"/>
      <c r="H32" s="7" t="s">
        <v>241</v>
      </c>
      <c r="I32" s="24">
        <v>-15.0</v>
      </c>
    </row>
    <row r="33">
      <c r="A33" s="4" t="s">
        <v>242</v>
      </c>
      <c r="B33" s="7" t="s">
        <v>243</v>
      </c>
      <c r="C33" s="24">
        <v>0.0</v>
      </c>
      <c r="F33" s="52"/>
      <c r="H33" s="7" t="s">
        <v>244</v>
      </c>
      <c r="I33" s="24">
        <v>-30.0</v>
      </c>
    </row>
    <row r="34">
      <c r="B34" s="7" t="s">
        <v>245</v>
      </c>
      <c r="C34" s="24">
        <v>-15.0</v>
      </c>
      <c r="F34" s="52"/>
      <c r="H34" s="47"/>
      <c r="I34" s="62"/>
    </row>
    <row r="35">
      <c r="B35" s="7" t="s">
        <v>246</v>
      </c>
      <c r="C35" s="24">
        <v>-30.0</v>
      </c>
      <c r="F35" s="52"/>
      <c r="G35" s="26" t="s">
        <v>247</v>
      </c>
      <c r="H35" s="71" t="s">
        <v>248</v>
      </c>
      <c r="I35" s="24">
        <v>30.0</v>
      </c>
    </row>
    <row r="36">
      <c r="B36" s="7"/>
      <c r="C36" s="24"/>
      <c r="H36" s="71" t="s">
        <v>241</v>
      </c>
      <c r="I36" s="24">
        <v>15.0</v>
      </c>
    </row>
    <row r="37">
      <c r="B37" s="47"/>
      <c r="C37" s="62"/>
      <c r="H37" s="71" t="s">
        <v>249</v>
      </c>
      <c r="I37" s="24">
        <v>0.0</v>
      </c>
    </row>
    <row r="38">
      <c r="A38" s="26" t="s">
        <v>59</v>
      </c>
      <c r="B38" s="7" t="s">
        <v>250</v>
      </c>
      <c r="C38" s="24">
        <v>0.0</v>
      </c>
      <c r="H38" s="71" t="s">
        <v>251</v>
      </c>
      <c r="I38" s="24">
        <v>-15.0</v>
      </c>
    </row>
    <row r="39">
      <c r="A39" s="4" t="s">
        <v>242</v>
      </c>
      <c r="B39" s="7" t="s">
        <v>252</v>
      </c>
      <c r="C39" s="24">
        <v>0.0</v>
      </c>
      <c r="H39" s="71" t="s">
        <v>253</v>
      </c>
      <c r="I39" s="24">
        <v>-30.0</v>
      </c>
    </row>
    <row r="40">
      <c r="B40" s="7">
        <v>0.0</v>
      </c>
      <c r="C40" s="24">
        <v>0.0</v>
      </c>
    </row>
    <row r="41">
      <c r="B41" s="7" t="s">
        <v>254</v>
      </c>
      <c r="C41" s="24">
        <v>-15.0</v>
      </c>
      <c r="G41" s="26" t="s">
        <v>255</v>
      </c>
      <c r="H41" s="71" t="s">
        <v>248</v>
      </c>
      <c r="I41" s="24">
        <v>30.0</v>
      </c>
    </row>
    <row r="42">
      <c r="B42" s="7" t="s">
        <v>256</v>
      </c>
      <c r="C42" s="24">
        <v>-30.0</v>
      </c>
      <c r="H42" s="71" t="s">
        <v>241</v>
      </c>
      <c r="I42" s="24">
        <v>15.0</v>
      </c>
    </row>
    <row r="43">
      <c r="B43" s="47"/>
      <c r="C43" s="62"/>
      <c r="H43" s="71" t="s">
        <v>249</v>
      </c>
      <c r="I43" s="24">
        <v>0.0</v>
      </c>
    </row>
    <row r="44">
      <c r="B44" s="47"/>
      <c r="C44" s="62"/>
      <c r="H44" s="71" t="s">
        <v>251</v>
      </c>
      <c r="I44" s="24">
        <v>-15.0</v>
      </c>
    </row>
    <row r="45">
      <c r="A45" s="25" t="s">
        <v>64</v>
      </c>
      <c r="B45" s="7" t="s">
        <v>257</v>
      </c>
      <c r="C45" s="58">
        <v>-30.0</v>
      </c>
      <c r="D45" s="7" t="s">
        <v>258</v>
      </c>
      <c r="F45" s="70"/>
      <c r="H45" s="71" t="s">
        <v>253</v>
      </c>
      <c r="I45" s="24">
        <v>-30.0</v>
      </c>
    </row>
    <row r="46">
      <c r="B46" s="7" t="s">
        <v>259</v>
      </c>
      <c r="C46" s="58">
        <v>-15.0</v>
      </c>
      <c r="D46" s="7" t="s">
        <v>260</v>
      </c>
      <c r="H46" s="47"/>
      <c r="I46" s="62"/>
    </row>
    <row r="47">
      <c r="B47" s="7" t="s">
        <v>261</v>
      </c>
      <c r="C47" s="58">
        <v>0.0</v>
      </c>
      <c r="D47" s="7"/>
      <c r="G47" s="26" t="s">
        <v>262</v>
      </c>
      <c r="H47" s="7" t="s">
        <v>263</v>
      </c>
      <c r="I47" s="24">
        <v>30.0</v>
      </c>
    </row>
    <row r="48">
      <c r="B48" s="7"/>
      <c r="C48" s="58"/>
      <c r="G48" s="4" t="s">
        <v>264</v>
      </c>
      <c r="H48" s="7" t="s">
        <v>265</v>
      </c>
      <c r="I48" s="24">
        <v>15.0</v>
      </c>
    </row>
    <row r="49">
      <c r="B49" s="7"/>
      <c r="C49" s="58"/>
      <c r="G49" s="4" t="s">
        <v>266</v>
      </c>
      <c r="H49" s="7" t="s">
        <v>267</v>
      </c>
      <c r="I49" s="24">
        <v>0.0</v>
      </c>
    </row>
    <row r="50">
      <c r="B50" s="61"/>
      <c r="C50" s="72"/>
      <c r="H50" s="7" t="s">
        <v>268</v>
      </c>
      <c r="I50" s="24">
        <v>-15.0</v>
      </c>
    </row>
    <row r="51">
      <c r="A51" s="29" t="s">
        <v>269</v>
      </c>
      <c r="B51" s="50" t="s">
        <v>270</v>
      </c>
      <c r="C51" s="51">
        <v>-30.0</v>
      </c>
      <c r="F51" s="52"/>
      <c r="H51" s="7" t="s">
        <v>271</v>
      </c>
      <c r="I51" s="24">
        <v>-30.0</v>
      </c>
    </row>
    <row r="52">
      <c r="B52" s="50" t="s">
        <v>272</v>
      </c>
      <c r="C52" s="51">
        <v>-15.0</v>
      </c>
      <c r="H52" s="47"/>
      <c r="I52" s="62"/>
    </row>
    <row r="53">
      <c r="B53" s="50" t="s">
        <v>273</v>
      </c>
      <c r="C53" s="58">
        <v>0.0</v>
      </c>
      <c r="H53" s="47"/>
      <c r="I53" s="62"/>
    </row>
    <row r="54">
      <c r="B54" s="50" t="s">
        <v>274</v>
      </c>
      <c r="C54" s="58">
        <v>15.0</v>
      </c>
      <c r="G54" s="25" t="s">
        <v>115</v>
      </c>
      <c r="H54" s="71"/>
      <c r="I54" s="24"/>
    </row>
    <row r="55">
      <c r="B55" s="50" t="s">
        <v>275</v>
      </c>
      <c r="C55" s="58">
        <v>30.0</v>
      </c>
      <c r="D55" s="4" t="s">
        <v>276</v>
      </c>
      <c r="E55" s="4" t="s">
        <v>277</v>
      </c>
      <c r="G55" s="52" t="s">
        <v>278</v>
      </c>
      <c r="H55" s="71"/>
      <c r="I55" s="24"/>
    </row>
    <row r="56">
      <c r="B56" s="73"/>
      <c r="C56" s="62"/>
      <c r="G56" s="52"/>
      <c r="H56" s="71" t="s">
        <v>279</v>
      </c>
      <c r="I56" s="24">
        <v>0.0</v>
      </c>
    </row>
    <row r="57">
      <c r="A57" s="29" t="s">
        <v>280</v>
      </c>
      <c r="B57" s="74"/>
      <c r="C57" s="62"/>
      <c r="D57" s="4" t="s">
        <v>281</v>
      </c>
      <c r="E57" s="4" t="s">
        <v>282</v>
      </c>
      <c r="F57" s="52" t="s">
        <v>283</v>
      </c>
      <c r="G57" s="52"/>
      <c r="H57" s="71" t="s">
        <v>284</v>
      </c>
      <c r="I57" s="24">
        <v>-15.0</v>
      </c>
    </row>
    <row r="58">
      <c r="A58" s="75" t="s">
        <v>285</v>
      </c>
      <c r="B58" s="75" t="s">
        <v>286</v>
      </c>
      <c r="C58" s="23">
        <v>30.0</v>
      </c>
      <c r="D58" s="4">
        <v>60.0</v>
      </c>
      <c r="E58" s="4">
        <v>30.0</v>
      </c>
      <c r="F58" s="4">
        <v>10.0</v>
      </c>
      <c r="H58" s="71" t="s">
        <v>287</v>
      </c>
      <c r="I58" s="24">
        <v>-30.0</v>
      </c>
    </row>
    <row r="59">
      <c r="A59" s="75" t="s">
        <v>285</v>
      </c>
      <c r="B59" s="7" t="s">
        <v>241</v>
      </c>
      <c r="C59" s="23">
        <v>15.0</v>
      </c>
      <c r="H59" s="47"/>
    </row>
    <row r="60">
      <c r="A60" s="75" t="s">
        <v>285</v>
      </c>
      <c r="B60" s="75" t="s">
        <v>288</v>
      </c>
      <c r="C60" s="23">
        <v>0.0</v>
      </c>
      <c r="D60" s="76">
        <f>F58/F60</f>
        <v>70</v>
      </c>
      <c r="F60" s="4">
        <f>F58/70</f>
        <v>0.1428571429</v>
      </c>
      <c r="G60" s="29" t="s">
        <v>289</v>
      </c>
      <c r="H60" s="66" t="s">
        <v>290</v>
      </c>
      <c r="I60" s="24">
        <v>30.0</v>
      </c>
    </row>
    <row r="61">
      <c r="A61" s="75" t="s">
        <v>291</v>
      </c>
      <c r="B61" s="75" t="s">
        <v>288</v>
      </c>
      <c r="C61" s="23">
        <v>0.0</v>
      </c>
      <c r="H61" s="66" t="s">
        <v>231</v>
      </c>
      <c r="I61" s="24">
        <v>15.0</v>
      </c>
    </row>
    <row r="62">
      <c r="A62" s="75" t="s">
        <v>291</v>
      </c>
      <c r="B62" s="7" t="s">
        <v>241</v>
      </c>
      <c r="C62" s="23">
        <v>-15.0</v>
      </c>
      <c r="H62" s="66" t="s">
        <v>218</v>
      </c>
      <c r="I62" s="24">
        <v>0.0</v>
      </c>
    </row>
    <row r="63">
      <c r="A63" s="75" t="s">
        <v>291</v>
      </c>
      <c r="B63" s="75" t="s">
        <v>286</v>
      </c>
      <c r="C63" s="23">
        <v>-30.0</v>
      </c>
      <c r="F63" s="70"/>
      <c r="H63" s="66" t="s">
        <v>292</v>
      </c>
      <c r="I63" s="24">
        <v>-15.0</v>
      </c>
    </row>
    <row r="64">
      <c r="A64" s="77"/>
      <c r="B64" s="78"/>
      <c r="C64" s="62"/>
      <c r="H64" s="66" t="s">
        <v>293</v>
      </c>
      <c r="I64" s="24">
        <v>-30.0</v>
      </c>
    </row>
    <row r="65">
      <c r="A65" s="77"/>
      <c r="B65" s="78"/>
      <c r="C65" s="62"/>
      <c r="H65" s="79"/>
      <c r="I65" s="23"/>
    </row>
    <row r="66">
      <c r="A66" s="29" t="s">
        <v>294</v>
      </c>
      <c r="B66" s="80"/>
      <c r="C66" s="62"/>
      <c r="G66" s="81" t="s">
        <v>295</v>
      </c>
      <c r="H66" s="71" t="s">
        <v>248</v>
      </c>
      <c r="I66" s="24">
        <v>30.0</v>
      </c>
    </row>
    <row r="67">
      <c r="A67" s="75" t="s">
        <v>296</v>
      </c>
      <c r="B67" s="75" t="s">
        <v>286</v>
      </c>
      <c r="C67" s="23">
        <v>30.0</v>
      </c>
      <c r="F67" s="4"/>
      <c r="H67" s="71" t="s">
        <v>297</v>
      </c>
      <c r="I67" s="24">
        <v>15.0</v>
      </c>
    </row>
    <row r="68">
      <c r="A68" s="75" t="s">
        <v>296</v>
      </c>
      <c r="B68" s="7" t="s">
        <v>241</v>
      </c>
      <c r="C68" s="23">
        <v>15.0</v>
      </c>
      <c r="H68" s="71" t="s">
        <v>298</v>
      </c>
      <c r="I68" s="24">
        <v>0.0</v>
      </c>
    </row>
    <row r="69">
      <c r="A69" s="75" t="s">
        <v>296</v>
      </c>
      <c r="B69" s="75" t="s">
        <v>288</v>
      </c>
      <c r="C69" s="23">
        <v>0.0</v>
      </c>
      <c r="F69" s="82"/>
      <c r="H69" s="71" t="s">
        <v>299</v>
      </c>
      <c r="I69" s="24">
        <v>-15.0</v>
      </c>
    </row>
    <row r="70">
      <c r="A70" s="75" t="s">
        <v>300</v>
      </c>
      <c r="B70" s="75" t="s">
        <v>288</v>
      </c>
      <c r="C70" s="23">
        <v>0.0</v>
      </c>
      <c r="H70" s="71" t="s">
        <v>301</v>
      </c>
      <c r="I70" s="24">
        <v>-30.0</v>
      </c>
    </row>
    <row r="71">
      <c r="A71" s="75" t="s">
        <v>300</v>
      </c>
      <c r="B71" s="7" t="s">
        <v>241</v>
      </c>
      <c r="C71" s="23">
        <v>-15.0</v>
      </c>
      <c r="H71" s="47"/>
      <c r="I71" s="62"/>
    </row>
    <row r="72">
      <c r="A72" s="75" t="s">
        <v>300</v>
      </c>
      <c r="B72" s="75" t="s">
        <v>286</v>
      </c>
      <c r="C72" s="23">
        <v>-30.0</v>
      </c>
      <c r="G72" s="81" t="s">
        <v>302</v>
      </c>
      <c r="H72" s="71" t="s">
        <v>248</v>
      </c>
      <c r="I72" s="24">
        <v>30.0</v>
      </c>
    </row>
    <row r="73">
      <c r="A73" s="83"/>
      <c r="B73" s="83"/>
      <c r="H73" s="71" t="s">
        <v>297</v>
      </c>
      <c r="I73" s="24">
        <v>15.0</v>
      </c>
    </row>
    <row r="74">
      <c r="A74" s="29" t="s">
        <v>303</v>
      </c>
      <c r="B74" s="84"/>
      <c r="H74" s="71" t="s">
        <v>298</v>
      </c>
      <c r="I74" s="24">
        <v>0.0</v>
      </c>
    </row>
    <row r="75">
      <c r="A75" s="75" t="s">
        <v>304</v>
      </c>
      <c r="B75" s="75" t="s">
        <v>286</v>
      </c>
      <c r="C75" s="23">
        <v>30.0</v>
      </c>
      <c r="F75" s="82"/>
      <c r="H75" s="71" t="s">
        <v>299</v>
      </c>
      <c r="I75" s="24">
        <v>-15.0</v>
      </c>
    </row>
    <row r="76">
      <c r="A76" s="75" t="s">
        <v>304</v>
      </c>
      <c r="B76" s="7" t="s">
        <v>241</v>
      </c>
      <c r="C76" s="23">
        <v>15.0</v>
      </c>
      <c r="H76" s="71" t="s">
        <v>301</v>
      </c>
      <c r="I76" s="24">
        <v>-30.0</v>
      </c>
    </row>
    <row r="77">
      <c r="A77" s="75" t="s">
        <v>304</v>
      </c>
      <c r="B77" s="75" t="s">
        <v>288</v>
      </c>
      <c r="C77" s="23">
        <v>0.0</v>
      </c>
      <c r="H77" s="47"/>
    </row>
    <row r="78">
      <c r="A78" s="75" t="s">
        <v>305</v>
      </c>
      <c r="B78" s="75" t="s">
        <v>288</v>
      </c>
      <c r="C78" s="23">
        <v>0.0</v>
      </c>
      <c r="G78" s="29" t="s">
        <v>306</v>
      </c>
      <c r="H78" s="67"/>
      <c r="I78" s="6"/>
    </row>
    <row r="79">
      <c r="A79" s="75" t="s">
        <v>305</v>
      </c>
      <c r="B79" s="7" t="s">
        <v>241</v>
      </c>
      <c r="C79" s="23">
        <v>-15.0</v>
      </c>
      <c r="H79" s="7" t="s">
        <v>307</v>
      </c>
      <c r="I79" s="6">
        <v>15.0</v>
      </c>
      <c r="K79" s="85"/>
      <c r="L79" s="86"/>
    </row>
    <row r="80">
      <c r="A80" s="75" t="s">
        <v>305</v>
      </c>
      <c r="B80" s="75" t="s">
        <v>286</v>
      </c>
      <c r="C80" s="23">
        <v>-30.0</v>
      </c>
      <c r="H80" s="7" t="s">
        <v>308</v>
      </c>
      <c r="I80" s="6">
        <v>0.0</v>
      </c>
      <c r="K80" s="85"/>
      <c r="L80" s="87"/>
    </row>
    <row r="81">
      <c r="B81" s="88"/>
      <c r="H81" s="7" t="s">
        <v>309</v>
      </c>
      <c r="I81" s="6">
        <v>-15.0</v>
      </c>
      <c r="K81" s="85"/>
      <c r="L81" s="86"/>
    </row>
    <row r="82">
      <c r="A82" s="89" t="s">
        <v>310</v>
      </c>
      <c r="B82" s="35" t="s">
        <v>311</v>
      </c>
      <c r="C82" s="4">
        <v>-30.0</v>
      </c>
      <c r="G82" s="4" t="s">
        <v>312</v>
      </c>
      <c r="H82" s="7" t="s">
        <v>313</v>
      </c>
      <c r="I82" s="6">
        <v>-30.0</v>
      </c>
      <c r="K82" s="85"/>
      <c r="L82" s="87"/>
    </row>
    <row r="83">
      <c r="A83" s="47"/>
      <c r="B83" s="35" t="s">
        <v>314</v>
      </c>
      <c r="C83" s="4">
        <v>-15.0</v>
      </c>
      <c r="H83" s="47"/>
    </row>
    <row r="84">
      <c r="A84" s="76"/>
      <c r="B84" s="4" t="s">
        <v>315</v>
      </c>
      <c r="C84" s="4">
        <v>0.0</v>
      </c>
      <c r="G84" s="31" t="s">
        <v>316</v>
      </c>
      <c r="H84" s="71" t="s">
        <v>248</v>
      </c>
      <c r="I84" s="24">
        <v>30.0</v>
      </c>
    </row>
    <row r="85">
      <c r="A85" s="76"/>
      <c r="B85" s="4" t="s">
        <v>317</v>
      </c>
      <c r="C85" s="4">
        <v>15.0</v>
      </c>
      <c r="H85" s="71" t="s">
        <v>241</v>
      </c>
      <c r="I85" s="24">
        <v>15.0</v>
      </c>
    </row>
    <row r="86">
      <c r="A86" s="76"/>
      <c r="B86" s="4" t="s">
        <v>318</v>
      </c>
      <c r="C86" s="4">
        <v>30.0</v>
      </c>
      <c r="H86" s="71" t="s">
        <v>319</v>
      </c>
      <c r="I86" s="24">
        <v>0.0</v>
      </c>
    </row>
    <row r="87">
      <c r="A87" s="76"/>
      <c r="H87" s="71" t="s">
        <v>320</v>
      </c>
      <c r="I87" s="24">
        <v>-15.0</v>
      </c>
    </row>
    <row r="88">
      <c r="A88" s="89" t="s">
        <v>321</v>
      </c>
      <c r="B88" s="35" t="s">
        <v>311</v>
      </c>
      <c r="C88" s="4">
        <v>-30.0</v>
      </c>
      <c r="H88" s="71" t="s">
        <v>322</v>
      </c>
      <c r="I88" s="24">
        <v>-30.0</v>
      </c>
    </row>
    <row r="89">
      <c r="A89" s="47"/>
      <c r="B89" s="35" t="s">
        <v>314</v>
      </c>
      <c r="C89" s="4">
        <v>-15.0</v>
      </c>
    </row>
    <row r="90">
      <c r="A90" s="76"/>
      <c r="B90" s="4" t="s">
        <v>315</v>
      </c>
      <c r="C90" s="4">
        <v>0.0</v>
      </c>
      <c r="G90" s="33" t="s">
        <v>323</v>
      </c>
      <c r="H90" s="71" t="s">
        <v>248</v>
      </c>
      <c r="I90" s="24">
        <v>30.0</v>
      </c>
    </row>
    <row r="91">
      <c r="A91" s="76"/>
      <c r="B91" s="4" t="s">
        <v>317</v>
      </c>
      <c r="C91" s="4">
        <v>15.0</v>
      </c>
      <c r="H91" s="71" t="s">
        <v>241</v>
      </c>
      <c r="I91" s="24">
        <v>15.0</v>
      </c>
    </row>
    <row r="92">
      <c r="A92" s="76"/>
      <c r="B92" s="4" t="s">
        <v>318</v>
      </c>
      <c r="C92" s="4">
        <v>30.0</v>
      </c>
      <c r="H92" s="71" t="s">
        <v>319</v>
      </c>
      <c r="I92" s="24">
        <v>0.0</v>
      </c>
    </row>
    <row r="93">
      <c r="A93" s="76"/>
      <c r="H93" s="71" t="s">
        <v>320</v>
      </c>
      <c r="I93" s="24">
        <v>-15.0</v>
      </c>
    </row>
    <row r="94">
      <c r="A94" s="89" t="s">
        <v>324</v>
      </c>
      <c r="B94" s="35" t="s">
        <v>311</v>
      </c>
      <c r="C94" s="4">
        <v>-30.0</v>
      </c>
      <c r="H94" s="71" t="s">
        <v>322</v>
      </c>
      <c r="I94" s="24">
        <v>-30.0</v>
      </c>
    </row>
    <row r="95">
      <c r="A95" s="47"/>
      <c r="B95" s="35" t="s">
        <v>314</v>
      </c>
      <c r="C95" s="4">
        <v>-15.0</v>
      </c>
      <c r="H95" s="47"/>
    </row>
    <row r="96">
      <c r="A96" s="76"/>
      <c r="B96" s="4" t="s">
        <v>315</v>
      </c>
      <c r="C96" s="4">
        <v>0.0</v>
      </c>
      <c r="H96" s="47"/>
    </row>
    <row r="97">
      <c r="A97" s="76"/>
      <c r="B97" s="4" t="s">
        <v>317</v>
      </c>
      <c r="C97" s="4">
        <v>15.0</v>
      </c>
      <c r="H97" s="47"/>
      <c r="I97" s="62"/>
    </row>
    <row r="98">
      <c r="A98" s="76"/>
      <c r="B98" s="4" t="s">
        <v>318</v>
      </c>
      <c r="C98" s="4">
        <v>30.0</v>
      </c>
      <c r="H98" s="47"/>
      <c r="I98" s="62"/>
    </row>
    <row r="99">
      <c r="A99" s="76"/>
      <c r="H99" s="47"/>
    </row>
    <row r="100">
      <c r="A100" s="89" t="s">
        <v>325</v>
      </c>
      <c r="B100" s="35" t="s">
        <v>311</v>
      </c>
      <c r="C100" s="4">
        <v>-30.0</v>
      </c>
      <c r="H100" s="47"/>
    </row>
    <row r="101">
      <c r="A101" s="47"/>
      <c r="B101" s="35" t="s">
        <v>314</v>
      </c>
      <c r="C101" s="4">
        <v>-15.0</v>
      </c>
      <c r="H101" s="47"/>
    </row>
    <row r="102">
      <c r="B102" s="4" t="s">
        <v>315</v>
      </c>
      <c r="C102" s="4">
        <v>0.0</v>
      </c>
      <c r="H102" s="47"/>
    </row>
    <row r="103">
      <c r="B103" s="4" t="s">
        <v>317</v>
      </c>
      <c r="C103" s="4">
        <v>15.0</v>
      </c>
      <c r="H103" s="47"/>
    </row>
    <row r="104">
      <c r="B104" s="4" t="s">
        <v>318</v>
      </c>
      <c r="C104" s="4">
        <v>30.0</v>
      </c>
      <c r="H104" s="47"/>
    </row>
    <row r="105">
      <c r="H105" s="47"/>
    </row>
    <row r="106">
      <c r="H106" s="47"/>
    </row>
    <row r="107">
      <c r="H107" s="47"/>
    </row>
    <row r="108">
      <c r="A108" s="90" t="s">
        <v>326</v>
      </c>
      <c r="B108" s="35" t="s">
        <v>311</v>
      </c>
      <c r="C108" s="4">
        <v>-30.0</v>
      </c>
      <c r="H108" s="47"/>
    </row>
    <row r="109">
      <c r="B109" s="35" t="s">
        <v>314</v>
      </c>
      <c r="C109" s="4">
        <v>-15.0</v>
      </c>
      <c r="H109" s="47"/>
    </row>
    <row r="110">
      <c r="B110" s="4" t="s">
        <v>327</v>
      </c>
      <c r="C110" s="4">
        <v>0.0</v>
      </c>
      <c r="H110" s="47"/>
      <c r="I110" s="62"/>
    </row>
    <row r="111">
      <c r="B111" s="4" t="s">
        <v>328</v>
      </c>
      <c r="C111" s="4">
        <v>15.0</v>
      </c>
      <c r="H111" s="47"/>
      <c r="I111" s="62"/>
    </row>
    <row r="112">
      <c r="B112" s="4" t="s">
        <v>329</v>
      </c>
      <c r="C112" s="4">
        <v>30.0</v>
      </c>
      <c r="H112" s="47"/>
      <c r="I112" s="62"/>
    </row>
    <row r="113">
      <c r="H113" s="47"/>
      <c r="I113" s="62"/>
    </row>
    <row r="114">
      <c r="H114" s="47"/>
      <c r="I114" s="62"/>
    </row>
    <row r="115">
      <c r="H115" s="47"/>
      <c r="I115" s="62"/>
    </row>
    <row r="116">
      <c r="A116" s="91" t="s">
        <v>330</v>
      </c>
      <c r="H116" s="47"/>
      <c r="I116" s="62"/>
    </row>
    <row r="117">
      <c r="H117" s="47"/>
      <c r="I117" s="62"/>
    </row>
    <row r="118">
      <c r="H118" s="47"/>
      <c r="I118" s="62"/>
    </row>
    <row r="119">
      <c r="H119" s="47"/>
      <c r="I119" s="62"/>
    </row>
    <row r="120">
      <c r="H120" s="47"/>
      <c r="I120" s="62"/>
    </row>
    <row r="121">
      <c r="H121" s="47"/>
      <c r="I121" s="62"/>
    </row>
    <row r="122">
      <c r="H122" s="47"/>
      <c r="I122" s="62"/>
    </row>
    <row r="123">
      <c r="H123" s="47"/>
      <c r="I123" s="62"/>
    </row>
    <row r="124">
      <c r="H124" s="47"/>
      <c r="I124" s="62"/>
    </row>
    <row r="125">
      <c r="H125" s="47"/>
      <c r="I125" s="62"/>
    </row>
    <row r="126">
      <c r="H126" s="47"/>
      <c r="I126" s="62"/>
    </row>
    <row r="127">
      <c r="H127" s="47"/>
      <c r="I127" s="62"/>
    </row>
    <row r="128">
      <c r="H128" s="47"/>
      <c r="I128" s="62"/>
    </row>
    <row r="129">
      <c r="H129" s="47"/>
      <c r="I129" s="62"/>
    </row>
    <row r="130">
      <c r="H130" s="47"/>
      <c r="I130" s="62"/>
    </row>
    <row r="131">
      <c r="H131" s="47"/>
      <c r="I131" s="62"/>
    </row>
    <row r="132">
      <c r="H132" s="47"/>
      <c r="I132" s="62"/>
    </row>
    <row r="133">
      <c r="H133" s="47"/>
      <c r="I133" s="62"/>
    </row>
    <row r="134">
      <c r="H134" s="47"/>
      <c r="I134" s="62"/>
    </row>
    <row r="135">
      <c r="H135" s="47"/>
      <c r="I135" s="62"/>
    </row>
    <row r="136">
      <c r="H136" s="47"/>
      <c r="I136" s="62"/>
    </row>
    <row r="137">
      <c r="H137" s="47"/>
      <c r="I137" s="62"/>
    </row>
    <row r="138">
      <c r="H138" s="47"/>
      <c r="I138" s="62"/>
    </row>
    <row r="139">
      <c r="H139" s="47"/>
      <c r="I139" s="62"/>
    </row>
    <row r="140">
      <c r="H140" s="47"/>
      <c r="I140" s="62"/>
    </row>
    <row r="141">
      <c r="H141" s="47"/>
      <c r="I141" s="62"/>
    </row>
    <row r="142">
      <c r="H142" s="47"/>
      <c r="I142" s="62"/>
    </row>
    <row r="143">
      <c r="H143" s="47"/>
      <c r="I143" s="62"/>
    </row>
    <row r="144">
      <c r="H144" s="47"/>
      <c r="I144" s="62"/>
    </row>
    <row r="145">
      <c r="H145" s="47"/>
      <c r="I145" s="62"/>
    </row>
    <row r="146">
      <c r="H146" s="47"/>
      <c r="I146" s="62"/>
    </row>
    <row r="147">
      <c r="H147" s="47"/>
      <c r="I147" s="62"/>
    </row>
    <row r="148">
      <c r="H148" s="47"/>
      <c r="I148" s="62"/>
    </row>
    <row r="149">
      <c r="H149" s="47"/>
      <c r="I149" s="62"/>
    </row>
    <row r="150">
      <c r="H150" s="47"/>
      <c r="I150" s="62"/>
    </row>
    <row r="151">
      <c r="H151" s="47"/>
      <c r="I151" s="62"/>
    </row>
    <row r="152">
      <c r="H152" s="47"/>
      <c r="I152" s="62"/>
    </row>
    <row r="153">
      <c r="H153" s="47"/>
      <c r="I153" s="62"/>
    </row>
    <row r="154">
      <c r="H154" s="47"/>
      <c r="I154" s="62"/>
    </row>
    <row r="155">
      <c r="H155" s="47"/>
      <c r="I155" s="62"/>
    </row>
    <row r="156">
      <c r="H156" s="47"/>
      <c r="I156" s="62"/>
    </row>
    <row r="157">
      <c r="H157" s="47"/>
      <c r="I157" s="62"/>
    </row>
    <row r="158">
      <c r="H158" s="47"/>
      <c r="I158" s="62"/>
    </row>
    <row r="159">
      <c r="H159" s="47"/>
      <c r="I159" s="62"/>
    </row>
    <row r="160">
      <c r="H160" s="47"/>
      <c r="I160" s="62"/>
    </row>
    <row r="161">
      <c r="H161" s="47"/>
      <c r="I161" s="62"/>
    </row>
    <row r="162">
      <c r="H162" s="47"/>
      <c r="I162" s="62"/>
    </row>
    <row r="163">
      <c r="H163" s="47"/>
      <c r="I163" s="62"/>
    </row>
    <row r="164">
      <c r="H164" s="47"/>
      <c r="I164" s="62"/>
    </row>
    <row r="165">
      <c r="H165" s="47"/>
      <c r="I165" s="62"/>
    </row>
    <row r="166">
      <c r="H166" s="47"/>
      <c r="I166" s="62"/>
    </row>
    <row r="167">
      <c r="H167" s="47"/>
      <c r="I167" s="62"/>
    </row>
    <row r="168">
      <c r="H168" s="47"/>
      <c r="I168" s="62"/>
    </row>
    <row r="169">
      <c r="H169" s="47"/>
      <c r="I169" s="62"/>
    </row>
    <row r="170">
      <c r="H170" s="47"/>
      <c r="I170" s="62"/>
    </row>
    <row r="171">
      <c r="H171" s="47"/>
      <c r="I171" s="62"/>
    </row>
    <row r="172">
      <c r="H172" s="47"/>
      <c r="I172" s="62"/>
    </row>
    <row r="173">
      <c r="H173" s="47"/>
      <c r="I173" s="62"/>
    </row>
    <row r="174">
      <c r="H174" s="47"/>
      <c r="I174" s="62"/>
    </row>
    <row r="175">
      <c r="H175" s="47"/>
      <c r="I175" s="62"/>
    </row>
    <row r="176">
      <c r="H176" s="47"/>
      <c r="I176" s="62"/>
    </row>
    <row r="177">
      <c r="H177" s="47"/>
      <c r="I177" s="62"/>
    </row>
    <row r="178">
      <c r="H178" s="47"/>
      <c r="I178" s="62"/>
    </row>
    <row r="179">
      <c r="H179" s="47"/>
      <c r="I179" s="62"/>
    </row>
    <row r="180">
      <c r="H180" s="47"/>
      <c r="I180" s="62"/>
    </row>
    <row r="181">
      <c r="H181" s="47"/>
      <c r="I181" s="62"/>
    </row>
    <row r="182">
      <c r="H182" s="47"/>
      <c r="I182" s="62"/>
    </row>
    <row r="183">
      <c r="H183" s="47"/>
      <c r="I183" s="62"/>
    </row>
    <row r="184">
      <c r="H184" s="47"/>
      <c r="I184" s="62"/>
    </row>
    <row r="185">
      <c r="H185" s="47"/>
      <c r="I185" s="62"/>
    </row>
    <row r="186">
      <c r="H186" s="47"/>
      <c r="I186" s="62"/>
    </row>
    <row r="187">
      <c r="H187" s="47"/>
      <c r="I187" s="62"/>
    </row>
    <row r="188">
      <c r="H188" s="47"/>
      <c r="I188" s="62"/>
    </row>
    <row r="189">
      <c r="H189" s="47"/>
      <c r="I189" s="62"/>
    </row>
    <row r="190">
      <c r="H190" s="47"/>
      <c r="I190" s="62"/>
    </row>
    <row r="191">
      <c r="H191" s="47"/>
      <c r="I191" s="62"/>
    </row>
    <row r="192">
      <c r="H192" s="47"/>
      <c r="I192" s="62"/>
    </row>
    <row r="193">
      <c r="H193" s="47"/>
      <c r="I193" s="62"/>
    </row>
    <row r="194">
      <c r="H194" s="47"/>
      <c r="I194" s="62"/>
    </row>
    <row r="195">
      <c r="H195" s="47"/>
      <c r="I195" s="62"/>
    </row>
    <row r="196">
      <c r="H196" s="47"/>
      <c r="I196" s="62"/>
    </row>
    <row r="197">
      <c r="H197" s="47"/>
      <c r="I197" s="62"/>
    </row>
    <row r="198">
      <c r="H198" s="47"/>
      <c r="I198" s="62"/>
    </row>
    <row r="199">
      <c r="H199" s="47"/>
      <c r="I199" s="62"/>
    </row>
    <row r="200">
      <c r="H200" s="47"/>
      <c r="I200" s="62"/>
    </row>
    <row r="201">
      <c r="H201" s="47"/>
      <c r="I201" s="62"/>
    </row>
    <row r="202">
      <c r="H202" s="47"/>
      <c r="I202" s="62"/>
    </row>
    <row r="203">
      <c r="H203" s="47"/>
      <c r="I203" s="62"/>
    </row>
    <row r="204">
      <c r="H204" s="47"/>
      <c r="I204" s="62"/>
    </row>
    <row r="205">
      <c r="H205" s="47"/>
      <c r="I205" s="62"/>
    </row>
    <row r="206">
      <c r="H206" s="47"/>
      <c r="I206" s="62"/>
    </row>
    <row r="207">
      <c r="H207" s="47"/>
      <c r="I207" s="62"/>
    </row>
    <row r="208">
      <c r="H208" s="47"/>
      <c r="I208" s="62"/>
    </row>
    <row r="209">
      <c r="H209" s="47"/>
      <c r="I209" s="62"/>
    </row>
    <row r="210">
      <c r="H210" s="47"/>
      <c r="I210" s="62"/>
    </row>
    <row r="211">
      <c r="H211" s="47"/>
      <c r="I211" s="62"/>
    </row>
    <row r="212">
      <c r="H212" s="47"/>
      <c r="I212" s="62"/>
    </row>
    <row r="213">
      <c r="H213" s="47"/>
      <c r="I213" s="62"/>
    </row>
    <row r="214">
      <c r="H214" s="47"/>
      <c r="I214" s="62"/>
    </row>
    <row r="215">
      <c r="H215" s="47"/>
      <c r="I215" s="62"/>
    </row>
    <row r="216">
      <c r="H216" s="47"/>
      <c r="I216" s="62"/>
    </row>
    <row r="217">
      <c r="H217" s="47"/>
      <c r="I217" s="62"/>
    </row>
    <row r="218">
      <c r="H218" s="47"/>
      <c r="I218" s="62"/>
    </row>
    <row r="219">
      <c r="H219" s="47"/>
      <c r="I219" s="62"/>
    </row>
    <row r="220">
      <c r="H220" s="47"/>
      <c r="I220" s="62"/>
    </row>
    <row r="221">
      <c r="H221" s="47"/>
      <c r="I221" s="62"/>
    </row>
    <row r="222">
      <c r="H222" s="47"/>
      <c r="I222" s="62"/>
    </row>
    <row r="223">
      <c r="H223" s="47"/>
      <c r="I223" s="62"/>
    </row>
    <row r="224">
      <c r="H224" s="47"/>
      <c r="I224" s="62"/>
    </row>
    <row r="225">
      <c r="H225" s="47"/>
      <c r="I225" s="62"/>
    </row>
    <row r="226">
      <c r="H226" s="47"/>
      <c r="I226" s="62"/>
    </row>
    <row r="227">
      <c r="H227" s="47"/>
      <c r="I227" s="62"/>
    </row>
    <row r="228">
      <c r="H228" s="47"/>
      <c r="I228" s="62"/>
    </row>
    <row r="229">
      <c r="H229" s="47"/>
      <c r="I229" s="62"/>
    </row>
    <row r="230">
      <c r="H230" s="47"/>
      <c r="I230" s="62"/>
    </row>
    <row r="231">
      <c r="H231" s="47"/>
      <c r="I231" s="62"/>
    </row>
    <row r="232">
      <c r="H232" s="47"/>
      <c r="I232" s="62"/>
    </row>
    <row r="233">
      <c r="H233" s="47"/>
      <c r="I233" s="62"/>
    </row>
    <row r="234">
      <c r="H234" s="47"/>
      <c r="I234" s="62"/>
    </row>
    <row r="235">
      <c r="H235" s="47"/>
      <c r="I235" s="62"/>
    </row>
    <row r="236">
      <c r="H236" s="47"/>
      <c r="I236" s="62"/>
    </row>
    <row r="237">
      <c r="H237" s="47"/>
      <c r="I237" s="62"/>
    </row>
    <row r="238">
      <c r="H238" s="47"/>
      <c r="I238" s="62"/>
    </row>
    <row r="239">
      <c r="H239" s="47"/>
      <c r="I239" s="62"/>
    </row>
    <row r="240">
      <c r="H240" s="47"/>
      <c r="I240" s="62"/>
    </row>
    <row r="241">
      <c r="H241" s="47"/>
      <c r="I241" s="62"/>
    </row>
    <row r="242">
      <c r="H242" s="47"/>
      <c r="I242" s="62"/>
    </row>
    <row r="243">
      <c r="H243" s="47"/>
      <c r="I243" s="62"/>
    </row>
    <row r="244">
      <c r="H244" s="47"/>
      <c r="I244" s="62"/>
    </row>
    <row r="245">
      <c r="H245" s="47"/>
      <c r="I245" s="62"/>
    </row>
    <row r="246">
      <c r="H246" s="47"/>
      <c r="I246" s="62"/>
    </row>
    <row r="247">
      <c r="H247" s="47"/>
      <c r="I247" s="62"/>
    </row>
    <row r="248">
      <c r="H248" s="47"/>
      <c r="I248" s="62"/>
    </row>
    <row r="249">
      <c r="H249" s="47"/>
      <c r="I249" s="62"/>
    </row>
    <row r="250">
      <c r="H250" s="47"/>
      <c r="I250" s="62"/>
    </row>
    <row r="251">
      <c r="H251" s="47"/>
      <c r="I251" s="62"/>
    </row>
    <row r="252">
      <c r="H252" s="47"/>
      <c r="I252" s="62"/>
    </row>
    <row r="253">
      <c r="H253" s="47"/>
      <c r="I253" s="62"/>
    </row>
    <row r="254">
      <c r="H254" s="47"/>
      <c r="I254" s="62"/>
    </row>
    <row r="255">
      <c r="H255" s="47"/>
      <c r="I255" s="62"/>
    </row>
    <row r="256">
      <c r="H256" s="47"/>
      <c r="I256" s="62"/>
    </row>
    <row r="257">
      <c r="H257" s="47"/>
      <c r="I257" s="62"/>
    </row>
    <row r="258">
      <c r="H258" s="47"/>
      <c r="I258" s="62"/>
    </row>
    <row r="259">
      <c r="H259" s="47"/>
      <c r="I259" s="62"/>
    </row>
    <row r="260">
      <c r="H260" s="47"/>
      <c r="I260" s="62"/>
    </row>
    <row r="261">
      <c r="H261" s="47"/>
      <c r="I261" s="62"/>
    </row>
    <row r="262">
      <c r="H262" s="47"/>
      <c r="I262" s="62"/>
    </row>
    <row r="263">
      <c r="H263" s="47"/>
      <c r="I263" s="62"/>
    </row>
    <row r="264">
      <c r="H264" s="47"/>
      <c r="I264" s="62"/>
    </row>
    <row r="265">
      <c r="H265" s="47"/>
      <c r="I265" s="62"/>
    </row>
    <row r="266">
      <c r="H266" s="47"/>
      <c r="I266" s="62"/>
    </row>
    <row r="267">
      <c r="H267" s="47"/>
      <c r="I267" s="62"/>
    </row>
    <row r="268">
      <c r="H268" s="47"/>
      <c r="I268" s="62"/>
    </row>
    <row r="269">
      <c r="H269" s="47"/>
      <c r="I269" s="62"/>
    </row>
    <row r="270">
      <c r="H270" s="47"/>
      <c r="I270" s="62"/>
    </row>
    <row r="271">
      <c r="H271" s="47"/>
      <c r="I271" s="62"/>
    </row>
    <row r="272">
      <c r="H272" s="47"/>
      <c r="I272" s="62"/>
    </row>
    <row r="273">
      <c r="H273" s="47"/>
      <c r="I273" s="62"/>
    </row>
    <row r="274">
      <c r="H274" s="47"/>
      <c r="I274" s="62"/>
    </row>
    <row r="275">
      <c r="H275" s="47"/>
      <c r="I275" s="62"/>
    </row>
    <row r="276">
      <c r="H276" s="47"/>
      <c r="I276" s="62"/>
    </row>
    <row r="277">
      <c r="H277" s="47"/>
      <c r="I277" s="62"/>
    </row>
    <row r="278">
      <c r="H278" s="47"/>
      <c r="I278" s="62"/>
    </row>
    <row r="279">
      <c r="H279" s="47"/>
      <c r="I279" s="62"/>
    </row>
    <row r="280">
      <c r="H280" s="47"/>
      <c r="I280" s="62"/>
    </row>
    <row r="281">
      <c r="H281" s="47"/>
      <c r="I281" s="62"/>
    </row>
    <row r="282">
      <c r="H282" s="47"/>
      <c r="I282" s="62"/>
    </row>
    <row r="283">
      <c r="H283" s="47"/>
      <c r="I283" s="62"/>
    </row>
    <row r="284">
      <c r="H284" s="47"/>
      <c r="I284" s="62"/>
    </row>
    <row r="285">
      <c r="H285" s="47"/>
      <c r="I285" s="62"/>
    </row>
    <row r="286">
      <c r="H286" s="47"/>
      <c r="I286" s="62"/>
    </row>
    <row r="287">
      <c r="H287" s="47"/>
      <c r="I287" s="62"/>
    </row>
    <row r="288">
      <c r="H288" s="47"/>
      <c r="I288" s="62"/>
    </row>
    <row r="289">
      <c r="H289" s="47"/>
      <c r="I289" s="62"/>
    </row>
    <row r="290">
      <c r="H290" s="47"/>
      <c r="I290" s="62"/>
    </row>
    <row r="291">
      <c r="H291" s="47"/>
      <c r="I291" s="62"/>
    </row>
    <row r="292">
      <c r="H292" s="47"/>
      <c r="I292" s="62"/>
    </row>
    <row r="293">
      <c r="H293" s="47"/>
      <c r="I293" s="62"/>
    </row>
    <row r="294">
      <c r="H294" s="47"/>
      <c r="I294" s="62"/>
    </row>
    <row r="295">
      <c r="H295" s="47"/>
      <c r="I295" s="62"/>
    </row>
    <row r="296">
      <c r="H296" s="47"/>
      <c r="I296" s="62"/>
    </row>
    <row r="297">
      <c r="H297" s="47"/>
      <c r="I297" s="62"/>
    </row>
    <row r="298">
      <c r="H298" s="47"/>
      <c r="I298" s="62"/>
    </row>
    <row r="299">
      <c r="H299" s="47"/>
      <c r="I299" s="62"/>
    </row>
    <row r="300">
      <c r="H300" s="47"/>
      <c r="I300" s="62"/>
    </row>
    <row r="301">
      <c r="H301" s="47"/>
      <c r="I301" s="62"/>
    </row>
    <row r="302">
      <c r="H302" s="47"/>
      <c r="I302" s="62"/>
    </row>
    <row r="303">
      <c r="H303" s="47"/>
      <c r="I303" s="62"/>
    </row>
    <row r="304">
      <c r="H304" s="47"/>
      <c r="I304" s="62"/>
    </row>
    <row r="305">
      <c r="H305" s="47"/>
      <c r="I305" s="62"/>
    </row>
    <row r="306">
      <c r="H306" s="47"/>
      <c r="I306" s="62"/>
    </row>
    <row r="307">
      <c r="H307" s="47"/>
      <c r="I307" s="62"/>
    </row>
    <row r="308">
      <c r="H308" s="47"/>
      <c r="I308" s="62"/>
    </row>
    <row r="309">
      <c r="H309" s="47"/>
      <c r="I309" s="62"/>
    </row>
    <row r="310">
      <c r="H310" s="47"/>
      <c r="I310" s="62"/>
    </row>
    <row r="311">
      <c r="H311" s="47"/>
      <c r="I311" s="62"/>
    </row>
    <row r="312">
      <c r="H312" s="47"/>
      <c r="I312" s="62"/>
    </row>
    <row r="313">
      <c r="H313" s="47"/>
      <c r="I313" s="62"/>
    </row>
    <row r="314">
      <c r="H314" s="47"/>
      <c r="I314" s="62"/>
    </row>
    <row r="315">
      <c r="H315" s="47"/>
      <c r="I315" s="62"/>
    </row>
    <row r="316">
      <c r="H316" s="47"/>
      <c r="I316" s="62"/>
    </row>
    <row r="317">
      <c r="H317" s="47"/>
      <c r="I317" s="62"/>
    </row>
    <row r="318">
      <c r="H318" s="47"/>
      <c r="I318" s="62"/>
    </row>
    <row r="319">
      <c r="H319" s="47"/>
      <c r="I319" s="62"/>
    </row>
    <row r="320">
      <c r="H320" s="47"/>
      <c r="I320" s="62"/>
    </row>
    <row r="321">
      <c r="H321" s="47"/>
      <c r="I321" s="62"/>
    </row>
    <row r="322">
      <c r="H322" s="47"/>
      <c r="I322" s="62"/>
    </row>
    <row r="323">
      <c r="H323" s="47"/>
      <c r="I323" s="62"/>
    </row>
    <row r="324">
      <c r="H324" s="47"/>
      <c r="I324" s="62"/>
    </row>
    <row r="325">
      <c r="H325" s="47"/>
      <c r="I325" s="62"/>
    </row>
    <row r="326">
      <c r="H326" s="47"/>
      <c r="I326" s="62"/>
    </row>
    <row r="327">
      <c r="H327" s="47"/>
      <c r="I327" s="62"/>
    </row>
    <row r="328">
      <c r="H328" s="47"/>
      <c r="I328" s="62"/>
    </row>
    <row r="329">
      <c r="H329" s="47"/>
      <c r="I329" s="62"/>
    </row>
    <row r="330">
      <c r="H330" s="47"/>
      <c r="I330" s="62"/>
    </row>
    <row r="331">
      <c r="H331" s="47"/>
      <c r="I331" s="62"/>
    </row>
    <row r="332">
      <c r="H332" s="47"/>
      <c r="I332" s="62"/>
    </row>
    <row r="333">
      <c r="H333" s="47"/>
      <c r="I333" s="62"/>
    </row>
    <row r="334">
      <c r="H334" s="47"/>
      <c r="I334" s="62"/>
    </row>
    <row r="335">
      <c r="H335" s="47"/>
      <c r="I335" s="62"/>
    </row>
    <row r="336">
      <c r="H336" s="47"/>
      <c r="I336" s="62"/>
    </row>
    <row r="337">
      <c r="H337" s="47"/>
      <c r="I337" s="62"/>
    </row>
    <row r="338">
      <c r="H338" s="47"/>
      <c r="I338" s="62"/>
    </row>
    <row r="339">
      <c r="H339" s="47"/>
      <c r="I339" s="62"/>
    </row>
    <row r="340">
      <c r="H340" s="47"/>
      <c r="I340" s="62"/>
    </row>
    <row r="341">
      <c r="H341" s="47"/>
      <c r="I341" s="62"/>
    </row>
    <row r="342">
      <c r="H342" s="47"/>
      <c r="I342" s="62"/>
    </row>
    <row r="343">
      <c r="H343" s="47"/>
      <c r="I343" s="62"/>
    </row>
    <row r="344">
      <c r="H344" s="47"/>
      <c r="I344" s="62"/>
    </row>
    <row r="345">
      <c r="H345" s="47"/>
      <c r="I345" s="62"/>
    </row>
    <row r="346">
      <c r="H346" s="47"/>
      <c r="I346" s="62"/>
    </row>
    <row r="347">
      <c r="H347" s="47"/>
      <c r="I347" s="62"/>
    </row>
    <row r="348">
      <c r="H348" s="47"/>
      <c r="I348" s="62"/>
    </row>
    <row r="349">
      <c r="H349" s="47"/>
      <c r="I349" s="62"/>
    </row>
    <row r="350">
      <c r="H350" s="47"/>
      <c r="I350" s="62"/>
    </row>
    <row r="351">
      <c r="H351" s="47"/>
      <c r="I351" s="62"/>
    </row>
    <row r="352">
      <c r="H352" s="47"/>
      <c r="I352" s="62"/>
    </row>
    <row r="353">
      <c r="H353" s="47"/>
      <c r="I353" s="62"/>
    </row>
    <row r="354">
      <c r="H354" s="47"/>
      <c r="I354" s="62"/>
    </row>
    <row r="355">
      <c r="H355" s="47"/>
      <c r="I355" s="62"/>
    </row>
    <row r="356">
      <c r="H356" s="47"/>
      <c r="I356" s="62"/>
    </row>
    <row r="357">
      <c r="H357" s="47"/>
      <c r="I357" s="62"/>
    </row>
    <row r="358">
      <c r="H358" s="47"/>
      <c r="I358" s="62"/>
    </row>
    <row r="359">
      <c r="H359" s="47"/>
      <c r="I359" s="62"/>
    </row>
    <row r="360">
      <c r="H360" s="47"/>
      <c r="I360" s="62"/>
    </row>
    <row r="361">
      <c r="H361" s="47"/>
      <c r="I361" s="62"/>
    </row>
    <row r="362">
      <c r="H362" s="47"/>
      <c r="I362" s="62"/>
    </row>
    <row r="363">
      <c r="H363" s="47"/>
      <c r="I363" s="62"/>
    </row>
    <row r="364">
      <c r="H364" s="47"/>
      <c r="I364" s="62"/>
    </row>
    <row r="365">
      <c r="H365" s="47"/>
      <c r="I365" s="62"/>
    </row>
    <row r="366">
      <c r="H366" s="47"/>
      <c r="I366" s="62"/>
    </row>
    <row r="367">
      <c r="H367" s="47"/>
      <c r="I367" s="62"/>
    </row>
    <row r="368">
      <c r="H368" s="47"/>
      <c r="I368" s="62"/>
    </row>
    <row r="369">
      <c r="H369" s="47"/>
      <c r="I369" s="62"/>
    </row>
    <row r="370">
      <c r="H370" s="47"/>
      <c r="I370" s="62"/>
    </row>
    <row r="371">
      <c r="H371" s="47"/>
      <c r="I371" s="62"/>
    </row>
    <row r="372">
      <c r="H372" s="47"/>
      <c r="I372" s="62"/>
    </row>
    <row r="373">
      <c r="H373" s="47"/>
      <c r="I373" s="62"/>
    </row>
    <row r="374">
      <c r="H374" s="47"/>
      <c r="I374" s="62"/>
    </row>
    <row r="375">
      <c r="H375" s="47"/>
      <c r="I375" s="62"/>
    </row>
    <row r="376">
      <c r="H376" s="47"/>
      <c r="I376" s="62"/>
    </row>
    <row r="377">
      <c r="H377" s="47"/>
      <c r="I377" s="62"/>
    </row>
    <row r="378">
      <c r="H378" s="47"/>
      <c r="I378" s="62"/>
    </row>
    <row r="379">
      <c r="H379" s="47"/>
      <c r="I379" s="62"/>
    </row>
    <row r="380">
      <c r="H380" s="47"/>
      <c r="I380" s="62"/>
    </row>
    <row r="381">
      <c r="H381" s="47"/>
      <c r="I381" s="62"/>
    </row>
    <row r="382">
      <c r="H382" s="47"/>
      <c r="I382" s="62"/>
    </row>
    <row r="383">
      <c r="H383" s="47"/>
      <c r="I383" s="62"/>
    </row>
    <row r="384">
      <c r="H384" s="47"/>
      <c r="I384" s="62"/>
    </row>
    <row r="385">
      <c r="H385" s="47"/>
      <c r="I385" s="62"/>
    </row>
    <row r="386">
      <c r="H386" s="47"/>
      <c r="I386" s="62"/>
    </row>
    <row r="387">
      <c r="H387" s="47"/>
      <c r="I387" s="62"/>
    </row>
    <row r="388">
      <c r="H388" s="47"/>
      <c r="I388" s="62"/>
    </row>
    <row r="389">
      <c r="H389" s="47"/>
      <c r="I389" s="62"/>
    </row>
    <row r="390">
      <c r="H390" s="47"/>
      <c r="I390" s="62"/>
    </row>
    <row r="391">
      <c r="H391" s="47"/>
      <c r="I391" s="62"/>
    </row>
    <row r="392">
      <c r="H392" s="47"/>
      <c r="I392" s="62"/>
    </row>
    <row r="393">
      <c r="H393" s="47"/>
      <c r="I393" s="62"/>
    </row>
    <row r="394">
      <c r="H394" s="47"/>
      <c r="I394" s="62"/>
    </row>
    <row r="395">
      <c r="H395" s="47"/>
      <c r="I395" s="62"/>
    </row>
    <row r="396">
      <c r="H396" s="47"/>
      <c r="I396" s="62"/>
    </row>
    <row r="397">
      <c r="H397" s="47"/>
      <c r="I397" s="62"/>
    </row>
    <row r="398">
      <c r="H398" s="47"/>
      <c r="I398" s="62"/>
    </row>
    <row r="399">
      <c r="H399" s="47"/>
      <c r="I399" s="62"/>
    </row>
    <row r="400">
      <c r="H400" s="47"/>
      <c r="I400" s="62"/>
    </row>
    <row r="401">
      <c r="H401" s="47"/>
      <c r="I401" s="62"/>
    </row>
    <row r="402">
      <c r="H402" s="47"/>
      <c r="I402" s="62"/>
    </row>
    <row r="403">
      <c r="H403" s="47"/>
      <c r="I403" s="62"/>
    </row>
    <row r="404">
      <c r="H404" s="47"/>
      <c r="I404" s="62"/>
    </row>
    <row r="405">
      <c r="H405" s="47"/>
      <c r="I405" s="62"/>
    </row>
    <row r="406">
      <c r="H406" s="47"/>
      <c r="I406" s="62"/>
    </row>
    <row r="407">
      <c r="H407" s="47"/>
      <c r="I407" s="62"/>
    </row>
    <row r="408">
      <c r="H408" s="47"/>
      <c r="I408" s="62"/>
    </row>
    <row r="409">
      <c r="H409" s="47"/>
      <c r="I409" s="62"/>
    </row>
    <row r="410">
      <c r="H410" s="47"/>
      <c r="I410" s="62"/>
    </row>
    <row r="411">
      <c r="H411" s="47"/>
      <c r="I411" s="62"/>
    </row>
    <row r="412">
      <c r="H412" s="47"/>
      <c r="I412" s="62"/>
    </row>
    <row r="413">
      <c r="H413" s="47"/>
      <c r="I413" s="62"/>
    </row>
    <row r="414">
      <c r="H414" s="47"/>
      <c r="I414" s="62"/>
    </row>
    <row r="415">
      <c r="H415" s="47"/>
      <c r="I415" s="62"/>
    </row>
    <row r="416">
      <c r="H416" s="47"/>
      <c r="I416" s="62"/>
    </row>
    <row r="417">
      <c r="H417" s="47"/>
      <c r="I417" s="62"/>
    </row>
    <row r="418">
      <c r="H418" s="47"/>
      <c r="I418" s="62"/>
    </row>
    <row r="419">
      <c r="H419" s="47"/>
      <c r="I419" s="62"/>
    </row>
    <row r="420">
      <c r="H420" s="47"/>
      <c r="I420" s="62"/>
    </row>
    <row r="421">
      <c r="H421" s="47"/>
      <c r="I421" s="62"/>
    </row>
    <row r="422">
      <c r="H422" s="47"/>
      <c r="I422" s="62"/>
    </row>
    <row r="423">
      <c r="H423" s="47"/>
      <c r="I423" s="62"/>
    </row>
    <row r="424">
      <c r="H424" s="47"/>
      <c r="I424" s="62"/>
    </row>
    <row r="425">
      <c r="H425" s="47"/>
      <c r="I425" s="62"/>
    </row>
    <row r="426">
      <c r="H426" s="47"/>
      <c r="I426" s="62"/>
    </row>
    <row r="427">
      <c r="H427" s="47"/>
      <c r="I427" s="62"/>
    </row>
    <row r="428">
      <c r="H428" s="47"/>
      <c r="I428" s="62"/>
    </row>
    <row r="429">
      <c r="H429" s="47"/>
      <c r="I429" s="62"/>
    </row>
    <row r="430">
      <c r="H430" s="47"/>
      <c r="I430" s="62"/>
    </row>
    <row r="431">
      <c r="H431" s="47"/>
      <c r="I431" s="62"/>
    </row>
    <row r="432">
      <c r="H432" s="47"/>
      <c r="I432" s="62"/>
    </row>
    <row r="433">
      <c r="H433" s="47"/>
      <c r="I433" s="62"/>
    </row>
    <row r="434">
      <c r="H434" s="47"/>
      <c r="I434" s="62"/>
    </row>
    <row r="435">
      <c r="H435" s="47"/>
      <c r="I435" s="62"/>
    </row>
    <row r="436">
      <c r="H436" s="47"/>
      <c r="I436" s="62"/>
    </row>
    <row r="437">
      <c r="H437" s="47"/>
      <c r="I437" s="62"/>
    </row>
    <row r="438">
      <c r="H438" s="47"/>
      <c r="I438" s="62"/>
    </row>
    <row r="439">
      <c r="H439" s="47"/>
      <c r="I439" s="62"/>
    </row>
    <row r="440">
      <c r="H440" s="47"/>
      <c r="I440" s="62"/>
    </row>
    <row r="441">
      <c r="H441" s="47"/>
      <c r="I441" s="62"/>
    </row>
    <row r="442">
      <c r="H442" s="47"/>
      <c r="I442" s="62"/>
    </row>
    <row r="443">
      <c r="H443" s="47"/>
      <c r="I443" s="62"/>
    </row>
    <row r="444">
      <c r="H444" s="47"/>
      <c r="I444" s="62"/>
    </row>
    <row r="445">
      <c r="H445" s="47"/>
      <c r="I445" s="62"/>
    </row>
    <row r="446">
      <c r="H446" s="47"/>
      <c r="I446" s="62"/>
    </row>
    <row r="447">
      <c r="H447" s="47"/>
      <c r="I447" s="62"/>
    </row>
    <row r="448">
      <c r="H448" s="47"/>
      <c r="I448" s="62"/>
    </row>
    <row r="449">
      <c r="H449" s="47"/>
      <c r="I449" s="62"/>
    </row>
    <row r="450">
      <c r="H450" s="47"/>
      <c r="I450" s="62"/>
    </row>
    <row r="451">
      <c r="H451" s="47"/>
      <c r="I451" s="62"/>
    </row>
    <row r="452">
      <c r="H452" s="47"/>
      <c r="I452" s="62"/>
    </row>
    <row r="453">
      <c r="H453" s="47"/>
      <c r="I453" s="62"/>
    </row>
    <row r="454">
      <c r="H454" s="47"/>
      <c r="I454" s="62"/>
    </row>
    <row r="455">
      <c r="H455" s="47"/>
      <c r="I455" s="62"/>
    </row>
    <row r="456">
      <c r="H456" s="47"/>
      <c r="I456" s="62"/>
    </row>
    <row r="457">
      <c r="H457" s="47"/>
      <c r="I457" s="62"/>
    </row>
    <row r="458">
      <c r="H458" s="47"/>
      <c r="I458" s="62"/>
    </row>
    <row r="459">
      <c r="H459" s="47"/>
      <c r="I459" s="62"/>
    </row>
    <row r="460">
      <c r="H460" s="47"/>
      <c r="I460" s="62"/>
    </row>
    <row r="461">
      <c r="H461" s="47"/>
      <c r="I461" s="62"/>
    </row>
    <row r="462">
      <c r="H462" s="47"/>
      <c r="I462" s="62"/>
    </row>
    <row r="463">
      <c r="H463" s="47"/>
      <c r="I463" s="62"/>
    </row>
    <row r="464">
      <c r="H464" s="47"/>
      <c r="I464" s="62"/>
    </row>
    <row r="465">
      <c r="H465" s="47"/>
      <c r="I465" s="62"/>
    </row>
    <row r="466">
      <c r="H466" s="47"/>
      <c r="I466" s="62"/>
    </row>
    <row r="467">
      <c r="H467" s="47"/>
      <c r="I467" s="62"/>
    </row>
    <row r="468">
      <c r="H468" s="47"/>
      <c r="I468" s="62"/>
    </row>
    <row r="469">
      <c r="H469" s="47"/>
      <c r="I469" s="62"/>
    </row>
    <row r="470">
      <c r="H470" s="47"/>
      <c r="I470" s="62"/>
    </row>
    <row r="471">
      <c r="H471" s="47"/>
      <c r="I471" s="62"/>
    </row>
    <row r="472">
      <c r="H472" s="47"/>
      <c r="I472" s="62"/>
    </row>
    <row r="473">
      <c r="H473" s="47"/>
      <c r="I473" s="62"/>
    </row>
    <row r="474">
      <c r="H474" s="47"/>
      <c r="I474" s="62"/>
    </row>
    <row r="475">
      <c r="H475" s="47"/>
      <c r="I475" s="62"/>
    </row>
    <row r="476">
      <c r="H476" s="47"/>
      <c r="I476" s="62"/>
    </row>
    <row r="477">
      <c r="H477" s="47"/>
      <c r="I477" s="62"/>
    </row>
    <row r="478">
      <c r="H478" s="47"/>
      <c r="I478" s="62"/>
    </row>
    <row r="479">
      <c r="H479" s="47"/>
      <c r="I479" s="62"/>
    </row>
    <row r="480">
      <c r="H480" s="47"/>
      <c r="I480" s="62"/>
    </row>
    <row r="481">
      <c r="H481" s="47"/>
      <c r="I481" s="62"/>
    </row>
    <row r="482">
      <c r="H482" s="47"/>
      <c r="I482" s="62"/>
    </row>
    <row r="483">
      <c r="H483" s="47"/>
      <c r="I483" s="62"/>
    </row>
    <row r="484">
      <c r="H484" s="47"/>
      <c r="I484" s="62"/>
    </row>
    <row r="485">
      <c r="H485" s="47"/>
      <c r="I485" s="62"/>
    </row>
    <row r="486">
      <c r="H486" s="47"/>
      <c r="I486" s="62"/>
    </row>
    <row r="487">
      <c r="H487" s="47"/>
      <c r="I487" s="62"/>
    </row>
    <row r="488">
      <c r="H488" s="47"/>
      <c r="I488" s="62"/>
    </row>
    <row r="489">
      <c r="H489" s="47"/>
      <c r="I489" s="62"/>
    </row>
    <row r="490">
      <c r="H490" s="47"/>
      <c r="I490" s="62"/>
    </row>
    <row r="491">
      <c r="H491" s="47"/>
      <c r="I491" s="62"/>
    </row>
    <row r="492">
      <c r="H492" s="47"/>
      <c r="I492" s="62"/>
    </row>
    <row r="493">
      <c r="H493" s="47"/>
      <c r="I493" s="62"/>
    </row>
    <row r="494">
      <c r="H494" s="47"/>
      <c r="I494" s="62"/>
    </row>
    <row r="495">
      <c r="H495" s="47"/>
      <c r="I495" s="62"/>
    </row>
    <row r="496">
      <c r="H496" s="47"/>
      <c r="I496" s="62"/>
    </row>
    <row r="497">
      <c r="H497" s="47"/>
      <c r="I497" s="62"/>
    </row>
    <row r="498">
      <c r="H498" s="47"/>
      <c r="I498" s="62"/>
    </row>
    <row r="499">
      <c r="H499" s="47"/>
      <c r="I499" s="62"/>
    </row>
    <row r="500">
      <c r="H500" s="47"/>
      <c r="I500" s="62"/>
    </row>
    <row r="501">
      <c r="H501" s="47"/>
      <c r="I501" s="62"/>
    </row>
    <row r="502">
      <c r="H502" s="47"/>
      <c r="I502" s="62"/>
    </row>
    <row r="503">
      <c r="H503" s="47"/>
      <c r="I503" s="62"/>
    </row>
    <row r="504">
      <c r="H504" s="47"/>
      <c r="I504" s="62"/>
    </row>
    <row r="505">
      <c r="H505" s="47"/>
      <c r="I505" s="62"/>
    </row>
    <row r="506">
      <c r="H506" s="47"/>
      <c r="I506" s="62"/>
    </row>
    <row r="507">
      <c r="H507" s="47"/>
      <c r="I507" s="62"/>
    </row>
    <row r="508">
      <c r="H508" s="47"/>
      <c r="I508" s="62"/>
    </row>
    <row r="509">
      <c r="H509" s="47"/>
      <c r="I509" s="62"/>
    </row>
    <row r="510">
      <c r="H510" s="47"/>
      <c r="I510" s="62"/>
    </row>
    <row r="511">
      <c r="H511" s="47"/>
      <c r="I511" s="62"/>
    </row>
    <row r="512">
      <c r="H512" s="47"/>
      <c r="I512" s="62"/>
    </row>
    <row r="513">
      <c r="H513" s="47"/>
      <c r="I513" s="62"/>
    </row>
    <row r="514">
      <c r="H514" s="47"/>
      <c r="I514" s="62"/>
    </row>
    <row r="515">
      <c r="H515" s="47"/>
      <c r="I515" s="62"/>
    </row>
    <row r="516">
      <c r="H516" s="47"/>
      <c r="I516" s="62"/>
    </row>
    <row r="517">
      <c r="H517" s="47"/>
      <c r="I517" s="62"/>
    </row>
    <row r="518">
      <c r="H518" s="47"/>
      <c r="I518" s="62"/>
    </row>
    <row r="519">
      <c r="H519" s="47"/>
      <c r="I519" s="62"/>
    </row>
    <row r="520">
      <c r="H520" s="47"/>
      <c r="I520" s="62"/>
    </row>
    <row r="521">
      <c r="H521" s="47"/>
      <c r="I521" s="62"/>
    </row>
    <row r="522">
      <c r="H522" s="47"/>
      <c r="I522" s="62"/>
    </row>
    <row r="523">
      <c r="H523" s="47"/>
      <c r="I523" s="62"/>
    </row>
    <row r="524">
      <c r="H524" s="47"/>
      <c r="I524" s="62"/>
    </row>
    <row r="525">
      <c r="H525" s="47"/>
      <c r="I525" s="62"/>
    </row>
    <row r="526">
      <c r="H526" s="47"/>
      <c r="I526" s="62"/>
    </row>
    <row r="527">
      <c r="H527" s="47"/>
      <c r="I527" s="62"/>
    </row>
    <row r="528">
      <c r="H528" s="47"/>
      <c r="I528" s="62"/>
    </row>
    <row r="529">
      <c r="H529" s="47"/>
      <c r="I529" s="62"/>
    </row>
    <row r="530">
      <c r="H530" s="47"/>
      <c r="I530" s="62"/>
    </row>
    <row r="531">
      <c r="H531" s="47"/>
      <c r="I531" s="62"/>
    </row>
    <row r="532">
      <c r="H532" s="47"/>
      <c r="I532" s="62"/>
    </row>
    <row r="533">
      <c r="H533" s="47"/>
      <c r="I533" s="62"/>
    </row>
    <row r="534">
      <c r="H534" s="47"/>
      <c r="I534" s="62"/>
    </row>
    <row r="535">
      <c r="H535" s="47"/>
      <c r="I535" s="62"/>
    </row>
    <row r="536">
      <c r="H536" s="47"/>
      <c r="I536" s="62"/>
    </row>
    <row r="537">
      <c r="H537" s="47"/>
      <c r="I537" s="62"/>
    </row>
    <row r="538">
      <c r="H538" s="47"/>
      <c r="I538" s="62"/>
    </row>
    <row r="539">
      <c r="H539" s="47"/>
      <c r="I539" s="62"/>
    </row>
    <row r="540">
      <c r="H540" s="47"/>
      <c r="I540" s="62"/>
    </row>
    <row r="541">
      <c r="H541" s="47"/>
      <c r="I541" s="62"/>
    </row>
    <row r="542">
      <c r="H542" s="47"/>
      <c r="I542" s="62"/>
    </row>
    <row r="543">
      <c r="H543" s="47"/>
      <c r="I543" s="62"/>
    </row>
    <row r="544">
      <c r="H544" s="47"/>
      <c r="I544" s="62"/>
    </row>
    <row r="545">
      <c r="H545" s="47"/>
      <c r="I545" s="62"/>
    </row>
    <row r="546">
      <c r="H546" s="47"/>
      <c r="I546" s="62"/>
    </row>
    <row r="547">
      <c r="H547" s="47"/>
      <c r="I547" s="62"/>
    </row>
    <row r="548">
      <c r="H548" s="47"/>
      <c r="I548" s="62"/>
    </row>
    <row r="549">
      <c r="H549" s="47"/>
      <c r="I549" s="62"/>
    </row>
    <row r="550">
      <c r="H550" s="47"/>
      <c r="I550" s="62"/>
    </row>
    <row r="551">
      <c r="H551" s="47"/>
      <c r="I551" s="62"/>
    </row>
    <row r="552">
      <c r="H552" s="47"/>
      <c r="I552" s="62"/>
    </row>
    <row r="553">
      <c r="H553" s="47"/>
      <c r="I553" s="62"/>
    </row>
    <row r="554">
      <c r="H554" s="47"/>
      <c r="I554" s="62"/>
    </row>
    <row r="555">
      <c r="H555" s="47"/>
      <c r="I555" s="62"/>
    </row>
    <row r="556">
      <c r="H556" s="47"/>
      <c r="I556" s="62"/>
    </row>
    <row r="557">
      <c r="H557" s="47"/>
      <c r="I557" s="62"/>
    </row>
    <row r="558">
      <c r="H558" s="47"/>
      <c r="I558" s="62"/>
    </row>
    <row r="559">
      <c r="H559" s="47"/>
      <c r="I559" s="62"/>
    </row>
    <row r="560">
      <c r="H560" s="47"/>
      <c r="I560" s="62"/>
    </row>
    <row r="561">
      <c r="H561" s="47"/>
      <c r="I561" s="62"/>
    </row>
    <row r="562">
      <c r="H562" s="47"/>
      <c r="I562" s="62"/>
    </row>
    <row r="563">
      <c r="H563" s="47"/>
      <c r="I563" s="62"/>
    </row>
    <row r="564">
      <c r="H564" s="47"/>
      <c r="I564" s="62"/>
    </row>
    <row r="565">
      <c r="H565" s="47"/>
      <c r="I565" s="62"/>
    </row>
    <row r="566">
      <c r="H566" s="47"/>
      <c r="I566" s="62"/>
    </row>
    <row r="567">
      <c r="H567" s="47"/>
      <c r="I567" s="62"/>
    </row>
    <row r="568">
      <c r="H568" s="47"/>
      <c r="I568" s="62"/>
    </row>
    <row r="569">
      <c r="H569" s="47"/>
      <c r="I569" s="62"/>
    </row>
    <row r="570">
      <c r="H570" s="47"/>
      <c r="I570" s="62"/>
    </row>
    <row r="571">
      <c r="H571" s="47"/>
      <c r="I571" s="62"/>
    </row>
    <row r="572">
      <c r="H572" s="47"/>
      <c r="I572" s="62"/>
    </row>
    <row r="573">
      <c r="H573" s="47"/>
      <c r="I573" s="62"/>
    </row>
    <row r="574">
      <c r="H574" s="47"/>
      <c r="I574" s="62"/>
    </row>
    <row r="575">
      <c r="H575" s="47"/>
      <c r="I575" s="62"/>
    </row>
    <row r="576">
      <c r="H576" s="47"/>
      <c r="I576" s="62"/>
    </row>
    <row r="577">
      <c r="H577" s="47"/>
      <c r="I577" s="62"/>
    </row>
    <row r="578">
      <c r="H578" s="47"/>
      <c r="I578" s="62"/>
    </row>
    <row r="579">
      <c r="H579" s="47"/>
      <c r="I579" s="62"/>
    </row>
    <row r="580">
      <c r="H580" s="47"/>
      <c r="I580" s="62"/>
    </row>
    <row r="581">
      <c r="H581" s="47"/>
      <c r="I581" s="62"/>
    </row>
    <row r="582">
      <c r="H582" s="47"/>
      <c r="I582" s="62"/>
    </row>
    <row r="583">
      <c r="H583" s="47"/>
      <c r="I583" s="62"/>
    </row>
    <row r="584">
      <c r="H584" s="47"/>
      <c r="I584" s="62"/>
    </row>
    <row r="585">
      <c r="H585" s="47"/>
      <c r="I585" s="62"/>
    </row>
    <row r="586">
      <c r="H586" s="47"/>
      <c r="I586" s="62"/>
    </row>
    <row r="587">
      <c r="H587" s="47"/>
      <c r="I587" s="62"/>
    </row>
    <row r="588">
      <c r="H588" s="47"/>
      <c r="I588" s="62"/>
    </row>
    <row r="589">
      <c r="H589" s="47"/>
      <c r="I589" s="62"/>
    </row>
    <row r="590">
      <c r="H590" s="47"/>
      <c r="I590" s="62"/>
    </row>
    <row r="591">
      <c r="H591" s="47"/>
      <c r="I591" s="62"/>
    </row>
    <row r="592">
      <c r="H592" s="47"/>
      <c r="I592" s="62"/>
    </row>
    <row r="593">
      <c r="H593" s="47"/>
      <c r="I593" s="62"/>
    </row>
    <row r="594">
      <c r="H594" s="47"/>
      <c r="I594" s="62"/>
    </row>
    <row r="595">
      <c r="H595" s="47"/>
      <c r="I595" s="62"/>
    </row>
    <row r="596">
      <c r="H596" s="47"/>
      <c r="I596" s="62"/>
    </row>
    <row r="597">
      <c r="H597" s="47"/>
      <c r="I597" s="62"/>
    </row>
    <row r="598">
      <c r="H598" s="47"/>
      <c r="I598" s="62"/>
    </row>
    <row r="599">
      <c r="H599" s="47"/>
      <c r="I599" s="62"/>
    </row>
    <row r="600">
      <c r="H600" s="47"/>
      <c r="I600" s="62"/>
    </row>
    <row r="601">
      <c r="H601" s="47"/>
      <c r="I601" s="62"/>
    </row>
    <row r="602">
      <c r="H602" s="47"/>
      <c r="I602" s="62"/>
    </row>
    <row r="603">
      <c r="H603" s="47"/>
      <c r="I603" s="62"/>
    </row>
    <row r="604">
      <c r="H604" s="47"/>
      <c r="I604" s="62"/>
    </row>
    <row r="605">
      <c r="H605" s="47"/>
      <c r="I605" s="62"/>
    </row>
    <row r="606">
      <c r="H606" s="47"/>
      <c r="I606" s="62"/>
    </row>
    <row r="607">
      <c r="H607" s="47"/>
      <c r="I607" s="62"/>
    </row>
    <row r="608">
      <c r="H608" s="47"/>
      <c r="I608" s="62"/>
    </row>
    <row r="609">
      <c r="H609" s="47"/>
      <c r="I609" s="62"/>
    </row>
    <row r="610">
      <c r="H610" s="47"/>
      <c r="I610" s="62"/>
    </row>
    <row r="611">
      <c r="H611" s="47"/>
      <c r="I611" s="62"/>
    </row>
    <row r="612">
      <c r="H612" s="47"/>
      <c r="I612" s="62"/>
    </row>
    <row r="613">
      <c r="H613" s="47"/>
      <c r="I613" s="62"/>
    </row>
    <row r="614">
      <c r="H614" s="47"/>
      <c r="I614" s="62"/>
    </row>
    <row r="615">
      <c r="H615" s="47"/>
      <c r="I615" s="62"/>
    </row>
    <row r="616">
      <c r="H616" s="47"/>
      <c r="I616" s="62"/>
    </row>
    <row r="617">
      <c r="H617" s="47"/>
      <c r="I617" s="62"/>
    </row>
    <row r="618">
      <c r="H618" s="47"/>
      <c r="I618" s="62"/>
    </row>
    <row r="619">
      <c r="H619" s="47"/>
      <c r="I619" s="62"/>
    </row>
    <row r="620">
      <c r="H620" s="47"/>
      <c r="I620" s="62"/>
    </row>
    <row r="621">
      <c r="H621" s="47"/>
      <c r="I621" s="62"/>
    </row>
    <row r="622">
      <c r="H622" s="47"/>
      <c r="I622" s="62"/>
    </row>
    <row r="623">
      <c r="H623" s="47"/>
      <c r="I623" s="62"/>
    </row>
    <row r="624">
      <c r="H624" s="47"/>
      <c r="I624" s="62"/>
    </row>
    <row r="625">
      <c r="H625" s="47"/>
      <c r="I625" s="62"/>
    </row>
    <row r="626">
      <c r="H626" s="47"/>
      <c r="I626" s="62"/>
    </row>
    <row r="627">
      <c r="H627" s="47"/>
      <c r="I627" s="62"/>
    </row>
    <row r="628">
      <c r="H628" s="47"/>
      <c r="I628" s="62"/>
    </row>
    <row r="629">
      <c r="H629" s="47"/>
      <c r="I629" s="62"/>
    </row>
    <row r="630">
      <c r="H630" s="47"/>
      <c r="I630" s="62"/>
    </row>
    <row r="631">
      <c r="H631" s="47"/>
      <c r="I631" s="62"/>
    </row>
    <row r="632">
      <c r="H632" s="47"/>
      <c r="I632" s="62"/>
    </row>
    <row r="633">
      <c r="H633" s="47"/>
      <c r="I633" s="62"/>
    </row>
    <row r="634">
      <c r="H634" s="47"/>
      <c r="I634" s="62"/>
    </row>
    <row r="635">
      <c r="H635" s="47"/>
      <c r="I635" s="62"/>
    </row>
    <row r="636">
      <c r="H636" s="47"/>
      <c r="I636" s="62"/>
    </row>
    <row r="637">
      <c r="H637" s="47"/>
      <c r="I637" s="62"/>
    </row>
    <row r="638">
      <c r="H638" s="47"/>
      <c r="I638" s="62"/>
    </row>
    <row r="639">
      <c r="H639" s="47"/>
      <c r="I639" s="62"/>
    </row>
    <row r="640">
      <c r="H640" s="47"/>
      <c r="I640" s="62"/>
    </row>
    <row r="641">
      <c r="H641" s="47"/>
      <c r="I641" s="62"/>
    </row>
    <row r="642">
      <c r="H642" s="47"/>
      <c r="I642" s="62"/>
    </row>
    <row r="643">
      <c r="H643" s="47"/>
      <c r="I643" s="62"/>
    </row>
    <row r="644">
      <c r="H644" s="47"/>
      <c r="I644" s="62"/>
    </row>
    <row r="645">
      <c r="H645" s="47"/>
      <c r="I645" s="62"/>
    </row>
    <row r="646">
      <c r="H646" s="47"/>
      <c r="I646" s="62"/>
    </row>
    <row r="647">
      <c r="H647" s="47"/>
      <c r="I647" s="62"/>
    </row>
    <row r="648">
      <c r="H648" s="47"/>
      <c r="I648" s="62"/>
    </row>
    <row r="649">
      <c r="H649" s="47"/>
      <c r="I649" s="62"/>
    </row>
    <row r="650">
      <c r="H650" s="47"/>
      <c r="I650" s="62"/>
    </row>
    <row r="651">
      <c r="H651" s="47"/>
      <c r="I651" s="62"/>
    </row>
    <row r="652">
      <c r="H652" s="47"/>
      <c r="I652" s="62"/>
    </row>
    <row r="653">
      <c r="H653" s="47"/>
      <c r="I653" s="62"/>
    </row>
    <row r="654">
      <c r="H654" s="47"/>
      <c r="I654" s="62"/>
    </row>
    <row r="655">
      <c r="H655" s="47"/>
      <c r="I655" s="62"/>
    </row>
    <row r="656">
      <c r="H656" s="47"/>
      <c r="I656" s="62"/>
    </row>
    <row r="657">
      <c r="H657" s="47"/>
      <c r="I657" s="62"/>
    </row>
    <row r="658">
      <c r="H658" s="47"/>
      <c r="I658" s="62"/>
    </row>
    <row r="659">
      <c r="H659" s="47"/>
      <c r="I659" s="62"/>
    </row>
    <row r="660">
      <c r="H660" s="47"/>
      <c r="I660" s="62"/>
    </row>
    <row r="661">
      <c r="H661" s="47"/>
      <c r="I661" s="62"/>
    </row>
    <row r="662">
      <c r="H662" s="47"/>
      <c r="I662" s="62"/>
    </row>
    <row r="663">
      <c r="H663" s="47"/>
      <c r="I663" s="62"/>
    </row>
    <row r="664">
      <c r="H664" s="47"/>
      <c r="I664" s="62"/>
    </row>
    <row r="665">
      <c r="H665" s="47"/>
      <c r="I665" s="62"/>
    </row>
    <row r="666">
      <c r="H666" s="47"/>
      <c r="I666" s="62"/>
    </row>
    <row r="667">
      <c r="H667" s="47"/>
      <c r="I667" s="62"/>
    </row>
    <row r="668">
      <c r="H668" s="47"/>
      <c r="I668" s="62"/>
    </row>
    <row r="669">
      <c r="H669" s="47"/>
      <c r="I669" s="62"/>
    </row>
    <row r="670">
      <c r="H670" s="47"/>
      <c r="I670" s="62"/>
    </row>
    <row r="671">
      <c r="H671" s="47"/>
      <c r="I671" s="62"/>
    </row>
    <row r="672">
      <c r="H672" s="47"/>
      <c r="I672" s="62"/>
    </row>
    <row r="673">
      <c r="H673" s="47"/>
      <c r="I673" s="62"/>
    </row>
    <row r="674">
      <c r="H674" s="47"/>
      <c r="I674" s="62"/>
    </row>
    <row r="675">
      <c r="H675" s="47"/>
      <c r="I675" s="62"/>
    </row>
    <row r="676">
      <c r="H676" s="47"/>
      <c r="I676" s="62"/>
    </row>
    <row r="677">
      <c r="H677" s="47"/>
      <c r="I677" s="62"/>
    </row>
    <row r="678">
      <c r="H678" s="47"/>
      <c r="I678" s="62"/>
    </row>
    <row r="679">
      <c r="H679" s="47"/>
      <c r="I679" s="62"/>
    </row>
    <row r="680">
      <c r="H680" s="47"/>
      <c r="I680" s="62"/>
    </row>
    <row r="681">
      <c r="H681" s="47"/>
      <c r="I681" s="62"/>
    </row>
    <row r="682">
      <c r="H682" s="47"/>
      <c r="I682" s="62"/>
    </row>
    <row r="683">
      <c r="H683" s="47"/>
      <c r="I683" s="62"/>
    </row>
    <row r="684">
      <c r="H684" s="47"/>
      <c r="I684" s="62"/>
    </row>
    <row r="685">
      <c r="H685" s="47"/>
      <c r="I685" s="62"/>
    </row>
    <row r="686">
      <c r="H686" s="47"/>
      <c r="I686" s="62"/>
    </row>
    <row r="687">
      <c r="H687" s="47"/>
      <c r="I687" s="62"/>
    </row>
    <row r="688">
      <c r="H688" s="47"/>
      <c r="I688" s="62"/>
    </row>
    <row r="689">
      <c r="H689" s="47"/>
      <c r="I689" s="62"/>
    </row>
    <row r="690">
      <c r="H690" s="47"/>
      <c r="I690" s="62"/>
    </row>
    <row r="691">
      <c r="H691" s="47"/>
      <c r="I691" s="62"/>
    </row>
    <row r="692">
      <c r="H692" s="47"/>
      <c r="I692" s="62"/>
    </row>
    <row r="693">
      <c r="H693" s="47"/>
      <c r="I693" s="62"/>
    </row>
    <row r="694">
      <c r="H694" s="47"/>
      <c r="I694" s="62"/>
    </row>
    <row r="695">
      <c r="H695" s="47"/>
      <c r="I695" s="62"/>
    </row>
    <row r="696">
      <c r="H696" s="47"/>
      <c r="I696" s="62"/>
    </row>
    <row r="697">
      <c r="H697" s="47"/>
      <c r="I697" s="62"/>
    </row>
    <row r="698">
      <c r="H698" s="47"/>
      <c r="I698" s="62"/>
    </row>
    <row r="699">
      <c r="H699" s="47"/>
      <c r="I699" s="62"/>
    </row>
    <row r="700">
      <c r="H700" s="47"/>
      <c r="I700" s="62"/>
    </row>
    <row r="701">
      <c r="H701" s="47"/>
      <c r="I701" s="62"/>
    </row>
    <row r="702">
      <c r="H702" s="47"/>
      <c r="I702" s="62"/>
    </row>
    <row r="703">
      <c r="H703" s="47"/>
      <c r="I703" s="62"/>
    </row>
    <row r="704">
      <c r="H704" s="47"/>
      <c r="I704" s="62"/>
    </row>
    <row r="705">
      <c r="H705" s="47"/>
      <c r="I705" s="62"/>
    </row>
    <row r="706">
      <c r="H706" s="47"/>
      <c r="I706" s="62"/>
    </row>
    <row r="707">
      <c r="H707" s="47"/>
      <c r="I707" s="62"/>
    </row>
    <row r="708">
      <c r="H708" s="47"/>
      <c r="I708" s="62"/>
    </row>
    <row r="709">
      <c r="H709" s="47"/>
      <c r="I709" s="62"/>
    </row>
    <row r="710">
      <c r="H710" s="47"/>
      <c r="I710" s="62"/>
    </row>
    <row r="711">
      <c r="H711" s="47"/>
      <c r="I711" s="62"/>
    </row>
    <row r="712">
      <c r="H712" s="47"/>
      <c r="I712" s="62"/>
    </row>
    <row r="713">
      <c r="H713" s="47"/>
      <c r="I713" s="62"/>
    </row>
    <row r="714">
      <c r="H714" s="47"/>
      <c r="I714" s="62"/>
    </row>
    <row r="715">
      <c r="H715" s="47"/>
      <c r="I715" s="62"/>
    </row>
    <row r="716">
      <c r="H716" s="47"/>
      <c r="I716" s="62"/>
    </row>
    <row r="717">
      <c r="H717" s="47"/>
      <c r="I717" s="62"/>
    </row>
    <row r="718">
      <c r="H718" s="47"/>
      <c r="I718" s="62"/>
    </row>
    <row r="719">
      <c r="H719" s="47"/>
      <c r="I719" s="62"/>
    </row>
    <row r="720">
      <c r="H720" s="47"/>
      <c r="I720" s="62"/>
    </row>
    <row r="721">
      <c r="H721" s="47"/>
      <c r="I721" s="62"/>
    </row>
    <row r="722">
      <c r="H722" s="47"/>
      <c r="I722" s="62"/>
    </row>
    <row r="723">
      <c r="H723" s="47"/>
      <c r="I723" s="62"/>
    </row>
    <row r="724">
      <c r="H724" s="47"/>
      <c r="I724" s="62"/>
    </row>
    <row r="725">
      <c r="H725" s="47"/>
      <c r="I725" s="62"/>
    </row>
    <row r="726">
      <c r="H726" s="47"/>
      <c r="I726" s="62"/>
    </row>
    <row r="727">
      <c r="H727" s="47"/>
      <c r="I727" s="62"/>
    </row>
    <row r="728">
      <c r="H728" s="47"/>
      <c r="I728" s="62"/>
    </row>
    <row r="729">
      <c r="H729" s="47"/>
      <c r="I729" s="62"/>
    </row>
    <row r="730">
      <c r="H730" s="47"/>
      <c r="I730" s="62"/>
    </row>
    <row r="731">
      <c r="H731" s="47"/>
      <c r="I731" s="62"/>
    </row>
    <row r="732">
      <c r="H732" s="47"/>
      <c r="I732" s="62"/>
    </row>
    <row r="733">
      <c r="H733" s="47"/>
      <c r="I733" s="62"/>
    </row>
    <row r="734">
      <c r="H734" s="47"/>
      <c r="I734" s="62"/>
    </row>
    <row r="735">
      <c r="H735" s="47"/>
      <c r="I735" s="62"/>
    </row>
    <row r="736">
      <c r="H736" s="47"/>
      <c r="I736" s="62"/>
    </row>
    <row r="737">
      <c r="H737" s="47"/>
      <c r="I737" s="62"/>
    </row>
    <row r="738">
      <c r="H738" s="47"/>
      <c r="I738" s="62"/>
    </row>
    <row r="739">
      <c r="H739" s="47"/>
      <c r="I739" s="62"/>
    </row>
    <row r="740">
      <c r="H740" s="47"/>
      <c r="I740" s="62"/>
    </row>
    <row r="741">
      <c r="H741" s="47"/>
      <c r="I741" s="62"/>
    </row>
    <row r="742">
      <c r="H742" s="47"/>
      <c r="I742" s="62"/>
    </row>
    <row r="743">
      <c r="H743" s="47"/>
      <c r="I743" s="62"/>
    </row>
    <row r="744">
      <c r="H744" s="47"/>
      <c r="I744" s="62"/>
    </row>
    <row r="745">
      <c r="H745" s="47"/>
      <c r="I745" s="62"/>
    </row>
    <row r="746">
      <c r="H746" s="47"/>
      <c r="I746" s="62"/>
    </row>
    <row r="747">
      <c r="H747" s="47"/>
      <c r="I747" s="62"/>
    </row>
    <row r="748">
      <c r="H748" s="47"/>
      <c r="I748" s="62"/>
    </row>
    <row r="749">
      <c r="H749" s="47"/>
      <c r="I749" s="62"/>
    </row>
    <row r="750">
      <c r="H750" s="47"/>
      <c r="I750" s="62"/>
    </row>
    <row r="751">
      <c r="H751" s="47"/>
      <c r="I751" s="62"/>
    </row>
    <row r="752">
      <c r="H752" s="47"/>
      <c r="I752" s="62"/>
    </row>
    <row r="753">
      <c r="H753" s="47"/>
      <c r="I753" s="62"/>
    </row>
    <row r="754">
      <c r="H754" s="47"/>
      <c r="I754" s="62"/>
    </row>
    <row r="755">
      <c r="H755" s="47"/>
      <c r="I755" s="62"/>
    </row>
    <row r="756">
      <c r="H756" s="47"/>
      <c r="I756" s="62"/>
    </row>
    <row r="757">
      <c r="H757" s="47"/>
      <c r="I757" s="62"/>
    </row>
    <row r="758">
      <c r="H758" s="47"/>
      <c r="I758" s="62"/>
    </row>
    <row r="759">
      <c r="H759" s="47"/>
      <c r="I759" s="62"/>
    </row>
    <row r="760">
      <c r="H760" s="47"/>
      <c r="I760" s="62"/>
    </row>
    <row r="761">
      <c r="H761" s="47"/>
      <c r="I761" s="62"/>
    </row>
    <row r="762">
      <c r="H762" s="47"/>
      <c r="I762" s="62"/>
    </row>
    <row r="763">
      <c r="H763" s="47"/>
      <c r="I763" s="62"/>
    </row>
    <row r="764">
      <c r="H764" s="47"/>
      <c r="I764" s="62"/>
    </row>
    <row r="765">
      <c r="H765" s="47"/>
      <c r="I765" s="62"/>
    </row>
    <row r="766">
      <c r="H766" s="47"/>
      <c r="I766" s="62"/>
    </row>
    <row r="767">
      <c r="H767" s="47"/>
      <c r="I767" s="62"/>
    </row>
    <row r="768">
      <c r="H768" s="47"/>
      <c r="I768" s="62"/>
    </row>
    <row r="769">
      <c r="H769" s="47"/>
      <c r="I769" s="62"/>
    </row>
    <row r="770">
      <c r="H770" s="47"/>
      <c r="I770" s="62"/>
    </row>
    <row r="771">
      <c r="H771" s="47"/>
      <c r="I771" s="62"/>
    </row>
    <row r="772">
      <c r="H772" s="47"/>
      <c r="I772" s="62"/>
    </row>
    <row r="773">
      <c r="H773" s="47"/>
      <c r="I773" s="62"/>
    </row>
    <row r="774">
      <c r="H774" s="47"/>
      <c r="I774" s="62"/>
    </row>
    <row r="775">
      <c r="H775" s="47"/>
      <c r="I775" s="62"/>
    </row>
    <row r="776">
      <c r="H776" s="47"/>
      <c r="I776" s="62"/>
    </row>
    <row r="777">
      <c r="H777" s="47"/>
      <c r="I777" s="62"/>
    </row>
    <row r="778">
      <c r="H778" s="47"/>
      <c r="I778" s="62"/>
    </row>
    <row r="779">
      <c r="H779" s="47"/>
      <c r="I779" s="62"/>
    </row>
    <row r="780">
      <c r="H780" s="47"/>
      <c r="I780" s="62"/>
    </row>
    <row r="781">
      <c r="H781" s="47"/>
      <c r="I781" s="62"/>
    </row>
    <row r="782">
      <c r="H782" s="47"/>
      <c r="I782" s="62"/>
    </row>
    <row r="783">
      <c r="H783" s="47"/>
      <c r="I783" s="62"/>
    </row>
    <row r="784">
      <c r="H784" s="47"/>
      <c r="I784" s="62"/>
    </row>
    <row r="785">
      <c r="H785" s="47"/>
      <c r="I785" s="62"/>
    </row>
    <row r="786">
      <c r="H786" s="47"/>
      <c r="I786" s="62"/>
    </row>
    <row r="787">
      <c r="H787" s="47"/>
      <c r="I787" s="62"/>
    </row>
    <row r="788">
      <c r="H788" s="47"/>
      <c r="I788" s="62"/>
    </row>
    <row r="789">
      <c r="H789" s="47"/>
      <c r="I789" s="62"/>
    </row>
    <row r="790">
      <c r="H790" s="47"/>
      <c r="I790" s="62"/>
    </row>
    <row r="791">
      <c r="H791" s="47"/>
      <c r="I791" s="62"/>
    </row>
    <row r="792">
      <c r="H792" s="47"/>
      <c r="I792" s="62"/>
    </row>
    <row r="793">
      <c r="H793" s="47"/>
      <c r="I793" s="62"/>
    </row>
    <row r="794">
      <c r="H794" s="47"/>
      <c r="I794" s="62"/>
    </row>
    <row r="795">
      <c r="H795" s="47"/>
      <c r="I795" s="62"/>
    </row>
    <row r="796">
      <c r="H796" s="47"/>
      <c r="I796" s="62"/>
    </row>
    <row r="797">
      <c r="H797" s="47"/>
      <c r="I797" s="62"/>
    </row>
    <row r="798">
      <c r="H798" s="47"/>
      <c r="I798" s="62"/>
    </row>
    <row r="799">
      <c r="H799" s="47"/>
      <c r="I799" s="62"/>
    </row>
    <row r="800">
      <c r="H800" s="47"/>
      <c r="I800" s="62"/>
    </row>
    <row r="801">
      <c r="H801" s="47"/>
      <c r="I801" s="62"/>
    </row>
    <row r="802">
      <c r="H802" s="47"/>
      <c r="I802" s="62"/>
    </row>
    <row r="803">
      <c r="H803" s="47"/>
      <c r="I803" s="62"/>
    </row>
    <row r="804">
      <c r="H804" s="47"/>
      <c r="I804" s="62"/>
    </row>
    <row r="805">
      <c r="H805" s="47"/>
      <c r="I805" s="62"/>
    </row>
    <row r="806">
      <c r="H806" s="47"/>
      <c r="I806" s="62"/>
    </row>
    <row r="807">
      <c r="H807" s="47"/>
      <c r="I807" s="62"/>
    </row>
    <row r="808">
      <c r="H808" s="47"/>
      <c r="I808" s="62"/>
    </row>
    <row r="809">
      <c r="H809" s="47"/>
      <c r="I809" s="62"/>
    </row>
    <row r="810">
      <c r="H810" s="47"/>
      <c r="I810" s="62"/>
    </row>
    <row r="811">
      <c r="H811" s="47"/>
      <c r="I811" s="62"/>
    </row>
    <row r="812">
      <c r="H812" s="47"/>
      <c r="I812" s="62"/>
    </row>
    <row r="813">
      <c r="H813" s="47"/>
      <c r="I813" s="62"/>
    </row>
    <row r="814">
      <c r="H814" s="47"/>
      <c r="I814" s="62"/>
    </row>
    <row r="815">
      <c r="H815" s="47"/>
      <c r="I815" s="62"/>
    </row>
    <row r="816">
      <c r="H816" s="47"/>
      <c r="I816" s="62"/>
    </row>
    <row r="817">
      <c r="H817" s="47"/>
      <c r="I817" s="62"/>
    </row>
    <row r="818">
      <c r="H818" s="47"/>
      <c r="I818" s="62"/>
    </row>
    <row r="819">
      <c r="H819" s="47"/>
      <c r="I819" s="62"/>
    </row>
    <row r="820">
      <c r="H820" s="47"/>
      <c r="I820" s="62"/>
    </row>
    <row r="821">
      <c r="H821" s="47"/>
      <c r="I821" s="62"/>
    </row>
    <row r="822">
      <c r="H822" s="47"/>
      <c r="I822" s="62"/>
    </row>
    <row r="823">
      <c r="H823" s="47"/>
      <c r="I823" s="62"/>
    </row>
    <row r="824">
      <c r="H824" s="47"/>
      <c r="I824" s="62"/>
    </row>
    <row r="825">
      <c r="H825" s="47"/>
      <c r="I825" s="62"/>
    </row>
    <row r="826">
      <c r="H826" s="47"/>
      <c r="I826" s="62"/>
    </row>
    <row r="827">
      <c r="H827" s="47"/>
      <c r="I827" s="62"/>
    </row>
    <row r="828">
      <c r="H828" s="47"/>
      <c r="I828" s="62"/>
    </row>
    <row r="829">
      <c r="H829" s="47"/>
      <c r="I829" s="62"/>
    </row>
    <row r="830">
      <c r="H830" s="47"/>
      <c r="I830" s="62"/>
    </row>
    <row r="831">
      <c r="H831" s="47"/>
      <c r="I831" s="62"/>
    </row>
    <row r="832">
      <c r="H832" s="47"/>
      <c r="I832" s="62"/>
    </row>
    <row r="833">
      <c r="H833" s="47"/>
      <c r="I833" s="62"/>
    </row>
    <row r="834">
      <c r="H834" s="47"/>
      <c r="I834" s="62"/>
    </row>
    <row r="835">
      <c r="H835" s="47"/>
      <c r="I835" s="62"/>
    </row>
    <row r="836">
      <c r="H836" s="47"/>
      <c r="I836" s="62"/>
    </row>
    <row r="837">
      <c r="H837" s="47"/>
      <c r="I837" s="62"/>
    </row>
    <row r="838">
      <c r="H838" s="47"/>
      <c r="I838" s="62"/>
    </row>
    <row r="839">
      <c r="H839" s="47"/>
      <c r="I839" s="62"/>
    </row>
    <row r="840">
      <c r="H840" s="47"/>
      <c r="I840" s="62"/>
    </row>
    <row r="841">
      <c r="H841" s="47"/>
      <c r="I841" s="62"/>
    </row>
    <row r="842">
      <c r="H842" s="47"/>
      <c r="I842" s="62"/>
    </row>
    <row r="843">
      <c r="H843" s="47"/>
      <c r="I843" s="62"/>
    </row>
    <row r="844">
      <c r="H844" s="47"/>
      <c r="I844" s="62"/>
    </row>
    <row r="845">
      <c r="H845" s="47"/>
      <c r="I845" s="62"/>
    </row>
    <row r="846">
      <c r="H846" s="47"/>
      <c r="I846" s="62"/>
    </row>
    <row r="847">
      <c r="H847" s="47"/>
      <c r="I847" s="62"/>
    </row>
    <row r="848">
      <c r="H848" s="47"/>
      <c r="I848" s="62"/>
    </row>
    <row r="849">
      <c r="H849" s="47"/>
      <c r="I849" s="62"/>
    </row>
    <row r="850">
      <c r="H850" s="47"/>
      <c r="I850" s="62"/>
    </row>
    <row r="851">
      <c r="H851" s="47"/>
      <c r="I851" s="62"/>
    </row>
    <row r="852">
      <c r="H852" s="47"/>
      <c r="I852" s="62"/>
    </row>
    <row r="853">
      <c r="H853" s="47"/>
      <c r="I853" s="62"/>
    </row>
    <row r="854">
      <c r="H854" s="47"/>
      <c r="I854" s="62"/>
    </row>
    <row r="855">
      <c r="H855" s="47"/>
      <c r="I855" s="62"/>
    </row>
    <row r="856">
      <c r="H856" s="47"/>
      <c r="I856" s="62"/>
    </row>
    <row r="857">
      <c r="H857" s="47"/>
      <c r="I857" s="62"/>
    </row>
    <row r="858">
      <c r="H858" s="47"/>
      <c r="I858" s="62"/>
    </row>
    <row r="859">
      <c r="H859" s="47"/>
      <c r="I859" s="62"/>
    </row>
    <row r="860">
      <c r="H860" s="47"/>
      <c r="I860" s="62"/>
    </row>
    <row r="861">
      <c r="H861" s="47"/>
      <c r="I861" s="62"/>
    </row>
    <row r="862">
      <c r="H862" s="47"/>
      <c r="I862" s="62"/>
    </row>
    <row r="863">
      <c r="H863" s="47"/>
      <c r="I863" s="62"/>
    </row>
    <row r="864">
      <c r="H864" s="47"/>
      <c r="I864" s="62"/>
    </row>
    <row r="865">
      <c r="H865" s="47"/>
      <c r="I865" s="62"/>
    </row>
    <row r="866">
      <c r="H866" s="47"/>
      <c r="I866" s="62"/>
    </row>
    <row r="867">
      <c r="H867" s="47"/>
      <c r="I867" s="62"/>
    </row>
    <row r="868">
      <c r="H868" s="47"/>
      <c r="I868" s="62"/>
    </row>
    <row r="869">
      <c r="H869" s="47"/>
      <c r="I869" s="62"/>
    </row>
    <row r="870">
      <c r="H870" s="47"/>
      <c r="I870" s="62"/>
    </row>
    <row r="871">
      <c r="H871" s="47"/>
      <c r="I871" s="62"/>
    </row>
    <row r="872">
      <c r="H872" s="47"/>
      <c r="I872" s="62"/>
    </row>
    <row r="873">
      <c r="H873" s="47"/>
      <c r="I873" s="62"/>
    </row>
    <row r="874">
      <c r="H874" s="47"/>
      <c r="I874" s="62"/>
    </row>
    <row r="875">
      <c r="H875" s="47"/>
      <c r="I875" s="62"/>
    </row>
    <row r="876">
      <c r="H876" s="47"/>
      <c r="I876" s="62"/>
    </row>
    <row r="877">
      <c r="H877" s="47"/>
      <c r="I877" s="62"/>
    </row>
    <row r="878">
      <c r="H878" s="47"/>
      <c r="I878" s="62"/>
    </row>
    <row r="879">
      <c r="H879" s="47"/>
      <c r="I879" s="62"/>
    </row>
    <row r="880">
      <c r="H880" s="47"/>
      <c r="I880" s="62"/>
    </row>
    <row r="881">
      <c r="H881" s="47"/>
      <c r="I881" s="62"/>
    </row>
    <row r="882">
      <c r="H882" s="47"/>
      <c r="I882" s="62"/>
    </row>
    <row r="883">
      <c r="H883" s="47"/>
      <c r="I883" s="62"/>
    </row>
    <row r="884">
      <c r="H884" s="47"/>
      <c r="I884" s="62"/>
    </row>
    <row r="885">
      <c r="H885" s="47"/>
      <c r="I885" s="62"/>
    </row>
    <row r="886">
      <c r="H886" s="47"/>
      <c r="I886" s="62"/>
    </row>
    <row r="887">
      <c r="H887" s="47"/>
      <c r="I887" s="62"/>
    </row>
    <row r="888">
      <c r="H888" s="47"/>
      <c r="I888" s="62"/>
    </row>
    <row r="889">
      <c r="H889" s="47"/>
      <c r="I889" s="62"/>
    </row>
    <row r="890">
      <c r="H890" s="47"/>
      <c r="I890" s="62"/>
    </row>
    <row r="891">
      <c r="H891" s="47"/>
      <c r="I891" s="62"/>
    </row>
    <row r="892">
      <c r="H892" s="47"/>
      <c r="I892" s="62"/>
    </row>
    <row r="893">
      <c r="H893" s="47"/>
      <c r="I893" s="62"/>
    </row>
    <row r="894">
      <c r="H894" s="47"/>
      <c r="I894" s="62"/>
    </row>
    <row r="895">
      <c r="H895" s="47"/>
      <c r="I895" s="62"/>
    </row>
    <row r="896">
      <c r="H896" s="47"/>
      <c r="I896" s="62"/>
    </row>
    <row r="897">
      <c r="H897" s="47"/>
      <c r="I897" s="62"/>
    </row>
    <row r="898">
      <c r="H898" s="47"/>
      <c r="I898" s="62"/>
    </row>
    <row r="899">
      <c r="H899" s="47"/>
      <c r="I899" s="62"/>
    </row>
    <row r="900">
      <c r="H900" s="47"/>
      <c r="I900" s="62"/>
    </row>
    <row r="901">
      <c r="H901" s="47"/>
      <c r="I901" s="62"/>
    </row>
    <row r="902">
      <c r="H902" s="47"/>
      <c r="I902" s="62"/>
    </row>
    <row r="903">
      <c r="H903" s="47"/>
      <c r="I903" s="62"/>
    </row>
    <row r="904">
      <c r="H904" s="47"/>
      <c r="I904" s="62"/>
    </row>
    <row r="905">
      <c r="H905" s="47"/>
      <c r="I905" s="62"/>
    </row>
    <row r="906">
      <c r="H906" s="47"/>
      <c r="I906" s="62"/>
    </row>
    <row r="907">
      <c r="H907" s="47"/>
      <c r="I907" s="62"/>
    </row>
    <row r="908">
      <c r="H908" s="47"/>
      <c r="I908" s="62"/>
    </row>
    <row r="909">
      <c r="H909" s="47"/>
      <c r="I909" s="62"/>
    </row>
    <row r="910">
      <c r="H910" s="47"/>
      <c r="I910" s="62"/>
    </row>
    <row r="911">
      <c r="H911" s="47"/>
      <c r="I911" s="62"/>
    </row>
    <row r="912">
      <c r="H912" s="47"/>
      <c r="I912" s="62"/>
    </row>
    <row r="913">
      <c r="H913" s="47"/>
      <c r="I913" s="62"/>
    </row>
    <row r="914">
      <c r="H914" s="47"/>
      <c r="I914" s="62"/>
    </row>
    <row r="915">
      <c r="H915" s="47"/>
      <c r="I915" s="62"/>
    </row>
    <row r="916">
      <c r="H916" s="47"/>
      <c r="I916" s="62"/>
    </row>
    <row r="917">
      <c r="H917" s="47"/>
      <c r="I917" s="62"/>
    </row>
    <row r="918">
      <c r="H918" s="47"/>
      <c r="I918" s="62"/>
    </row>
    <row r="919">
      <c r="H919" s="47"/>
      <c r="I919" s="62"/>
    </row>
    <row r="920">
      <c r="H920" s="47"/>
      <c r="I920" s="62"/>
    </row>
    <row r="921">
      <c r="H921" s="47"/>
      <c r="I921" s="62"/>
    </row>
    <row r="922">
      <c r="H922" s="47"/>
      <c r="I922" s="62"/>
    </row>
    <row r="923">
      <c r="H923" s="47"/>
      <c r="I923" s="62"/>
    </row>
    <row r="924">
      <c r="H924" s="47"/>
      <c r="I924" s="62"/>
    </row>
    <row r="925">
      <c r="H925" s="47"/>
      <c r="I925" s="62"/>
    </row>
    <row r="926">
      <c r="H926" s="47"/>
      <c r="I926" s="62"/>
    </row>
    <row r="927">
      <c r="H927" s="47"/>
      <c r="I927" s="62"/>
    </row>
    <row r="928">
      <c r="H928" s="47"/>
      <c r="I928" s="62"/>
    </row>
    <row r="929">
      <c r="H929" s="47"/>
      <c r="I929" s="62"/>
    </row>
    <row r="930">
      <c r="H930" s="47"/>
      <c r="I930" s="62"/>
    </row>
    <row r="931">
      <c r="H931" s="47"/>
      <c r="I931" s="62"/>
    </row>
    <row r="932">
      <c r="H932" s="47"/>
      <c r="I932" s="62"/>
    </row>
    <row r="933">
      <c r="H933" s="47"/>
      <c r="I933" s="62"/>
    </row>
    <row r="934">
      <c r="H934" s="47"/>
      <c r="I934" s="62"/>
    </row>
    <row r="935">
      <c r="H935" s="47"/>
      <c r="I935" s="62"/>
    </row>
    <row r="936">
      <c r="H936" s="47"/>
      <c r="I936" s="62"/>
    </row>
    <row r="937">
      <c r="H937" s="47"/>
      <c r="I937" s="62"/>
    </row>
    <row r="938">
      <c r="H938" s="47"/>
      <c r="I938" s="62"/>
    </row>
    <row r="939">
      <c r="H939" s="47"/>
      <c r="I939" s="62"/>
    </row>
    <row r="940">
      <c r="H940" s="47"/>
      <c r="I940" s="62"/>
    </row>
    <row r="941">
      <c r="H941" s="47"/>
      <c r="I941" s="62"/>
    </row>
    <row r="942">
      <c r="H942" s="47"/>
      <c r="I942" s="62"/>
    </row>
    <row r="943">
      <c r="H943" s="47"/>
      <c r="I943" s="62"/>
    </row>
    <row r="944">
      <c r="H944" s="47"/>
      <c r="I944" s="62"/>
    </row>
    <row r="945">
      <c r="H945" s="47"/>
      <c r="I945" s="62"/>
    </row>
    <row r="946">
      <c r="H946" s="47"/>
      <c r="I946" s="62"/>
    </row>
    <row r="947">
      <c r="H947" s="47"/>
      <c r="I947" s="62"/>
    </row>
    <row r="948">
      <c r="H948" s="47"/>
      <c r="I948" s="62"/>
    </row>
    <row r="949">
      <c r="H949" s="47"/>
      <c r="I949" s="62"/>
    </row>
    <row r="950">
      <c r="H950" s="47"/>
      <c r="I950" s="62"/>
    </row>
    <row r="951">
      <c r="H951" s="47"/>
      <c r="I951" s="62"/>
    </row>
    <row r="952">
      <c r="H952" s="47"/>
      <c r="I952" s="62"/>
    </row>
    <row r="953">
      <c r="H953" s="47"/>
      <c r="I953" s="62"/>
    </row>
    <row r="954">
      <c r="H954" s="47"/>
      <c r="I954" s="62"/>
    </row>
    <row r="955">
      <c r="H955" s="47"/>
      <c r="I955" s="62"/>
    </row>
    <row r="956">
      <c r="H956" s="47"/>
      <c r="I956" s="62"/>
    </row>
    <row r="957">
      <c r="H957" s="47"/>
      <c r="I957" s="62"/>
    </row>
    <row r="958">
      <c r="H958" s="47"/>
      <c r="I958" s="62"/>
    </row>
    <row r="959">
      <c r="H959" s="47"/>
      <c r="I959" s="62"/>
    </row>
    <row r="960">
      <c r="H960" s="47"/>
      <c r="I960" s="62"/>
    </row>
    <row r="961">
      <c r="H961" s="47"/>
      <c r="I961" s="62"/>
    </row>
    <row r="962">
      <c r="H962" s="47"/>
      <c r="I962" s="62"/>
    </row>
    <row r="963">
      <c r="H963" s="47"/>
      <c r="I963" s="62"/>
    </row>
    <row r="964">
      <c r="H964" s="47"/>
      <c r="I964" s="62"/>
    </row>
    <row r="965">
      <c r="H965" s="47"/>
      <c r="I965" s="62"/>
    </row>
    <row r="966">
      <c r="H966" s="47"/>
      <c r="I966" s="62"/>
    </row>
    <row r="967">
      <c r="H967" s="47"/>
      <c r="I967" s="62"/>
    </row>
    <row r="968">
      <c r="H968" s="47"/>
      <c r="I968" s="62"/>
    </row>
    <row r="969">
      <c r="H969" s="47"/>
      <c r="I969" s="62"/>
    </row>
    <row r="970">
      <c r="H970" s="47"/>
      <c r="I970" s="62"/>
    </row>
    <row r="971">
      <c r="H971" s="47"/>
      <c r="I971" s="62"/>
    </row>
    <row r="972">
      <c r="H972" s="47"/>
      <c r="I972" s="62"/>
    </row>
    <row r="973">
      <c r="H973" s="47"/>
      <c r="I973" s="62"/>
    </row>
    <row r="974">
      <c r="H974" s="47"/>
      <c r="I974" s="62"/>
    </row>
    <row r="975">
      <c r="H975" s="47"/>
      <c r="I975" s="62"/>
    </row>
    <row r="976">
      <c r="H976" s="47"/>
      <c r="I976" s="62"/>
    </row>
    <row r="977">
      <c r="H977" s="47"/>
      <c r="I977" s="62"/>
    </row>
    <row r="978">
      <c r="H978" s="47"/>
      <c r="I978" s="62"/>
    </row>
    <row r="979">
      <c r="H979" s="47"/>
      <c r="I979" s="62"/>
    </row>
    <row r="980">
      <c r="H980" s="47"/>
      <c r="I980" s="62"/>
    </row>
    <row r="981">
      <c r="H981" s="47"/>
      <c r="I981" s="62"/>
    </row>
    <row r="982">
      <c r="H982" s="47"/>
      <c r="I982" s="62"/>
    </row>
    <row r="983">
      <c r="H983" s="47"/>
      <c r="I983" s="62"/>
    </row>
    <row r="984">
      <c r="H984" s="47"/>
      <c r="I984" s="62"/>
    </row>
    <row r="985">
      <c r="H985" s="47"/>
      <c r="I985" s="62"/>
    </row>
    <row r="986">
      <c r="H986" s="47"/>
      <c r="I986" s="62"/>
    </row>
    <row r="987">
      <c r="H987" s="47"/>
      <c r="I987" s="62"/>
    </row>
    <row r="988">
      <c r="H988" s="47"/>
      <c r="I988" s="62"/>
    </row>
    <row r="989">
      <c r="H989" s="47"/>
      <c r="I989" s="62"/>
    </row>
    <row r="990">
      <c r="H990" s="47"/>
      <c r="I990" s="62"/>
    </row>
    <row r="991">
      <c r="H991" s="47"/>
      <c r="I991" s="62"/>
    </row>
    <row r="992">
      <c r="H992" s="47"/>
      <c r="I992" s="62"/>
    </row>
    <row r="993">
      <c r="H993" s="47"/>
      <c r="I993" s="62"/>
    </row>
    <row r="994">
      <c r="H994" s="47"/>
      <c r="I994" s="62"/>
    </row>
    <row r="995">
      <c r="H995" s="47"/>
      <c r="I995" s="62"/>
    </row>
    <row r="996">
      <c r="H996" s="47"/>
      <c r="I996" s="62"/>
    </row>
    <row r="997">
      <c r="H997" s="47"/>
      <c r="I997" s="62"/>
    </row>
    <row r="998">
      <c r="H998" s="47"/>
      <c r="I998" s="62"/>
    </row>
    <row r="999">
      <c r="H999" s="47"/>
      <c r="I999" s="62"/>
    </row>
    <row r="1000">
      <c r="H1000" s="47"/>
      <c r="I1000" s="62"/>
    </row>
    <row r="1001">
      <c r="H1001" s="47"/>
      <c r="I1001" s="62"/>
    </row>
    <row r="1002">
      <c r="H1002" s="47"/>
      <c r="I1002" s="62"/>
    </row>
    <row r="1003">
      <c r="H1003" s="47"/>
      <c r="I1003" s="62"/>
    </row>
    <row r="1004">
      <c r="H1004" s="47"/>
      <c r="I1004" s="62"/>
    </row>
    <row r="1005">
      <c r="H1005" s="47"/>
      <c r="I1005" s="62"/>
    </row>
    <row r="1006">
      <c r="H1006" s="47"/>
      <c r="I1006" s="62"/>
    </row>
    <row r="1007">
      <c r="H1007" s="47"/>
      <c r="I1007" s="62"/>
    </row>
    <row r="1008">
      <c r="H1008" s="47"/>
      <c r="I1008" s="62"/>
    </row>
    <row r="1009">
      <c r="H1009" s="47"/>
      <c r="I1009" s="62"/>
    </row>
    <row r="1010">
      <c r="H1010" s="47"/>
      <c r="I1010" s="62"/>
    </row>
    <row r="1011">
      <c r="H1011" s="47"/>
      <c r="I1011" s="62"/>
    </row>
    <row r="1012">
      <c r="H1012" s="47"/>
      <c r="I1012" s="62"/>
    </row>
    <row r="1013">
      <c r="H1013" s="47"/>
      <c r="I1013" s="62"/>
    </row>
    <row r="1014">
      <c r="H1014" s="47"/>
      <c r="I1014" s="62"/>
    </row>
    <row r="1015">
      <c r="H1015" s="47"/>
      <c r="I1015" s="62"/>
    </row>
    <row r="1016">
      <c r="H1016" s="47"/>
      <c r="I1016" s="62"/>
    </row>
    <row r="1017">
      <c r="H1017" s="47"/>
      <c r="I1017" s="62"/>
    </row>
    <row r="1018">
      <c r="H1018" s="47"/>
      <c r="I1018" s="62"/>
    </row>
    <row r="1019">
      <c r="H1019" s="47"/>
      <c r="I1019" s="62"/>
    </row>
    <row r="1020">
      <c r="H1020" s="47"/>
      <c r="I1020" s="62"/>
    </row>
    <row r="1021">
      <c r="H1021" s="47"/>
      <c r="I1021" s="62"/>
    </row>
    <row r="1022">
      <c r="H1022" s="47"/>
      <c r="I1022" s="62"/>
    </row>
    <row r="1023">
      <c r="H1023" s="47"/>
      <c r="I1023" s="62"/>
    </row>
    <row r="1024">
      <c r="H1024" s="47"/>
      <c r="I1024" s="62"/>
    </row>
    <row r="1025">
      <c r="H1025" s="47"/>
      <c r="I1025" s="62"/>
    </row>
    <row r="1026">
      <c r="H1026" s="47"/>
      <c r="I1026" s="62"/>
    </row>
    <row r="1027">
      <c r="H1027" s="47"/>
      <c r="I1027" s="62"/>
    </row>
    <row r="1028">
      <c r="H1028" s="47"/>
      <c r="I1028" s="62"/>
    </row>
    <row r="1029">
      <c r="H1029" s="47"/>
      <c r="I1029" s="62"/>
    </row>
    <row r="1030">
      <c r="H1030" s="47"/>
      <c r="I1030" s="62"/>
    </row>
    <row r="1031">
      <c r="H1031" s="47"/>
      <c r="I1031" s="62"/>
    </row>
    <row r="1032">
      <c r="H1032" s="47"/>
      <c r="I1032" s="62"/>
    </row>
    <row r="1033">
      <c r="H1033" s="47"/>
      <c r="I1033" s="62"/>
    </row>
    <row r="1034">
      <c r="H1034" s="47"/>
      <c r="I1034" s="62"/>
    </row>
    <row r="1035">
      <c r="H1035" s="47"/>
      <c r="I1035" s="62"/>
    </row>
    <row r="1036">
      <c r="H1036" s="47"/>
      <c r="I1036" s="62"/>
    </row>
    <row r="1037">
      <c r="H1037" s="47"/>
      <c r="I1037" s="62"/>
    </row>
    <row r="1038">
      <c r="H1038" s="47"/>
      <c r="I1038" s="62"/>
    </row>
    <row r="1039">
      <c r="H1039" s="47"/>
      <c r="I1039" s="62"/>
    </row>
    <row r="1040">
      <c r="H1040" s="47"/>
      <c r="I1040" s="62"/>
    </row>
    <row r="1041">
      <c r="H1041" s="47"/>
      <c r="I1041" s="62"/>
    </row>
    <row r="1042">
      <c r="H1042" s="47"/>
      <c r="I1042" s="62"/>
    </row>
    <row r="1043">
      <c r="H1043" s="47"/>
      <c r="I1043" s="62"/>
    </row>
    <row r="1044">
      <c r="H1044" s="47"/>
      <c r="I1044" s="62"/>
    </row>
    <row r="1045">
      <c r="H1045" s="47"/>
      <c r="I1045" s="62"/>
    </row>
    <row r="1046">
      <c r="H1046" s="47"/>
      <c r="I1046" s="62"/>
    </row>
    <row r="1047">
      <c r="H1047" s="47"/>
      <c r="I1047" s="62"/>
    </row>
    <row r="1048">
      <c r="H1048" s="47"/>
      <c r="I1048" s="62"/>
    </row>
    <row r="1049">
      <c r="H1049" s="47"/>
      <c r="I1049" s="62"/>
    </row>
    <row r="1050">
      <c r="H1050" s="47"/>
      <c r="I1050" s="62"/>
    </row>
    <row r="1051">
      <c r="H1051" s="47"/>
      <c r="I1051" s="62"/>
    </row>
    <row r="1052">
      <c r="H1052" s="47"/>
      <c r="I1052" s="62"/>
    </row>
    <row r="1053">
      <c r="H1053" s="47"/>
      <c r="I1053" s="62"/>
    </row>
    <row r="1054">
      <c r="H1054" s="47"/>
      <c r="I1054" s="62"/>
    </row>
    <row r="1055">
      <c r="H1055" s="47"/>
      <c r="I1055" s="62"/>
    </row>
    <row r="1056">
      <c r="H1056" s="47"/>
      <c r="I1056" s="62"/>
    </row>
    <row r="1057">
      <c r="H1057" s="47"/>
      <c r="I1057" s="62"/>
    </row>
    <row r="1058">
      <c r="H1058" s="47"/>
      <c r="I1058" s="62"/>
    </row>
    <row r="1059">
      <c r="H1059" s="47"/>
      <c r="I1059" s="62"/>
    </row>
    <row r="1060">
      <c r="H1060" s="47"/>
      <c r="I1060" s="62"/>
    </row>
    <row r="1061">
      <c r="H1061" s="47"/>
      <c r="I1061" s="62"/>
    </row>
    <row r="1062">
      <c r="H1062" s="47"/>
    </row>
    <row r="1063">
      <c r="H1063" s="47"/>
    </row>
    <row r="1064">
      <c r="H1064" s="47"/>
    </row>
    <row r="1065">
      <c r="H1065" s="47"/>
    </row>
    <row r="1066">
      <c r="H1066" s="47"/>
    </row>
    <row r="1067">
      <c r="H1067" s="47"/>
    </row>
    <row r="1068">
      <c r="H1068" s="47"/>
    </row>
    <row r="1069">
      <c r="H1069" s="47"/>
    </row>
    <row r="1070">
      <c r="H1070" s="47"/>
    </row>
    <row r="1071">
      <c r="H1071" s="47"/>
    </row>
    <row r="1072">
      <c r="H1072" s="47"/>
    </row>
    <row r="1073">
      <c r="H1073" s="47"/>
    </row>
    <row r="1074">
      <c r="H1074" s="47"/>
    </row>
    <row r="1075">
      <c r="H1075" s="47"/>
    </row>
    <row r="1076">
      <c r="H1076" s="47"/>
    </row>
    <row r="1077">
      <c r="H1077" s="47"/>
    </row>
    <row r="1078">
      <c r="H1078" s="47"/>
    </row>
    <row r="1079">
      <c r="H1079" s="47"/>
    </row>
    <row r="1080">
      <c r="H1080" s="47"/>
    </row>
    <row r="1081">
      <c r="H1081" s="47"/>
    </row>
    <row r="1082">
      <c r="H1082" s="47"/>
    </row>
    <row r="1083">
      <c r="H1083" s="47"/>
    </row>
    <row r="1084">
      <c r="H1084" s="47"/>
    </row>
    <row r="1085">
      <c r="H1085" s="47"/>
    </row>
    <row r="1086">
      <c r="H1086" s="47"/>
    </row>
    <row r="1087">
      <c r="H1087" s="47"/>
    </row>
    <row r="1088">
      <c r="H1088" s="47"/>
    </row>
    <row r="1089">
      <c r="H1089" s="47"/>
    </row>
    <row r="1090">
      <c r="H1090" s="47"/>
    </row>
    <row r="1091">
      <c r="H1091" s="47"/>
    </row>
    <row r="1092">
      <c r="H1092" s="47"/>
    </row>
    <row r="1093">
      <c r="H1093" s="47"/>
    </row>
    <row r="1094">
      <c r="H1094" s="47"/>
    </row>
    <row r="1095">
      <c r="H1095" s="47"/>
    </row>
    <row r="1096">
      <c r="H1096" s="47"/>
    </row>
    <row r="1097">
      <c r="H1097" s="47"/>
    </row>
    <row r="1098">
      <c r="H1098" s="47"/>
    </row>
    <row r="1099">
      <c r="H1099" s="47"/>
    </row>
  </sheetData>
  <hyperlinks>
    <hyperlink r:id="rId2" location="gid=1683855733" ref="G3"/>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9.57"/>
    <col customWidth="1" min="2" max="2" width="20.86"/>
    <col customWidth="1" min="3" max="3" width="8.29"/>
    <col customWidth="1" min="4" max="4" width="41.29"/>
    <col customWidth="1" min="6" max="6" width="17.0"/>
    <col customWidth="1" min="7" max="7" width="70.71"/>
    <col customWidth="1" min="8" max="8" width="46.57"/>
    <col customWidth="1" min="9" max="9" width="7.43"/>
  </cols>
  <sheetData>
    <row r="1">
      <c r="A1" s="48" t="s">
        <v>180</v>
      </c>
      <c r="B1" s="20" t="s">
        <v>181</v>
      </c>
      <c r="C1" s="20" t="s">
        <v>182</v>
      </c>
      <c r="D1" s="20" t="s">
        <v>181</v>
      </c>
      <c r="E1" s="20" t="s">
        <v>206</v>
      </c>
      <c r="F1" s="48"/>
      <c r="G1" s="48" t="s">
        <v>183</v>
      </c>
      <c r="H1" s="20" t="s">
        <v>181</v>
      </c>
      <c r="I1" s="20" t="s">
        <v>34</v>
      </c>
    </row>
    <row r="2">
      <c r="A2" s="65" t="s">
        <v>331</v>
      </c>
      <c r="B2" s="50" t="s">
        <v>332</v>
      </c>
      <c r="C2" s="51">
        <v>-30.0</v>
      </c>
      <c r="D2" s="50" t="s">
        <v>333</v>
      </c>
      <c r="E2" s="51">
        <v>-30.0</v>
      </c>
      <c r="F2" s="52"/>
      <c r="G2" s="26" t="s">
        <v>185</v>
      </c>
      <c r="H2" s="53" t="s">
        <v>186</v>
      </c>
      <c r="I2" s="54">
        <v>-30.0</v>
      </c>
    </row>
    <row r="3">
      <c r="A3" s="55"/>
      <c r="B3" s="50" t="s">
        <v>334</v>
      </c>
      <c r="C3" s="51">
        <v>-15.0</v>
      </c>
      <c r="D3" s="50" t="s">
        <v>215</v>
      </c>
      <c r="E3" s="51">
        <v>-15.0</v>
      </c>
      <c r="G3" s="56" t="s">
        <v>188</v>
      </c>
      <c r="H3" s="57" t="s">
        <v>189</v>
      </c>
      <c r="I3" s="54">
        <v>-15.0</v>
      </c>
    </row>
    <row r="4">
      <c r="A4" s="55"/>
      <c r="B4" s="50" t="s">
        <v>187</v>
      </c>
      <c r="C4" s="58">
        <v>0.0</v>
      </c>
      <c r="D4" s="50" t="s">
        <v>335</v>
      </c>
      <c r="E4" s="58">
        <v>0.0</v>
      </c>
      <c r="G4" s="52"/>
      <c r="H4" s="53" t="s">
        <v>191</v>
      </c>
      <c r="I4" s="59">
        <v>0.0</v>
      </c>
    </row>
    <row r="5">
      <c r="A5" s="55"/>
      <c r="B5" s="50" t="s">
        <v>190</v>
      </c>
      <c r="C5" s="58">
        <v>15.0</v>
      </c>
      <c r="D5" s="50" t="s">
        <v>336</v>
      </c>
      <c r="E5" s="58">
        <v>15.0</v>
      </c>
      <c r="G5" s="52"/>
      <c r="H5" s="53" t="s">
        <v>193</v>
      </c>
      <c r="I5" s="54">
        <v>15.0</v>
      </c>
    </row>
    <row r="6">
      <c r="A6" s="55"/>
      <c r="B6" s="50" t="s">
        <v>221</v>
      </c>
      <c r="C6" s="58">
        <v>30.0</v>
      </c>
      <c r="D6" s="50" t="s">
        <v>221</v>
      </c>
      <c r="E6" s="58">
        <v>30.0</v>
      </c>
      <c r="G6" s="52"/>
      <c r="H6" s="60" t="s">
        <v>195</v>
      </c>
      <c r="I6" s="54">
        <v>30.0</v>
      </c>
    </row>
    <row r="7">
      <c r="A7" s="55"/>
      <c r="B7" s="61"/>
      <c r="C7" s="62"/>
      <c r="G7" s="52"/>
      <c r="H7" s="63"/>
      <c r="I7" s="23"/>
    </row>
    <row r="8">
      <c r="A8" s="65" t="s">
        <v>337</v>
      </c>
      <c r="B8" s="50" t="s">
        <v>332</v>
      </c>
      <c r="C8" s="51">
        <v>-30.0</v>
      </c>
      <c r="F8" s="52"/>
      <c r="G8" s="26" t="s">
        <v>228</v>
      </c>
      <c r="H8" s="67"/>
      <c r="I8" s="24"/>
    </row>
    <row r="9">
      <c r="B9" s="50" t="s">
        <v>334</v>
      </c>
      <c r="C9" s="51">
        <v>-15.0</v>
      </c>
      <c r="H9" s="7"/>
      <c r="I9" s="24"/>
    </row>
    <row r="10">
      <c r="B10" s="50" t="s">
        <v>187</v>
      </c>
      <c r="C10" s="58">
        <v>0.0</v>
      </c>
      <c r="H10" s="7" t="s">
        <v>230</v>
      </c>
      <c r="I10" s="24">
        <v>0.0</v>
      </c>
    </row>
    <row r="11">
      <c r="B11" s="50" t="s">
        <v>190</v>
      </c>
      <c r="C11" s="58">
        <v>15.0</v>
      </c>
      <c r="H11" s="7" t="s">
        <v>231</v>
      </c>
      <c r="I11" s="24">
        <v>-15.0</v>
      </c>
    </row>
    <row r="12">
      <c r="B12" s="50" t="s">
        <v>221</v>
      </c>
      <c r="C12" s="58">
        <v>30.0</v>
      </c>
      <c r="H12" s="7" t="s">
        <v>233</v>
      </c>
      <c r="I12" s="24">
        <v>-30.0</v>
      </c>
    </row>
    <row r="13">
      <c r="B13" s="47"/>
      <c r="C13" s="62"/>
      <c r="D13" s="20" t="s">
        <v>181</v>
      </c>
      <c r="E13" s="20" t="s">
        <v>206</v>
      </c>
      <c r="H13" s="35"/>
      <c r="I13" s="62"/>
    </row>
    <row r="14">
      <c r="A14" s="65" t="s">
        <v>208</v>
      </c>
      <c r="B14" s="66" t="s">
        <v>209</v>
      </c>
      <c r="C14" s="51">
        <v>-30.0</v>
      </c>
      <c r="D14" s="50" t="s">
        <v>210</v>
      </c>
      <c r="E14" s="51">
        <v>-30.0</v>
      </c>
      <c r="F14" s="52"/>
      <c r="G14" s="26" t="s">
        <v>236</v>
      </c>
      <c r="H14" s="7"/>
      <c r="I14" s="24"/>
    </row>
    <row r="15">
      <c r="A15" s="4" t="s">
        <v>213</v>
      </c>
      <c r="B15" s="66" t="s">
        <v>214</v>
      </c>
      <c r="C15" s="51">
        <v>-15.0</v>
      </c>
      <c r="D15" s="50" t="s">
        <v>215</v>
      </c>
      <c r="E15" s="51">
        <v>-15.0</v>
      </c>
      <c r="H15" s="7"/>
      <c r="I15" s="24"/>
    </row>
    <row r="16">
      <c r="B16" s="66" t="s">
        <v>216</v>
      </c>
      <c r="C16" s="58">
        <v>0.0</v>
      </c>
      <c r="D16" s="50" t="s">
        <v>187</v>
      </c>
      <c r="E16" s="58">
        <v>0.0</v>
      </c>
      <c r="H16" s="7" t="s">
        <v>238</v>
      </c>
      <c r="I16" s="24">
        <v>0.0</v>
      </c>
    </row>
    <row r="17">
      <c r="B17" s="66" t="s">
        <v>218</v>
      </c>
      <c r="C17" s="58">
        <v>15.0</v>
      </c>
      <c r="D17" s="50" t="s">
        <v>190</v>
      </c>
      <c r="E17" s="58">
        <v>15.0</v>
      </c>
      <c r="H17" s="7" t="s">
        <v>241</v>
      </c>
      <c r="I17" s="24">
        <v>-15.0</v>
      </c>
    </row>
    <row r="18">
      <c r="B18" s="66" t="s">
        <v>220</v>
      </c>
      <c r="C18" s="58">
        <v>30.0</v>
      </c>
      <c r="D18" s="50" t="s">
        <v>221</v>
      </c>
      <c r="E18" s="58">
        <v>30.0</v>
      </c>
      <c r="H18" s="7" t="s">
        <v>244</v>
      </c>
      <c r="I18" s="24">
        <v>-30.0</v>
      </c>
    </row>
    <row r="19">
      <c r="B19" s="47"/>
      <c r="C19" s="62"/>
      <c r="D19" s="50"/>
      <c r="E19" s="58"/>
      <c r="H19" s="47"/>
      <c r="I19" s="62"/>
    </row>
    <row r="20">
      <c r="A20" s="26" t="s">
        <v>222</v>
      </c>
      <c r="B20" s="50" t="s">
        <v>223</v>
      </c>
      <c r="C20" s="24">
        <v>30.0</v>
      </c>
      <c r="F20" s="52"/>
      <c r="G20" s="26" t="s">
        <v>247</v>
      </c>
      <c r="H20" s="71" t="s">
        <v>248</v>
      </c>
      <c r="I20" s="24">
        <v>30.0</v>
      </c>
    </row>
    <row r="21">
      <c r="A21" s="4" t="s">
        <v>224</v>
      </c>
      <c r="B21" s="50" t="s">
        <v>225</v>
      </c>
      <c r="C21" s="24">
        <v>15.0</v>
      </c>
      <c r="H21" s="71" t="s">
        <v>297</v>
      </c>
      <c r="I21" s="24">
        <v>15.0</v>
      </c>
    </row>
    <row r="22">
      <c r="B22" s="50" t="s">
        <v>226</v>
      </c>
      <c r="C22" s="24">
        <v>0.0</v>
      </c>
      <c r="H22" s="71" t="s">
        <v>298</v>
      </c>
      <c r="I22" s="24">
        <v>0.0</v>
      </c>
    </row>
    <row r="23">
      <c r="B23" s="50" t="s">
        <v>227</v>
      </c>
      <c r="C23" s="24">
        <v>-15.0</v>
      </c>
      <c r="H23" s="71" t="s">
        <v>299</v>
      </c>
      <c r="I23" s="24">
        <v>-15.0</v>
      </c>
    </row>
    <row r="24">
      <c r="B24" s="50" t="s">
        <v>229</v>
      </c>
      <c r="C24" s="24">
        <v>-30.0</v>
      </c>
      <c r="H24" s="71" t="s">
        <v>301</v>
      </c>
      <c r="I24" s="24">
        <v>-30.0</v>
      </c>
    </row>
    <row r="25">
      <c r="B25" s="47"/>
      <c r="C25" s="62"/>
      <c r="H25" s="47"/>
      <c r="I25" s="62"/>
    </row>
    <row r="26">
      <c r="A26" s="26" t="s">
        <v>55</v>
      </c>
      <c r="B26" s="7"/>
      <c r="C26" s="24"/>
      <c r="F26" s="52"/>
      <c r="G26" s="26" t="s">
        <v>255</v>
      </c>
      <c r="H26" s="71" t="s">
        <v>248</v>
      </c>
      <c r="I26" s="24">
        <v>30.0</v>
      </c>
    </row>
    <row r="27">
      <c r="A27" s="68" t="s">
        <v>232</v>
      </c>
      <c r="B27" s="7"/>
      <c r="C27" s="24"/>
      <c r="F27" s="4"/>
      <c r="H27" s="71" t="s">
        <v>297</v>
      </c>
      <c r="I27" s="24">
        <v>15.0</v>
      </c>
    </row>
    <row r="28">
      <c r="B28" s="7" t="s">
        <v>234</v>
      </c>
      <c r="C28" s="24">
        <v>0.0</v>
      </c>
      <c r="F28" s="4"/>
      <c r="H28" s="71" t="s">
        <v>298</v>
      </c>
      <c r="I28" s="24">
        <v>0.0</v>
      </c>
    </row>
    <row r="29">
      <c r="B29" s="7" t="s">
        <v>235</v>
      </c>
      <c r="C29" s="24">
        <v>-15.0</v>
      </c>
      <c r="H29" s="71" t="s">
        <v>299</v>
      </c>
      <c r="I29" s="24">
        <v>-15.0</v>
      </c>
    </row>
    <row r="30">
      <c r="B30" s="7" t="s">
        <v>237</v>
      </c>
      <c r="C30" s="24">
        <v>-30.0</v>
      </c>
      <c r="H30" s="71" t="s">
        <v>301</v>
      </c>
      <c r="I30" s="24">
        <v>-30.0</v>
      </c>
    </row>
    <row r="31">
      <c r="B31" s="47"/>
      <c r="C31" s="62"/>
      <c r="H31" s="47"/>
      <c r="I31" s="62"/>
    </row>
    <row r="32">
      <c r="A32" s="26" t="s">
        <v>338</v>
      </c>
      <c r="B32" s="7" t="s">
        <v>250</v>
      </c>
      <c r="C32" s="24">
        <v>0.0</v>
      </c>
      <c r="F32" s="70"/>
      <c r="G32" s="26" t="s">
        <v>262</v>
      </c>
      <c r="H32" s="7" t="s">
        <v>263</v>
      </c>
      <c r="I32" s="24">
        <v>30.0</v>
      </c>
    </row>
    <row r="33">
      <c r="A33" s="4" t="s">
        <v>242</v>
      </c>
      <c r="B33" s="7" t="s">
        <v>252</v>
      </c>
      <c r="C33" s="24">
        <v>0.0</v>
      </c>
      <c r="F33" s="52"/>
      <c r="G33" s="4" t="s">
        <v>264</v>
      </c>
      <c r="H33" s="7" t="s">
        <v>265</v>
      </c>
      <c r="I33" s="24">
        <v>15.0</v>
      </c>
    </row>
    <row r="34">
      <c r="B34" s="7">
        <v>0.0</v>
      </c>
      <c r="C34" s="24">
        <v>0.0</v>
      </c>
      <c r="F34" s="52"/>
      <c r="G34" s="4" t="s">
        <v>266</v>
      </c>
      <c r="H34" s="7" t="s">
        <v>267</v>
      </c>
      <c r="I34" s="24">
        <v>0.0</v>
      </c>
    </row>
    <row r="35">
      <c r="B35" s="7" t="s">
        <v>254</v>
      </c>
      <c r="C35" s="24">
        <v>-15.0</v>
      </c>
      <c r="F35" s="52"/>
      <c r="H35" s="7" t="s">
        <v>268</v>
      </c>
      <c r="I35" s="24">
        <v>-15.0</v>
      </c>
    </row>
    <row r="36">
      <c r="B36" s="7" t="s">
        <v>256</v>
      </c>
      <c r="C36" s="24">
        <v>-30.0</v>
      </c>
      <c r="H36" s="7" t="s">
        <v>271</v>
      </c>
      <c r="I36" s="24">
        <v>-30.0</v>
      </c>
    </row>
    <row r="37">
      <c r="B37" s="47"/>
      <c r="C37" s="62"/>
      <c r="H37" s="47"/>
      <c r="I37" s="62"/>
    </row>
    <row r="38">
      <c r="B38" s="92"/>
      <c r="C38" s="62"/>
      <c r="H38" s="47"/>
      <c r="I38" s="62"/>
    </row>
    <row r="39">
      <c r="A39" s="25" t="s">
        <v>64</v>
      </c>
      <c r="B39" s="7" t="s">
        <v>257</v>
      </c>
      <c r="C39" s="58">
        <v>-30.0</v>
      </c>
      <c r="D39" s="7" t="s">
        <v>258</v>
      </c>
      <c r="F39" s="70"/>
      <c r="G39" s="25" t="s">
        <v>339</v>
      </c>
      <c r="H39" s="71"/>
      <c r="I39" s="24"/>
    </row>
    <row r="40">
      <c r="B40" s="7" t="s">
        <v>259</v>
      </c>
      <c r="C40" s="58">
        <v>-15.0</v>
      </c>
      <c r="D40" s="7" t="s">
        <v>260</v>
      </c>
      <c r="G40" s="52" t="s">
        <v>278</v>
      </c>
      <c r="H40" s="71"/>
      <c r="I40" s="24"/>
    </row>
    <row r="41">
      <c r="B41" s="7" t="s">
        <v>261</v>
      </c>
      <c r="C41" s="58">
        <v>0.0</v>
      </c>
      <c r="D41" s="7"/>
      <c r="G41" s="52"/>
      <c r="H41" s="71" t="s">
        <v>279</v>
      </c>
      <c r="I41" s="24">
        <v>0.0</v>
      </c>
    </row>
    <row r="42">
      <c r="B42" s="7"/>
      <c r="C42" s="58"/>
      <c r="G42" s="52"/>
      <c r="H42" s="71" t="s">
        <v>284</v>
      </c>
      <c r="I42" s="24">
        <v>-15.0</v>
      </c>
    </row>
    <row r="43">
      <c r="B43" s="7"/>
      <c r="C43" s="58"/>
      <c r="H43" s="71" t="s">
        <v>287</v>
      </c>
      <c r="I43" s="24">
        <v>-30.0</v>
      </c>
    </row>
    <row r="44">
      <c r="B44" s="61"/>
      <c r="C44" s="72"/>
      <c r="H44" s="47"/>
    </row>
    <row r="45">
      <c r="A45" s="29" t="s">
        <v>269</v>
      </c>
      <c r="B45" s="50" t="s">
        <v>270</v>
      </c>
      <c r="C45" s="51">
        <v>-30.0</v>
      </c>
      <c r="F45" s="52"/>
      <c r="G45" s="29" t="s">
        <v>289</v>
      </c>
      <c r="H45" s="66" t="s">
        <v>290</v>
      </c>
      <c r="I45" s="24">
        <v>30.0</v>
      </c>
    </row>
    <row r="46">
      <c r="B46" s="50" t="s">
        <v>272</v>
      </c>
      <c r="C46" s="51">
        <v>-15.0</v>
      </c>
      <c r="H46" s="66" t="s">
        <v>231</v>
      </c>
      <c r="I46" s="24">
        <v>15.0</v>
      </c>
    </row>
    <row r="47">
      <c r="B47" s="50" t="s">
        <v>273</v>
      </c>
      <c r="C47" s="58">
        <v>0.0</v>
      </c>
      <c r="H47" s="66" t="s">
        <v>218</v>
      </c>
      <c r="I47" s="24">
        <v>0.0</v>
      </c>
    </row>
    <row r="48">
      <c r="B48" s="50" t="s">
        <v>274</v>
      </c>
      <c r="C48" s="58">
        <v>15.0</v>
      </c>
      <c r="H48" s="66" t="s">
        <v>292</v>
      </c>
      <c r="I48" s="24">
        <v>-15.0</v>
      </c>
    </row>
    <row r="49">
      <c r="B49" s="50" t="s">
        <v>275</v>
      </c>
      <c r="C49" s="58">
        <v>30.0</v>
      </c>
      <c r="D49" s="4" t="s">
        <v>276</v>
      </c>
      <c r="E49" s="4" t="s">
        <v>277</v>
      </c>
      <c r="H49" s="66" t="s">
        <v>293</v>
      </c>
      <c r="I49" s="24">
        <v>-30.0</v>
      </c>
    </row>
    <row r="50">
      <c r="B50" s="73"/>
      <c r="C50" s="62"/>
      <c r="H50" s="79"/>
      <c r="I50" s="23"/>
    </row>
    <row r="51">
      <c r="A51" s="29" t="s">
        <v>280</v>
      </c>
      <c r="B51" s="74"/>
      <c r="C51" s="62"/>
      <c r="D51" s="4" t="s">
        <v>281</v>
      </c>
      <c r="E51" s="4" t="s">
        <v>282</v>
      </c>
      <c r="F51" s="52" t="s">
        <v>283</v>
      </c>
      <c r="G51" s="81" t="s">
        <v>295</v>
      </c>
      <c r="H51" s="71" t="s">
        <v>248</v>
      </c>
      <c r="I51" s="24">
        <v>30.0</v>
      </c>
    </row>
    <row r="52">
      <c r="A52" s="75" t="s">
        <v>285</v>
      </c>
      <c r="B52" s="75" t="s">
        <v>286</v>
      </c>
      <c r="C52" s="23">
        <v>30.0</v>
      </c>
      <c r="D52" s="4">
        <v>60.0</v>
      </c>
      <c r="E52" s="4">
        <v>30.0</v>
      </c>
      <c r="F52" s="4">
        <v>10.0</v>
      </c>
      <c r="H52" s="71" t="s">
        <v>297</v>
      </c>
      <c r="I52" s="24">
        <v>15.0</v>
      </c>
    </row>
    <row r="53">
      <c r="A53" s="75" t="s">
        <v>285</v>
      </c>
      <c r="B53" s="7" t="s">
        <v>241</v>
      </c>
      <c r="C53" s="23">
        <v>15.0</v>
      </c>
      <c r="H53" s="71" t="s">
        <v>298</v>
      </c>
      <c r="I53" s="24">
        <v>0.0</v>
      </c>
    </row>
    <row r="54">
      <c r="A54" s="75" t="s">
        <v>285</v>
      </c>
      <c r="B54" s="75" t="s">
        <v>288</v>
      </c>
      <c r="C54" s="23">
        <v>0.0</v>
      </c>
      <c r="D54" s="76">
        <f>F52/F54</f>
        <v>70</v>
      </c>
      <c r="F54" s="4">
        <f>F52/70</f>
        <v>0.1428571429</v>
      </c>
      <c r="H54" s="71" t="s">
        <v>299</v>
      </c>
      <c r="I54" s="24">
        <v>-15.0</v>
      </c>
    </row>
    <row r="55">
      <c r="A55" s="75" t="s">
        <v>291</v>
      </c>
      <c r="B55" s="75" t="s">
        <v>288</v>
      </c>
      <c r="C55" s="23">
        <v>0.0</v>
      </c>
      <c r="H55" s="71" t="s">
        <v>301</v>
      </c>
      <c r="I55" s="24">
        <v>-30.0</v>
      </c>
    </row>
    <row r="56">
      <c r="A56" s="75" t="s">
        <v>291</v>
      </c>
      <c r="B56" s="7" t="s">
        <v>241</v>
      </c>
      <c r="C56" s="23">
        <v>-15.0</v>
      </c>
      <c r="H56" s="47"/>
      <c r="I56" s="62"/>
    </row>
    <row r="57">
      <c r="A57" s="75" t="s">
        <v>291</v>
      </c>
      <c r="B57" s="75" t="s">
        <v>286</v>
      </c>
      <c r="C57" s="23">
        <v>-30.0</v>
      </c>
      <c r="F57" s="70"/>
      <c r="G57" s="81" t="s">
        <v>302</v>
      </c>
      <c r="H57" s="71" t="s">
        <v>248</v>
      </c>
      <c r="I57" s="24">
        <v>30.0</v>
      </c>
    </row>
    <row r="58">
      <c r="A58" s="77"/>
      <c r="B58" s="78"/>
      <c r="C58" s="62"/>
      <c r="H58" s="71" t="s">
        <v>297</v>
      </c>
      <c r="I58" s="24">
        <v>15.0</v>
      </c>
    </row>
    <row r="59">
      <c r="A59" s="77"/>
      <c r="B59" s="78"/>
      <c r="C59" s="62"/>
      <c r="H59" s="71" t="s">
        <v>298</v>
      </c>
      <c r="I59" s="24">
        <v>0.0</v>
      </c>
    </row>
    <row r="60">
      <c r="A60" s="29" t="s">
        <v>294</v>
      </c>
      <c r="B60" s="80"/>
      <c r="C60" s="62"/>
      <c r="H60" s="71" t="s">
        <v>299</v>
      </c>
      <c r="I60" s="24">
        <v>-15.0</v>
      </c>
    </row>
    <row r="61">
      <c r="A61" s="75" t="s">
        <v>296</v>
      </c>
      <c r="B61" s="75" t="s">
        <v>286</v>
      </c>
      <c r="C61" s="23">
        <v>30.0</v>
      </c>
      <c r="F61" s="4"/>
      <c r="H61" s="71" t="s">
        <v>301</v>
      </c>
      <c r="I61" s="24">
        <v>-30.0</v>
      </c>
    </row>
    <row r="62">
      <c r="A62" s="75" t="s">
        <v>296</v>
      </c>
      <c r="B62" s="7" t="s">
        <v>241</v>
      </c>
      <c r="C62" s="23">
        <v>15.0</v>
      </c>
      <c r="H62" s="47"/>
    </row>
    <row r="63">
      <c r="A63" s="75" t="s">
        <v>296</v>
      </c>
      <c r="B63" s="75" t="s">
        <v>288</v>
      </c>
      <c r="C63" s="23">
        <v>0.0</v>
      </c>
      <c r="F63" s="82"/>
      <c r="G63" s="93" t="s">
        <v>306</v>
      </c>
      <c r="H63" s="94"/>
      <c r="I63" s="11"/>
    </row>
    <row r="64">
      <c r="A64" s="75" t="s">
        <v>300</v>
      </c>
      <c r="B64" s="75" t="s">
        <v>288</v>
      </c>
      <c r="C64" s="23">
        <v>0.0</v>
      </c>
      <c r="G64" s="95"/>
      <c r="H64" s="96"/>
      <c r="I64" s="11"/>
    </row>
    <row r="65">
      <c r="A65" s="75" t="s">
        <v>300</v>
      </c>
      <c r="B65" s="7" t="s">
        <v>241</v>
      </c>
      <c r="C65" s="23">
        <v>-15.0</v>
      </c>
      <c r="G65" s="95"/>
      <c r="H65" s="96" t="s">
        <v>340</v>
      </c>
      <c r="I65" s="11">
        <v>0.0</v>
      </c>
    </row>
    <row r="66">
      <c r="A66" s="75" t="s">
        <v>300</v>
      </c>
      <c r="B66" s="75" t="s">
        <v>286</v>
      </c>
      <c r="C66" s="23">
        <v>-30.0</v>
      </c>
      <c r="G66" s="95"/>
      <c r="H66" s="96" t="s">
        <v>341</v>
      </c>
      <c r="I66" s="11">
        <v>-15.0</v>
      </c>
    </row>
    <row r="67">
      <c r="A67" s="83"/>
      <c r="B67" s="83"/>
      <c r="G67" s="97" t="s">
        <v>312</v>
      </c>
      <c r="H67" s="96" t="s">
        <v>342</v>
      </c>
      <c r="I67" s="11">
        <v>-30.0</v>
      </c>
    </row>
    <row r="68">
      <c r="A68" s="29" t="s">
        <v>303</v>
      </c>
      <c r="B68" s="84"/>
      <c r="H68" s="47"/>
    </row>
    <row r="69">
      <c r="A69" s="75" t="s">
        <v>304</v>
      </c>
      <c r="B69" s="75" t="s">
        <v>286</v>
      </c>
      <c r="C69" s="23">
        <v>30.0</v>
      </c>
      <c r="F69" s="82"/>
      <c r="G69" s="31" t="s">
        <v>316</v>
      </c>
      <c r="H69" s="71" t="s">
        <v>248</v>
      </c>
      <c r="I69" s="24">
        <v>30.0</v>
      </c>
    </row>
    <row r="70">
      <c r="A70" s="75" t="s">
        <v>304</v>
      </c>
      <c r="B70" s="7" t="s">
        <v>241</v>
      </c>
      <c r="C70" s="23">
        <v>15.0</v>
      </c>
      <c r="H70" s="71" t="s">
        <v>297</v>
      </c>
      <c r="I70" s="24">
        <v>15.0</v>
      </c>
    </row>
    <row r="71">
      <c r="A71" s="75" t="s">
        <v>304</v>
      </c>
      <c r="B71" s="75" t="s">
        <v>288</v>
      </c>
      <c r="C71" s="23">
        <v>0.0</v>
      </c>
      <c r="H71" s="71" t="s">
        <v>298</v>
      </c>
      <c r="I71" s="24">
        <v>0.0</v>
      </c>
    </row>
    <row r="72">
      <c r="A72" s="75" t="s">
        <v>305</v>
      </c>
      <c r="B72" s="75" t="s">
        <v>288</v>
      </c>
      <c r="C72" s="23">
        <v>0.0</v>
      </c>
      <c r="H72" s="71" t="s">
        <v>299</v>
      </c>
      <c r="I72" s="24">
        <v>-15.0</v>
      </c>
    </row>
    <row r="73">
      <c r="A73" s="75" t="s">
        <v>305</v>
      </c>
      <c r="B73" s="7" t="s">
        <v>241</v>
      </c>
      <c r="C73" s="23">
        <v>-15.0</v>
      </c>
      <c r="H73" s="71" t="s">
        <v>301</v>
      </c>
      <c r="I73" s="24">
        <v>-30.0</v>
      </c>
    </row>
    <row r="74">
      <c r="A74" s="75" t="s">
        <v>305</v>
      </c>
      <c r="B74" s="75" t="s">
        <v>286</v>
      </c>
      <c r="C74" s="23">
        <v>-30.0</v>
      </c>
      <c r="H74" s="20"/>
      <c r="I74" s="62"/>
    </row>
    <row r="75">
      <c r="B75" s="88"/>
      <c r="G75" s="33" t="s">
        <v>323</v>
      </c>
      <c r="H75" s="71" t="s">
        <v>248</v>
      </c>
      <c r="I75" s="24">
        <v>30.0</v>
      </c>
    </row>
    <row r="76">
      <c r="A76" s="89" t="s">
        <v>310</v>
      </c>
      <c r="B76" s="35" t="s">
        <v>311</v>
      </c>
      <c r="C76" s="4">
        <v>-30.0</v>
      </c>
      <c r="H76" s="47"/>
      <c r="I76" s="62"/>
    </row>
    <row r="77">
      <c r="A77" s="47"/>
      <c r="B77" s="35" t="s">
        <v>314</v>
      </c>
      <c r="C77" s="4">
        <v>-15.0</v>
      </c>
      <c r="H77" s="47"/>
    </row>
    <row r="78">
      <c r="A78" s="76"/>
      <c r="B78" s="4" t="s">
        <v>315</v>
      </c>
      <c r="C78" s="4">
        <v>0.0</v>
      </c>
      <c r="H78" s="47"/>
    </row>
    <row r="79">
      <c r="A79" s="76"/>
      <c r="B79" s="4" t="s">
        <v>317</v>
      </c>
      <c r="C79" s="4">
        <v>15.0</v>
      </c>
      <c r="H79" s="47"/>
    </row>
    <row r="80">
      <c r="A80" s="76"/>
      <c r="B80" s="4" t="s">
        <v>318</v>
      </c>
      <c r="C80" s="4">
        <v>30.0</v>
      </c>
      <c r="H80" s="47"/>
    </row>
    <row r="81">
      <c r="A81" s="76"/>
      <c r="H81" s="47"/>
    </row>
    <row r="82">
      <c r="A82" s="89" t="s">
        <v>321</v>
      </c>
      <c r="B82" s="35" t="s">
        <v>311</v>
      </c>
      <c r="C82" s="4">
        <v>-30.0</v>
      </c>
      <c r="H82" s="47"/>
      <c r="I82" s="62"/>
    </row>
    <row r="83">
      <c r="A83" s="47"/>
      <c r="B83" s="35" t="s">
        <v>314</v>
      </c>
      <c r="C83" s="4">
        <v>-15.0</v>
      </c>
      <c r="H83" s="47"/>
      <c r="I83" s="62"/>
    </row>
    <row r="84">
      <c r="A84" s="76"/>
      <c r="B84" s="4" t="s">
        <v>315</v>
      </c>
      <c r="C84" s="4">
        <v>0.0</v>
      </c>
      <c r="H84" s="47"/>
    </row>
    <row r="85">
      <c r="A85" s="76"/>
      <c r="B85" s="4" t="s">
        <v>317</v>
      </c>
      <c r="C85" s="4">
        <v>15.0</v>
      </c>
      <c r="H85" s="47"/>
    </row>
    <row r="86">
      <c r="A86" s="76"/>
      <c r="B86" s="4" t="s">
        <v>318</v>
      </c>
      <c r="C86" s="4">
        <v>30.0</v>
      </c>
      <c r="H86" s="47"/>
    </row>
    <row r="87">
      <c r="A87" s="76"/>
      <c r="H87" s="47"/>
    </row>
    <row r="88">
      <c r="A88" s="89" t="s">
        <v>324</v>
      </c>
      <c r="B88" s="35" t="s">
        <v>311</v>
      </c>
      <c r="C88" s="4">
        <v>-30.0</v>
      </c>
      <c r="H88" s="47"/>
    </row>
    <row r="89">
      <c r="A89" s="47"/>
      <c r="B89" s="35" t="s">
        <v>314</v>
      </c>
      <c r="C89" s="4">
        <v>-15.0</v>
      </c>
      <c r="H89" s="47"/>
    </row>
    <row r="90">
      <c r="A90" s="76"/>
      <c r="B90" s="4" t="s">
        <v>315</v>
      </c>
      <c r="C90" s="4">
        <v>0.0</v>
      </c>
      <c r="H90" s="47"/>
    </row>
    <row r="91">
      <c r="A91" s="76"/>
      <c r="B91" s="4" t="s">
        <v>317</v>
      </c>
      <c r="C91" s="4">
        <v>15.0</v>
      </c>
      <c r="H91" s="47"/>
    </row>
    <row r="92">
      <c r="A92" s="76"/>
      <c r="B92" s="4" t="s">
        <v>318</v>
      </c>
      <c r="C92" s="4">
        <v>30.0</v>
      </c>
      <c r="H92" s="47"/>
    </row>
    <row r="93">
      <c r="A93" s="76"/>
      <c r="H93" s="47"/>
    </row>
    <row r="94">
      <c r="A94" s="89" t="s">
        <v>325</v>
      </c>
      <c r="B94" s="35" t="s">
        <v>311</v>
      </c>
      <c r="C94" s="4">
        <v>-30.0</v>
      </c>
      <c r="H94" s="47"/>
    </row>
    <row r="95">
      <c r="A95" s="47"/>
      <c r="B95" s="35" t="s">
        <v>314</v>
      </c>
      <c r="C95" s="4">
        <v>-15.0</v>
      </c>
      <c r="H95" s="47"/>
      <c r="I95" s="62"/>
    </row>
    <row r="96">
      <c r="B96" s="4" t="s">
        <v>315</v>
      </c>
      <c r="C96" s="4">
        <v>0.0</v>
      </c>
      <c r="H96" s="47"/>
      <c r="I96" s="62"/>
    </row>
    <row r="97">
      <c r="B97" s="4" t="s">
        <v>317</v>
      </c>
      <c r="C97" s="4">
        <v>15.0</v>
      </c>
      <c r="H97" s="47"/>
      <c r="I97" s="62"/>
    </row>
    <row r="98">
      <c r="B98" s="4" t="s">
        <v>318</v>
      </c>
      <c r="C98" s="4">
        <v>30.0</v>
      </c>
      <c r="H98" s="47"/>
      <c r="I98" s="62"/>
    </row>
    <row r="99">
      <c r="H99" s="47"/>
      <c r="I99" s="62"/>
    </row>
    <row r="100">
      <c r="H100" s="47"/>
      <c r="I100" s="62"/>
    </row>
    <row r="101">
      <c r="H101" s="47"/>
      <c r="I101" s="62"/>
    </row>
    <row r="102">
      <c r="A102" s="90" t="s">
        <v>326</v>
      </c>
      <c r="B102" s="35" t="s">
        <v>311</v>
      </c>
      <c r="C102" s="4">
        <v>-30.0</v>
      </c>
      <c r="H102" s="47"/>
      <c r="I102" s="62"/>
    </row>
    <row r="103">
      <c r="B103" s="35" t="s">
        <v>314</v>
      </c>
      <c r="C103" s="4">
        <v>-15.0</v>
      </c>
      <c r="H103" s="47"/>
      <c r="I103" s="62"/>
    </row>
    <row r="104">
      <c r="B104" s="4" t="s">
        <v>327</v>
      </c>
      <c r="C104" s="4">
        <v>0.0</v>
      </c>
      <c r="H104" s="47"/>
      <c r="I104" s="62"/>
    </row>
    <row r="105">
      <c r="B105" s="4" t="s">
        <v>328</v>
      </c>
      <c r="C105" s="4">
        <v>15.0</v>
      </c>
      <c r="H105" s="47"/>
      <c r="I105" s="62"/>
    </row>
    <row r="106">
      <c r="B106" s="4" t="s">
        <v>329</v>
      </c>
      <c r="C106" s="4">
        <v>30.0</v>
      </c>
      <c r="H106" s="47"/>
      <c r="I106" s="62"/>
    </row>
    <row r="107">
      <c r="H107" s="47"/>
      <c r="I107" s="62"/>
    </row>
    <row r="108">
      <c r="H108" s="47"/>
      <c r="I108" s="62"/>
    </row>
    <row r="109">
      <c r="H109" s="47"/>
      <c r="I109" s="62"/>
    </row>
    <row r="110">
      <c r="A110" s="91" t="s">
        <v>330</v>
      </c>
      <c r="H110" s="47"/>
      <c r="I110" s="62"/>
    </row>
    <row r="111">
      <c r="H111" s="47"/>
      <c r="I111" s="62"/>
    </row>
    <row r="112">
      <c r="H112" s="47"/>
      <c r="I112" s="62"/>
    </row>
    <row r="113">
      <c r="H113" s="47"/>
      <c r="I113" s="62"/>
    </row>
    <row r="114">
      <c r="H114" s="47"/>
      <c r="I114" s="62"/>
    </row>
    <row r="115">
      <c r="H115" s="47"/>
      <c r="I115" s="62"/>
    </row>
    <row r="116">
      <c r="H116" s="47"/>
      <c r="I116" s="62"/>
    </row>
    <row r="117">
      <c r="H117" s="47"/>
      <c r="I117" s="62"/>
    </row>
    <row r="118">
      <c r="H118" s="47"/>
      <c r="I118" s="62"/>
    </row>
    <row r="119">
      <c r="H119" s="47"/>
      <c r="I119" s="62"/>
    </row>
    <row r="120">
      <c r="H120" s="47"/>
      <c r="I120" s="62"/>
    </row>
    <row r="121">
      <c r="H121" s="47"/>
      <c r="I121" s="62"/>
    </row>
    <row r="122">
      <c r="H122" s="47"/>
      <c r="I122" s="62"/>
    </row>
    <row r="123">
      <c r="H123" s="47"/>
      <c r="I123" s="62"/>
    </row>
    <row r="124">
      <c r="H124" s="47"/>
      <c r="I124" s="62"/>
    </row>
    <row r="125">
      <c r="H125" s="47"/>
      <c r="I125" s="62"/>
    </row>
    <row r="126">
      <c r="H126" s="47"/>
      <c r="I126" s="62"/>
    </row>
    <row r="127">
      <c r="H127" s="47"/>
      <c r="I127" s="62"/>
    </row>
    <row r="128">
      <c r="H128" s="47"/>
      <c r="I128" s="62"/>
    </row>
    <row r="129">
      <c r="H129" s="47"/>
      <c r="I129" s="62"/>
    </row>
    <row r="130">
      <c r="H130" s="47"/>
      <c r="I130" s="62"/>
    </row>
    <row r="131">
      <c r="H131" s="47"/>
      <c r="I131" s="62"/>
    </row>
    <row r="132">
      <c r="H132" s="47"/>
      <c r="I132" s="62"/>
    </row>
    <row r="133">
      <c r="H133" s="47"/>
      <c r="I133" s="62"/>
    </row>
    <row r="134">
      <c r="H134" s="47"/>
      <c r="I134" s="62"/>
    </row>
    <row r="135">
      <c r="H135" s="47"/>
      <c r="I135" s="62"/>
    </row>
    <row r="136">
      <c r="H136" s="47"/>
      <c r="I136" s="62"/>
    </row>
    <row r="137">
      <c r="H137" s="47"/>
      <c r="I137" s="62"/>
    </row>
    <row r="138">
      <c r="H138" s="47"/>
      <c r="I138" s="62"/>
    </row>
    <row r="139">
      <c r="H139" s="47"/>
      <c r="I139" s="62"/>
    </row>
    <row r="140">
      <c r="H140" s="47"/>
      <c r="I140" s="62"/>
    </row>
    <row r="141">
      <c r="H141" s="47"/>
      <c r="I141" s="62"/>
    </row>
    <row r="142">
      <c r="H142" s="47"/>
      <c r="I142" s="62"/>
    </row>
    <row r="143">
      <c r="H143" s="47"/>
      <c r="I143" s="62"/>
    </row>
    <row r="144">
      <c r="H144" s="47"/>
      <c r="I144" s="62"/>
    </row>
    <row r="145">
      <c r="H145" s="47"/>
      <c r="I145" s="62"/>
    </row>
    <row r="146">
      <c r="H146" s="47"/>
      <c r="I146" s="62"/>
    </row>
    <row r="147">
      <c r="H147" s="47"/>
      <c r="I147" s="62"/>
    </row>
    <row r="148">
      <c r="H148" s="47"/>
      <c r="I148" s="62"/>
    </row>
    <row r="149">
      <c r="H149" s="47"/>
      <c r="I149" s="62"/>
    </row>
    <row r="150">
      <c r="H150" s="47"/>
      <c r="I150" s="62"/>
    </row>
    <row r="151">
      <c r="H151" s="47"/>
      <c r="I151" s="62"/>
    </row>
    <row r="152">
      <c r="H152" s="47"/>
      <c r="I152" s="62"/>
    </row>
    <row r="153">
      <c r="H153" s="47"/>
      <c r="I153" s="62"/>
    </row>
    <row r="154">
      <c r="H154" s="47"/>
      <c r="I154" s="62"/>
    </row>
    <row r="155">
      <c r="H155" s="47"/>
      <c r="I155" s="62"/>
    </row>
    <row r="156">
      <c r="H156" s="47"/>
      <c r="I156" s="62"/>
    </row>
    <row r="157">
      <c r="H157" s="47"/>
      <c r="I157" s="62"/>
    </row>
    <row r="158">
      <c r="H158" s="47"/>
      <c r="I158" s="62"/>
    </row>
    <row r="159">
      <c r="H159" s="47"/>
      <c r="I159" s="62"/>
    </row>
    <row r="160">
      <c r="H160" s="47"/>
      <c r="I160" s="62"/>
    </row>
    <row r="161">
      <c r="H161" s="47"/>
      <c r="I161" s="62"/>
    </row>
    <row r="162">
      <c r="H162" s="47"/>
      <c r="I162" s="62"/>
    </row>
    <row r="163">
      <c r="H163" s="47"/>
      <c r="I163" s="62"/>
    </row>
    <row r="164">
      <c r="H164" s="47"/>
      <c r="I164" s="62"/>
    </row>
    <row r="165">
      <c r="H165" s="47"/>
      <c r="I165" s="62"/>
    </row>
    <row r="166">
      <c r="H166" s="47"/>
      <c r="I166" s="62"/>
    </row>
    <row r="167">
      <c r="H167" s="47"/>
      <c r="I167" s="62"/>
    </row>
    <row r="168">
      <c r="H168" s="47"/>
      <c r="I168" s="62"/>
    </row>
    <row r="169">
      <c r="H169" s="47"/>
      <c r="I169" s="62"/>
    </row>
    <row r="170">
      <c r="H170" s="47"/>
      <c r="I170" s="62"/>
    </row>
    <row r="171">
      <c r="H171" s="47"/>
      <c r="I171" s="62"/>
    </row>
    <row r="172">
      <c r="H172" s="47"/>
      <c r="I172" s="62"/>
    </row>
    <row r="173">
      <c r="H173" s="47"/>
      <c r="I173" s="62"/>
    </row>
    <row r="174">
      <c r="H174" s="47"/>
      <c r="I174" s="62"/>
    </row>
    <row r="175">
      <c r="H175" s="47"/>
      <c r="I175" s="62"/>
    </row>
    <row r="176">
      <c r="H176" s="47"/>
      <c r="I176" s="62"/>
    </row>
    <row r="177">
      <c r="H177" s="47"/>
      <c r="I177" s="62"/>
    </row>
    <row r="178">
      <c r="H178" s="47"/>
      <c r="I178" s="62"/>
    </row>
    <row r="179">
      <c r="H179" s="47"/>
      <c r="I179" s="62"/>
    </row>
    <row r="180">
      <c r="H180" s="47"/>
      <c r="I180" s="62"/>
    </row>
    <row r="181">
      <c r="H181" s="47"/>
      <c r="I181" s="62"/>
    </row>
    <row r="182">
      <c r="H182" s="47"/>
      <c r="I182" s="62"/>
    </row>
    <row r="183">
      <c r="H183" s="47"/>
      <c r="I183" s="62"/>
    </row>
    <row r="184">
      <c r="H184" s="47"/>
      <c r="I184" s="62"/>
    </row>
    <row r="185">
      <c r="H185" s="47"/>
      <c r="I185" s="62"/>
    </row>
    <row r="186">
      <c r="H186" s="47"/>
      <c r="I186" s="62"/>
    </row>
    <row r="187">
      <c r="H187" s="47"/>
      <c r="I187" s="62"/>
    </row>
    <row r="188">
      <c r="H188" s="47"/>
      <c r="I188" s="62"/>
    </row>
    <row r="189">
      <c r="H189" s="47"/>
      <c r="I189" s="62"/>
    </row>
    <row r="190">
      <c r="H190" s="47"/>
      <c r="I190" s="62"/>
    </row>
    <row r="191">
      <c r="H191" s="47"/>
      <c r="I191" s="62"/>
    </row>
    <row r="192">
      <c r="H192" s="47"/>
      <c r="I192" s="62"/>
    </row>
    <row r="193">
      <c r="H193" s="47"/>
      <c r="I193" s="62"/>
    </row>
    <row r="194">
      <c r="H194" s="47"/>
      <c r="I194" s="62"/>
    </row>
    <row r="195">
      <c r="H195" s="47"/>
      <c r="I195" s="62"/>
    </row>
    <row r="196">
      <c r="H196" s="47"/>
      <c r="I196" s="62"/>
    </row>
    <row r="197">
      <c r="H197" s="47"/>
      <c r="I197" s="62"/>
    </row>
    <row r="198">
      <c r="H198" s="47"/>
      <c r="I198" s="62"/>
    </row>
    <row r="199">
      <c r="H199" s="47"/>
      <c r="I199" s="62"/>
    </row>
    <row r="200">
      <c r="H200" s="47"/>
      <c r="I200" s="62"/>
    </row>
    <row r="201">
      <c r="H201" s="47"/>
      <c r="I201" s="62"/>
    </row>
    <row r="202">
      <c r="H202" s="47"/>
      <c r="I202" s="62"/>
    </row>
    <row r="203">
      <c r="H203" s="47"/>
      <c r="I203" s="62"/>
    </row>
    <row r="204">
      <c r="H204" s="47"/>
      <c r="I204" s="62"/>
    </row>
    <row r="205">
      <c r="H205" s="47"/>
      <c r="I205" s="62"/>
    </row>
    <row r="206">
      <c r="H206" s="47"/>
      <c r="I206" s="62"/>
    </row>
    <row r="207">
      <c r="H207" s="47"/>
      <c r="I207" s="62"/>
    </row>
    <row r="208">
      <c r="H208" s="47"/>
      <c r="I208" s="62"/>
    </row>
    <row r="209">
      <c r="H209" s="47"/>
      <c r="I209" s="62"/>
    </row>
    <row r="210">
      <c r="H210" s="47"/>
      <c r="I210" s="62"/>
    </row>
    <row r="211">
      <c r="H211" s="47"/>
      <c r="I211" s="62"/>
    </row>
    <row r="212">
      <c r="H212" s="47"/>
      <c r="I212" s="62"/>
    </row>
    <row r="213">
      <c r="H213" s="47"/>
      <c r="I213" s="62"/>
    </row>
    <row r="214">
      <c r="H214" s="47"/>
      <c r="I214" s="62"/>
    </row>
    <row r="215">
      <c r="H215" s="47"/>
      <c r="I215" s="62"/>
    </row>
    <row r="216">
      <c r="H216" s="47"/>
      <c r="I216" s="62"/>
    </row>
    <row r="217">
      <c r="H217" s="47"/>
      <c r="I217" s="62"/>
    </row>
    <row r="218">
      <c r="H218" s="47"/>
      <c r="I218" s="62"/>
    </row>
    <row r="219">
      <c r="H219" s="47"/>
      <c r="I219" s="62"/>
    </row>
    <row r="220">
      <c r="H220" s="47"/>
      <c r="I220" s="62"/>
    </row>
    <row r="221">
      <c r="H221" s="47"/>
      <c r="I221" s="62"/>
    </row>
    <row r="222">
      <c r="H222" s="47"/>
      <c r="I222" s="62"/>
    </row>
    <row r="223">
      <c r="H223" s="47"/>
      <c r="I223" s="62"/>
    </row>
    <row r="224">
      <c r="H224" s="47"/>
      <c r="I224" s="62"/>
    </row>
    <row r="225">
      <c r="H225" s="47"/>
      <c r="I225" s="62"/>
    </row>
    <row r="226">
      <c r="H226" s="47"/>
      <c r="I226" s="62"/>
    </row>
    <row r="227">
      <c r="H227" s="47"/>
      <c r="I227" s="62"/>
    </row>
    <row r="228">
      <c r="H228" s="47"/>
      <c r="I228" s="62"/>
    </row>
    <row r="229">
      <c r="H229" s="47"/>
      <c r="I229" s="62"/>
    </row>
    <row r="230">
      <c r="H230" s="47"/>
      <c r="I230" s="62"/>
    </row>
    <row r="231">
      <c r="H231" s="47"/>
      <c r="I231" s="62"/>
    </row>
    <row r="232">
      <c r="H232" s="47"/>
      <c r="I232" s="62"/>
    </row>
    <row r="233">
      <c r="H233" s="47"/>
      <c r="I233" s="62"/>
    </row>
    <row r="234">
      <c r="H234" s="47"/>
      <c r="I234" s="62"/>
    </row>
    <row r="235">
      <c r="H235" s="47"/>
      <c r="I235" s="62"/>
    </row>
    <row r="236">
      <c r="H236" s="47"/>
      <c r="I236" s="62"/>
    </row>
    <row r="237">
      <c r="H237" s="47"/>
      <c r="I237" s="62"/>
    </row>
    <row r="238">
      <c r="H238" s="47"/>
      <c r="I238" s="62"/>
    </row>
    <row r="239">
      <c r="H239" s="47"/>
      <c r="I239" s="62"/>
    </row>
    <row r="240">
      <c r="H240" s="47"/>
      <c r="I240" s="62"/>
    </row>
    <row r="241">
      <c r="H241" s="47"/>
      <c r="I241" s="62"/>
    </row>
    <row r="242">
      <c r="H242" s="47"/>
      <c r="I242" s="62"/>
    </row>
    <row r="243">
      <c r="H243" s="47"/>
      <c r="I243" s="62"/>
    </row>
    <row r="244">
      <c r="H244" s="47"/>
      <c r="I244" s="62"/>
    </row>
    <row r="245">
      <c r="H245" s="47"/>
      <c r="I245" s="62"/>
    </row>
    <row r="246">
      <c r="H246" s="47"/>
      <c r="I246" s="62"/>
    </row>
    <row r="247">
      <c r="H247" s="47"/>
      <c r="I247" s="62"/>
    </row>
    <row r="248">
      <c r="H248" s="47"/>
      <c r="I248" s="62"/>
    </row>
    <row r="249">
      <c r="H249" s="47"/>
      <c r="I249" s="62"/>
    </row>
    <row r="250">
      <c r="H250" s="47"/>
      <c r="I250" s="62"/>
    </row>
    <row r="251">
      <c r="H251" s="47"/>
      <c r="I251" s="62"/>
    </row>
    <row r="252">
      <c r="H252" s="47"/>
      <c r="I252" s="62"/>
    </row>
    <row r="253">
      <c r="H253" s="47"/>
      <c r="I253" s="62"/>
    </row>
    <row r="254">
      <c r="H254" s="47"/>
      <c r="I254" s="62"/>
    </row>
    <row r="255">
      <c r="H255" s="47"/>
      <c r="I255" s="62"/>
    </row>
    <row r="256">
      <c r="H256" s="47"/>
      <c r="I256" s="62"/>
    </row>
    <row r="257">
      <c r="H257" s="47"/>
      <c r="I257" s="62"/>
    </row>
    <row r="258">
      <c r="H258" s="47"/>
      <c r="I258" s="62"/>
    </row>
    <row r="259">
      <c r="H259" s="47"/>
      <c r="I259" s="62"/>
    </row>
    <row r="260">
      <c r="H260" s="47"/>
      <c r="I260" s="62"/>
    </row>
    <row r="261">
      <c r="H261" s="47"/>
      <c r="I261" s="62"/>
    </row>
    <row r="262">
      <c r="H262" s="47"/>
      <c r="I262" s="62"/>
    </row>
    <row r="263">
      <c r="H263" s="47"/>
      <c r="I263" s="62"/>
    </row>
    <row r="264">
      <c r="H264" s="47"/>
      <c r="I264" s="62"/>
    </row>
    <row r="265">
      <c r="H265" s="47"/>
      <c r="I265" s="62"/>
    </row>
    <row r="266">
      <c r="H266" s="47"/>
      <c r="I266" s="62"/>
    </row>
    <row r="267">
      <c r="H267" s="47"/>
      <c r="I267" s="62"/>
    </row>
    <row r="268">
      <c r="H268" s="47"/>
      <c r="I268" s="62"/>
    </row>
    <row r="269">
      <c r="H269" s="47"/>
      <c r="I269" s="62"/>
    </row>
    <row r="270">
      <c r="H270" s="47"/>
      <c r="I270" s="62"/>
    </row>
    <row r="271">
      <c r="H271" s="47"/>
      <c r="I271" s="62"/>
    </row>
    <row r="272">
      <c r="H272" s="47"/>
      <c r="I272" s="62"/>
    </row>
    <row r="273">
      <c r="H273" s="47"/>
      <c r="I273" s="62"/>
    </row>
    <row r="274">
      <c r="H274" s="47"/>
      <c r="I274" s="62"/>
    </row>
    <row r="275">
      <c r="H275" s="47"/>
      <c r="I275" s="62"/>
    </row>
    <row r="276">
      <c r="H276" s="47"/>
      <c r="I276" s="62"/>
    </row>
    <row r="277">
      <c r="H277" s="47"/>
      <c r="I277" s="62"/>
    </row>
    <row r="278">
      <c r="H278" s="47"/>
      <c r="I278" s="62"/>
    </row>
    <row r="279">
      <c r="H279" s="47"/>
      <c r="I279" s="62"/>
    </row>
    <row r="280">
      <c r="H280" s="47"/>
      <c r="I280" s="62"/>
    </row>
    <row r="281">
      <c r="H281" s="47"/>
      <c r="I281" s="62"/>
    </row>
    <row r="282">
      <c r="H282" s="47"/>
      <c r="I282" s="62"/>
    </row>
    <row r="283">
      <c r="H283" s="47"/>
      <c r="I283" s="62"/>
    </row>
    <row r="284">
      <c r="H284" s="47"/>
      <c r="I284" s="62"/>
    </row>
    <row r="285">
      <c r="H285" s="47"/>
      <c r="I285" s="62"/>
    </row>
    <row r="286">
      <c r="H286" s="47"/>
      <c r="I286" s="62"/>
    </row>
    <row r="287">
      <c r="H287" s="47"/>
      <c r="I287" s="62"/>
    </row>
    <row r="288">
      <c r="H288" s="47"/>
      <c r="I288" s="62"/>
    </row>
    <row r="289">
      <c r="H289" s="47"/>
      <c r="I289" s="62"/>
    </row>
    <row r="290">
      <c r="H290" s="47"/>
      <c r="I290" s="62"/>
    </row>
    <row r="291">
      <c r="H291" s="47"/>
      <c r="I291" s="62"/>
    </row>
    <row r="292">
      <c r="H292" s="47"/>
      <c r="I292" s="62"/>
    </row>
    <row r="293">
      <c r="H293" s="47"/>
      <c r="I293" s="62"/>
    </row>
    <row r="294">
      <c r="H294" s="47"/>
      <c r="I294" s="62"/>
    </row>
    <row r="295">
      <c r="H295" s="47"/>
      <c r="I295" s="62"/>
    </row>
    <row r="296">
      <c r="H296" s="47"/>
      <c r="I296" s="62"/>
    </row>
    <row r="297">
      <c r="H297" s="47"/>
      <c r="I297" s="62"/>
    </row>
    <row r="298">
      <c r="H298" s="47"/>
      <c r="I298" s="62"/>
    </row>
    <row r="299">
      <c r="H299" s="47"/>
      <c r="I299" s="62"/>
    </row>
    <row r="300">
      <c r="H300" s="47"/>
      <c r="I300" s="62"/>
    </row>
    <row r="301">
      <c r="H301" s="47"/>
      <c r="I301" s="62"/>
    </row>
    <row r="302">
      <c r="H302" s="47"/>
      <c r="I302" s="62"/>
    </row>
    <row r="303">
      <c r="H303" s="47"/>
      <c r="I303" s="62"/>
    </row>
    <row r="304">
      <c r="H304" s="47"/>
      <c r="I304" s="62"/>
    </row>
    <row r="305">
      <c r="H305" s="47"/>
      <c r="I305" s="62"/>
    </row>
    <row r="306">
      <c r="H306" s="47"/>
      <c r="I306" s="62"/>
    </row>
    <row r="307">
      <c r="H307" s="47"/>
      <c r="I307" s="62"/>
    </row>
    <row r="308">
      <c r="H308" s="47"/>
      <c r="I308" s="62"/>
    </row>
    <row r="309">
      <c r="H309" s="47"/>
      <c r="I309" s="62"/>
    </row>
    <row r="310">
      <c r="H310" s="47"/>
      <c r="I310" s="62"/>
    </row>
    <row r="311">
      <c r="H311" s="47"/>
      <c r="I311" s="62"/>
    </row>
    <row r="312">
      <c r="H312" s="47"/>
      <c r="I312" s="62"/>
    </row>
    <row r="313">
      <c r="H313" s="47"/>
      <c r="I313" s="62"/>
    </row>
    <row r="314">
      <c r="H314" s="47"/>
      <c r="I314" s="62"/>
    </row>
    <row r="315">
      <c r="H315" s="47"/>
      <c r="I315" s="62"/>
    </row>
    <row r="316">
      <c r="H316" s="47"/>
      <c r="I316" s="62"/>
    </row>
    <row r="317">
      <c r="H317" s="47"/>
      <c r="I317" s="62"/>
    </row>
    <row r="318">
      <c r="H318" s="47"/>
      <c r="I318" s="62"/>
    </row>
    <row r="319">
      <c r="H319" s="47"/>
      <c r="I319" s="62"/>
    </row>
    <row r="320">
      <c r="H320" s="47"/>
      <c r="I320" s="62"/>
    </row>
    <row r="321">
      <c r="H321" s="47"/>
      <c r="I321" s="62"/>
    </row>
    <row r="322">
      <c r="H322" s="47"/>
      <c r="I322" s="62"/>
    </row>
    <row r="323">
      <c r="H323" s="47"/>
      <c r="I323" s="62"/>
    </row>
    <row r="324">
      <c r="H324" s="47"/>
      <c r="I324" s="62"/>
    </row>
    <row r="325">
      <c r="H325" s="47"/>
      <c r="I325" s="62"/>
    </row>
    <row r="326">
      <c r="H326" s="47"/>
      <c r="I326" s="62"/>
    </row>
    <row r="327">
      <c r="H327" s="47"/>
      <c r="I327" s="62"/>
    </row>
    <row r="328">
      <c r="H328" s="47"/>
      <c r="I328" s="62"/>
    </row>
    <row r="329">
      <c r="H329" s="47"/>
      <c r="I329" s="62"/>
    </row>
    <row r="330">
      <c r="H330" s="47"/>
      <c r="I330" s="62"/>
    </row>
    <row r="331">
      <c r="H331" s="47"/>
      <c r="I331" s="62"/>
    </row>
    <row r="332">
      <c r="H332" s="47"/>
      <c r="I332" s="62"/>
    </row>
    <row r="333">
      <c r="H333" s="47"/>
      <c r="I333" s="62"/>
    </row>
    <row r="334">
      <c r="H334" s="47"/>
      <c r="I334" s="62"/>
    </row>
    <row r="335">
      <c r="H335" s="47"/>
      <c r="I335" s="62"/>
    </row>
    <row r="336">
      <c r="H336" s="47"/>
      <c r="I336" s="62"/>
    </row>
    <row r="337">
      <c r="H337" s="47"/>
      <c r="I337" s="62"/>
    </row>
    <row r="338">
      <c r="H338" s="47"/>
      <c r="I338" s="62"/>
    </row>
    <row r="339">
      <c r="H339" s="47"/>
      <c r="I339" s="62"/>
    </row>
    <row r="340">
      <c r="H340" s="47"/>
      <c r="I340" s="62"/>
    </row>
    <row r="341">
      <c r="H341" s="47"/>
      <c r="I341" s="62"/>
    </row>
    <row r="342">
      <c r="H342" s="47"/>
      <c r="I342" s="62"/>
    </row>
    <row r="343">
      <c r="H343" s="47"/>
      <c r="I343" s="62"/>
    </row>
    <row r="344">
      <c r="H344" s="47"/>
      <c r="I344" s="62"/>
    </row>
    <row r="345">
      <c r="H345" s="47"/>
      <c r="I345" s="62"/>
    </row>
    <row r="346">
      <c r="H346" s="47"/>
      <c r="I346" s="62"/>
    </row>
    <row r="347">
      <c r="H347" s="47"/>
      <c r="I347" s="62"/>
    </row>
    <row r="348">
      <c r="H348" s="47"/>
      <c r="I348" s="62"/>
    </row>
    <row r="349">
      <c r="H349" s="47"/>
      <c r="I349" s="62"/>
    </row>
    <row r="350">
      <c r="H350" s="47"/>
      <c r="I350" s="62"/>
    </row>
    <row r="351">
      <c r="H351" s="47"/>
      <c r="I351" s="62"/>
    </row>
    <row r="352">
      <c r="H352" s="47"/>
      <c r="I352" s="62"/>
    </row>
    <row r="353">
      <c r="H353" s="47"/>
      <c r="I353" s="62"/>
    </row>
    <row r="354">
      <c r="H354" s="47"/>
      <c r="I354" s="62"/>
    </row>
    <row r="355">
      <c r="H355" s="47"/>
      <c r="I355" s="62"/>
    </row>
    <row r="356">
      <c r="H356" s="47"/>
      <c r="I356" s="62"/>
    </row>
    <row r="357">
      <c r="H357" s="47"/>
      <c r="I357" s="62"/>
    </row>
    <row r="358">
      <c r="H358" s="47"/>
      <c r="I358" s="62"/>
    </row>
    <row r="359">
      <c r="H359" s="47"/>
      <c r="I359" s="62"/>
    </row>
    <row r="360">
      <c r="H360" s="47"/>
      <c r="I360" s="62"/>
    </row>
    <row r="361">
      <c r="H361" s="47"/>
      <c r="I361" s="62"/>
    </row>
    <row r="362">
      <c r="H362" s="47"/>
      <c r="I362" s="62"/>
    </row>
    <row r="363">
      <c r="H363" s="47"/>
      <c r="I363" s="62"/>
    </row>
    <row r="364">
      <c r="H364" s="47"/>
      <c r="I364" s="62"/>
    </row>
    <row r="365">
      <c r="H365" s="47"/>
      <c r="I365" s="62"/>
    </row>
    <row r="366">
      <c r="H366" s="47"/>
      <c r="I366" s="62"/>
    </row>
    <row r="367">
      <c r="H367" s="47"/>
      <c r="I367" s="62"/>
    </row>
    <row r="368">
      <c r="H368" s="47"/>
      <c r="I368" s="62"/>
    </row>
    <row r="369">
      <c r="H369" s="47"/>
      <c r="I369" s="62"/>
    </row>
    <row r="370">
      <c r="H370" s="47"/>
      <c r="I370" s="62"/>
    </row>
    <row r="371">
      <c r="H371" s="47"/>
      <c r="I371" s="62"/>
    </row>
    <row r="372">
      <c r="H372" s="47"/>
      <c r="I372" s="62"/>
    </row>
    <row r="373">
      <c r="H373" s="47"/>
      <c r="I373" s="62"/>
    </row>
    <row r="374">
      <c r="H374" s="47"/>
      <c r="I374" s="62"/>
    </row>
    <row r="375">
      <c r="H375" s="47"/>
      <c r="I375" s="62"/>
    </row>
    <row r="376">
      <c r="H376" s="47"/>
      <c r="I376" s="62"/>
    </row>
    <row r="377">
      <c r="H377" s="47"/>
      <c r="I377" s="62"/>
    </row>
    <row r="378">
      <c r="H378" s="47"/>
      <c r="I378" s="62"/>
    </row>
    <row r="379">
      <c r="H379" s="47"/>
      <c r="I379" s="62"/>
    </row>
    <row r="380">
      <c r="H380" s="47"/>
      <c r="I380" s="62"/>
    </row>
    <row r="381">
      <c r="H381" s="47"/>
      <c r="I381" s="62"/>
    </row>
    <row r="382">
      <c r="H382" s="47"/>
      <c r="I382" s="62"/>
    </row>
    <row r="383">
      <c r="H383" s="47"/>
      <c r="I383" s="62"/>
    </row>
    <row r="384">
      <c r="H384" s="47"/>
      <c r="I384" s="62"/>
    </row>
    <row r="385">
      <c r="H385" s="47"/>
      <c r="I385" s="62"/>
    </row>
    <row r="386">
      <c r="H386" s="47"/>
      <c r="I386" s="62"/>
    </row>
    <row r="387">
      <c r="H387" s="47"/>
      <c r="I387" s="62"/>
    </row>
    <row r="388">
      <c r="H388" s="47"/>
      <c r="I388" s="62"/>
    </row>
    <row r="389">
      <c r="H389" s="47"/>
      <c r="I389" s="62"/>
    </row>
    <row r="390">
      <c r="H390" s="47"/>
      <c r="I390" s="62"/>
    </row>
    <row r="391">
      <c r="H391" s="47"/>
      <c r="I391" s="62"/>
    </row>
    <row r="392">
      <c r="H392" s="47"/>
      <c r="I392" s="62"/>
    </row>
    <row r="393">
      <c r="H393" s="47"/>
      <c r="I393" s="62"/>
    </row>
    <row r="394">
      <c r="H394" s="47"/>
      <c r="I394" s="62"/>
    </row>
    <row r="395">
      <c r="H395" s="47"/>
      <c r="I395" s="62"/>
    </row>
    <row r="396">
      <c r="H396" s="47"/>
      <c r="I396" s="62"/>
    </row>
    <row r="397">
      <c r="H397" s="47"/>
      <c r="I397" s="62"/>
    </row>
    <row r="398">
      <c r="H398" s="47"/>
      <c r="I398" s="62"/>
    </row>
    <row r="399">
      <c r="H399" s="47"/>
      <c r="I399" s="62"/>
    </row>
    <row r="400">
      <c r="H400" s="47"/>
      <c r="I400" s="62"/>
    </row>
    <row r="401">
      <c r="H401" s="47"/>
      <c r="I401" s="62"/>
    </row>
    <row r="402">
      <c r="H402" s="47"/>
      <c r="I402" s="62"/>
    </row>
    <row r="403">
      <c r="H403" s="47"/>
      <c r="I403" s="62"/>
    </row>
    <row r="404">
      <c r="H404" s="47"/>
      <c r="I404" s="62"/>
    </row>
    <row r="405">
      <c r="H405" s="47"/>
      <c r="I405" s="62"/>
    </row>
    <row r="406">
      <c r="H406" s="47"/>
      <c r="I406" s="62"/>
    </row>
    <row r="407">
      <c r="H407" s="47"/>
      <c r="I407" s="62"/>
    </row>
    <row r="408">
      <c r="H408" s="47"/>
      <c r="I408" s="62"/>
    </row>
    <row r="409">
      <c r="H409" s="47"/>
      <c r="I409" s="62"/>
    </row>
    <row r="410">
      <c r="H410" s="47"/>
      <c r="I410" s="62"/>
    </row>
    <row r="411">
      <c r="H411" s="47"/>
      <c r="I411" s="62"/>
    </row>
    <row r="412">
      <c r="H412" s="47"/>
      <c r="I412" s="62"/>
    </row>
    <row r="413">
      <c r="H413" s="47"/>
      <c r="I413" s="62"/>
    </row>
    <row r="414">
      <c r="H414" s="47"/>
      <c r="I414" s="62"/>
    </row>
    <row r="415">
      <c r="H415" s="47"/>
      <c r="I415" s="62"/>
    </row>
    <row r="416">
      <c r="H416" s="47"/>
      <c r="I416" s="62"/>
    </row>
    <row r="417">
      <c r="H417" s="47"/>
      <c r="I417" s="62"/>
    </row>
    <row r="418">
      <c r="H418" s="47"/>
      <c r="I418" s="62"/>
    </row>
    <row r="419">
      <c r="H419" s="47"/>
      <c r="I419" s="62"/>
    </row>
    <row r="420">
      <c r="H420" s="47"/>
      <c r="I420" s="62"/>
    </row>
    <row r="421">
      <c r="H421" s="47"/>
      <c r="I421" s="62"/>
    </row>
    <row r="422">
      <c r="H422" s="47"/>
      <c r="I422" s="62"/>
    </row>
    <row r="423">
      <c r="H423" s="47"/>
      <c r="I423" s="62"/>
    </row>
    <row r="424">
      <c r="H424" s="47"/>
      <c r="I424" s="62"/>
    </row>
    <row r="425">
      <c r="H425" s="47"/>
      <c r="I425" s="62"/>
    </row>
    <row r="426">
      <c r="H426" s="47"/>
      <c r="I426" s="62"/>
    </row>
    <row r="427">
      <c r="H427" s="47"/>
      <c r="I427" s="62"/>
    </row>
    <row r="428">
      <c r="H428" s="47"/>
      <c r="I428" s="62"/>
    </row>
    <row r="429">
      <c r="H429" s="47"/>
      <c r="I429" s="62"/>
    </row>
    <row r="430">
      <c r="H430" s="47"/>
      <c r="I430" s="62"/>
    </row>
    <row r="431">
      <c r="H431" s="47"/>
      <c r="I431" s="62"/>
    </row>
    <row r="432">
      <c r="H432" s="47"/>
      <c r="I432" s="62"/>
    </row>
    <row r="433">
      <c r="H433" s="47"/>
      <c r="I433" s="62"/>
    </row>
    <row r="434">
      <c r="H434" s="47"/>
      <c r="I434" s="62"/>
    </row>
    <row r="435">
      <c r="H435" s="47"/>
      <c r="I435" s="62"/>
    </row>
    <row r="436">
      <c r="H436" s="47"/>
      <c r="I436" s="62"/>
    </row>
    <row r="437">
      <c r="H437" s="47"/>
      <c r="I437" s="62"/>
    </row>
    <row r="438">
      <c r="H438" s="47"/>
      <c r="I438" s="62"/>
    </row>
    <row r="439">
      <c r="H439" s="47"/>
      <c r="I439" s="62"/>
    </row>
    <row r="440">
      <c r="H440" s="47"/>
      <c r="I440" s="62"/>
    </row>
    <row r="441">
      <c r="H441" s="47"/>
      <c r="I441" s="62"/>
    </row>
    <row r="442">
      <c r="H442" s="47"/>
      <c r="I442" s="62"/>
    </row>
    <row r="443">
      <c r="H443" s="47"/>
      <c r="I443" s="62"/>
    </row>
    <row r="444">
      <c r="H444" s="47"/>
      <c r="I444" s="62"/>
    </row>
    <row r="445">
      <c r="H445" s="47"/>
      <c r="I445" s="62"/>
    </row>
    <row r="446">
      <c r="H446" s="47"/>
      <c r="I446" s="62"/>
    </row>
    <row r="447">
      <c r="H447" s="47"/>
      <c r="I447" s="62"/>
    </row>
    <row r="448">
      <c r="H448" s="47"/>
      <c r="I448" s="62"/>
    </row>
    <row r="449">
      <c r="H449" s="47"/>
      <c r="I449" s="62"/>
    </row>
    <row r="450">
      <c r="H450" s="47"/>
      <c r="I450" s="62"/>
    </row>
    <row r="451">
      <c r="H451" s="47"/>
      <c r="I451" s="62"/>
    </row>
    <row r="452">
      <c r="H452" s="47"/>
      <c r="I452" s="62"/>
    </row>
    <row r="453">
      <c r="H453" s="47"/>
      <c r="I453" s="62"/>
    </row>
    <row r="454">
      <c r="H454" s="47"/>
      <c r="I454" s="62"/>
    </row>
    <row r="455">
      <c r="H455" s="47"/>
      <c r="I455" s="62"/>
    </row>
    <row r="456">
      <c r="H456" s="47"/>
      <c r="I456" s="62"/>
    </row>
    <row r="457">
      <c r="H457" s="47"/>
      <c r="I457" s="62"/>
    </row>
    <row r="458">
      <c r="H458" s="47"/>
      <c r="I458" s="62"/>
    </row>
    <row r="459">
      <c r="H459" s="47"/>
      <c r="I459" s="62"/>
    </row>
    <row r="460">
      <c r="H460" s="47"/>
      <c r="I460" s="62"/>
    </row>
    <row r="461">
      <c r="H461" s="47"/>
      <c r="I461" s="62"/>
    </row>
    <row r="462">
      <c r="H462" s="47"/>
      <c r="I462" s="62"/>
    </row>
    <row r="463">
      <c r="H463" s="47"/>
      <c r="I463" s="62"/>
    </row>
    <row r="464">
      <c r="H464" s="47"/>
      <c r="I464" s="62"/>
    </row>
    <row r="465">
      <c r="H465" s="47"/>
      <c r="I465" s="62"/>
    </row>
    <row r="466">
      <c r="H466" s="47"/>
      <c r="I466" s="62"/>
    </row>
    <row r="467">
      <c r="H467" s="47"/>
      <c r="I467" s="62"/>
    </row>
    <row r="468">
      <c r="H468" s="47"/>
      <c r="I468" s="62"/>
    </row>
    <row r="469">
      <c r="H469" s="47"/>
      <c r="I469" s="62"/>
    </row>
    <row r="470">
      <c r="H470" s="47"/>
      <c r="I470" s="62"/>
    </row>
    <row r="471">
      <c r="H471" s="47"/>
      <c r="I471" s="62"/>
    </row>
    <row r="472">
      <c r="H472" s="47"/>
      <c r="I472" s="62"/>
    </row>
    <row r="473">
      <c r="H473" s="47"/>
      <c r="I473" s="62"/>
    </row>
    <row r="474">
      <c r="H474" s="47"/>
      <c r="I474" s="62"/>
    </row>
    <row r="475">
      <c r="H475" s="47"/>
      <c r="I475" s="62"/>
    </row>
    <row r="476">
      <c r="H476" s="47"/>
      <c r="I476" s="62"/>
    </row>
    <row r="477">
      <c r="H477" s="47"/>
      <c r="I477" s="62"/>
    </row>
    <row r="478">
      <c r="H478" s="47"/>
      <c r="I478" s="62"/>
    </row>
    <row r="479">
      <c r="H479" s="47"/>
      <c r="I479" s="62"/>
    </row>
    <row r="480">
      <c r="H480" s="47"/>
      <c r="I480" s="62"/>
    </row>
    <row r="481">
      <c r="H481" s="47"/>
      <c r="I481" s="62"/>
    </row>
    <row r="482">
      <c r="H482" s="47"/>
      <c r="I482" s="62"/>
    </row>
    <row r="483">
      <c r="H483" s="47"/>
      <c r="I483" s="62"/>
    </row>
    <row r="484">
      <c r="H484" s="47"/>
      <c r="I484" s="62"/>
    </row>
    <row r="485">
      <c r="H485" s="47"/>
      <c r="I485" s="62"/>
    </row>
    <row r="486">
      <c r="H486" s="47"/>
      <c r="I486" s="62"/>
    </row>
    <row r="487">
      <c r="H487" s="47"/>
      <c r="I487" s="62"/>
    </row>
    <row r="488">
      <c r="H488" s="47"/>
      <c r="I488" s="62"/>
    </row>
    <row r="489">
      <c r="H489" s="47"/>
      <c r="I489" s="62"/>
    </row>
    <row r="490">
      <c r="H490" s="47"/>
      <c r="I490" s="62"/>
    </row>
    <row r="491">
      <c r="H491" s="47"/>
      <c r="I491" s="62"/>
    </row>
    <row r="492">
      <c r="H492" s="47"/>
      <c r="I492" s="62"/>
    </row>
    <row r="493">
      <c r="H493" s="47"/>
      <c r="I493" s="62"/>
    </row>
    <row r="494">
      <c r="H494" s="47"/>
      <c r="I494" s="62"/>
    </row>
    <row r="495">
      <c r="H495" s="47"/>
      <c r="I495" s="62"/>
    </row>
    <row r="496">
      <c r="H496" s="47"/>
      <c r="I496" s="62"/>
    </row>
    <row r="497">
      <c r="H497" s="47"/>
      <c r="I497" s="62"/>
    </row>
    <row r="498">
      <c r="H498" s="47"/>
      <c r="I498" s="62"/>
    </row>
    <row r="499">
      <c r="H499" s="47"/>
      <c r="I499" s="62"/>
    </row>
    <row r="500">
      <c r="H500" s="47"/>
      <c r="I500" s="62"/>
    </row>
    <row r="501">
      <c r="H501" s="47"/>
      <c r="I501" s="62"/>
    </row>
    <row r="502">
      <c r="H502" s="47"/>
      <c r="I502" s="62"/>
    </row>
    <row r="503">
      <c r="H503" s="47"/>
      <c r="I503" s="62"/>
    </row>
    <row r="504">
      <c r="H504" s="47"/>
      <c r="I504" s="62"/>
    </row>
    <row r="505">
      <c r="H505" s="47"/>
      <c r="I505" s="62"/>
    </row>
    <row r="506">
      <c r="H506" s="47"/>
      <c r="I506" s="62"/>
    </row>
    <row r="507">
      <c r="H507" s="47"/>
      <c r="I507" s="62"/>
    </row>
    <row r="508">
      <c r="H508" s="47"/>
      <c r="I508" s="62"/>
    </row>
    <row r="509">
      <c r="H509" s="47"/>
      <c r="I509" s="62"/>
    </row>
    <row r="510">
      <c r="H510" s="47"/>
      <c r="I510" s="62"/>
    </row>
    <row r="511">
      <c r="H511" s="47"/>
      <c r="I511" s="62"/>
    </row>
    <row r="512">
      <c r="H512" s="47"/>
      <c r="I512" s="62"/>
    </row>
    <row r="513">
      <c r="H513" s="47"/>
      <c r="I513" s="62"/>
    </row>
    <row r="514">
      <c r="H514" s="47"/>
      <c r="I514" s="62"/>
    </row>
    <row r="515">
      <c r="H515" s="47"/>
      <c r="I515" s="62"/>
    </row>
    <row r="516">
      <c r="H516" s="47"/>
      <c r="I516" s="62"/>
    </row>
    <row r="517">
      <c r="H517" s="47"/>
      <c r="I517" s="62"/>
    </row>
    <row r="518">
      <c r="H518" s="47"/>
      <c r="I518" s="62"/>
    </row>
    <row r="519">
      <c r="H519" s="47"/>
      <c r="I519" s="62"/>
    </row>
    <row r="520">
      <c r="H520" s="47"/>
      <c r="I520" s="62"/>
    </row>
    <row r="521">
      <c r="H521" s="47"/>
      <c r="I521" s="62"/>
    </row>
    <row r="522">
      <c r="H522" s="47"/>
      <c r="I522" s="62"/>
    </row>
    <row r="523">
      <c r="H523" s="47"/>
      <c r="I523" s="62"/>
    </row>
    <row r="524">
      <c r="H524" s="47"/>
      <c r="I524" s="62"/>
    </row>
    <row r="525">
      <c r="H525" s="47"/>
      <c r="I525" s="62"/>
    </row>
    <row r="526">
      <c r="H526" s="47"/>
      <c r="I526" s="62"/>
    </row>
    <row r="527">
      <c r="H527" s="47"/>
      <c r="I527" s="62"/>
    </row>
    <row r="528">
      <c r="H528" s="47"/>
      <c r="I528" s="62"/>
    </row>
    <row r="529">
      <c r="H529" s="47"/>
      <c r="I529" s="62"/>
    </row>
    <row r="530">
      <c r="H530" s="47"/>
      <c r="I530" s="62"/>
    </row>
    <row r="531">
      <c r="H531" s="47"/>
      <c r="I531" s="62"/>
    </row>
    <row r="532">
      <c r="H532" s="47"/>
      <c r="I532" s="62"/>
    </row>
    <row r="533">
      <c r="H533" s="47"/>
      <c r="I533" s="62"/>
    </row>
    <row r="534">
      <c r="H534" s="47"/>
      <c r="I534" s="62"/>
    </row>
    <row r="535">
      <c r="H535" s="47"/>
      <c r="I535" s="62"/>
    </row>
    <row r="536">
      <c r="H536" s="47"/>
      <c r="I536" s="62"/>
    </row>
    <row r="537">
      <c r="H537" s="47"/>
      <c r="I537" s="62"/>
    </row>
    <row r="538">
      <c r="H538" s="47"/>
      <c r="I538" s="62"/>
    </row>
    <row r="539">
      <c r="H539" s="47"/>
      <c r="I539" s="62"/>
    </row>
    <row r="540">
      <c r="H540" s="47"/>
      <c r="I540" s="62"/>
    </row>
    <row r="541">
      <c r="H541" s="47"/>
      <c r="I541" s="62"/>
    </row>
    <row r="542">
      <c r="H542" s="47"/>
      <c r="I542" s="62"/>
    </row>
    <row r="543">
      <c r="H543" s="47"/>
      <c r="I543" s="62"/>
    </row>
    <row r="544">
      <c r="H544" s="47"/>
      <c r="I544" s="62"/>
    </row>
    <row r="545">
      <c r="H545" s="47"/>
      <c r="I545" s="62"/>
    </row>
    <row r="546">
      <c r="H546" s="47"/>
      <c r="I546" s="62"/>
    </row>
    <row r="547">
      <c r="H547" s="47"/>
      <c r="I547" s="62"/>
    </row>
    <row r="548">
      <c r="H548" s="47"/>
      <c r="I548" s="62"/>
    </row>
    <row r="549">
      <c r="H549" s="47"/>
      <c r="I549" s="62"/>
    </row>
    <row r="550">
      <c r="H550" s="47"/>
      <c r="I550" s="62"/>
    </row>
    <row r="551">
      <c r="H551" s="47"/>
      <c r="I551" s="62"/>
    </row>
    <row r="552">
      <c r="H552" s="47"/>
      <c r="I552" s="62"/>
    </row>
    <row r="553">
      <c r="H553" s="47"/>
      <c r="I553" s="62"/>
    </row>
    <row r="554">
      <c r="H554" s="47"/>
      <c r="I554" s="62"/>
    </row>
    <row r="555">
      <c r="H555" s="47"/>
      <c r="I555" s="62"/>
    </row>
    <row r="556">
      <c r="H556" s="47"/>
      <c r="I556" s="62"/>
    </row>
    <row r="557">
      <c r="H557" s="47"/>
      <c r="I557" s="62"/>
    </row>
    <row r="558">
      <c r="H558" s="47"/>
      <c r="I558" s="62"/>
    </row>
    <row r="559">
      <c r="H559" s="47"/>
      <c r="I559" s="62"/>
    </row>
    <row r="560">
      <c r="H560" s="47"/>
      <c r="I560" s="62"/>
    </row>
    <row r="561">
      <c r="H561" s="47"/>
      <c r="I561" s="62"/>
    </row>
    <row r="562">
      <c r="H562" s="47"/>
      <c r="I562" s="62"/>
    </row>
    <row r="563">
      <c r="H563" s="47"/>
      <c r="I563" s="62"/>
    </row>
    <row r="564">
      <c r="H564" s="47"/>
      <c r="I564" s="62"/>
    </row>
    <row r="565">
      <c r="H565" s="47"/>
      <c r="I565" s="62"/>
    </row>
    <row r="566">
      <c r="H566" s="47"/>
      <c r="I566" s="62"/>
    </row>
    <row r="567">
      <c r="H567" s="47"/>
      <c r="I567" s="62"/>
    </row>
    <row r="568">
      <c r="H568" s="47"/>
      <c r="I568" s="62"/>
    </row>
    <row r="569">
      <c r="H569" s="47"/>
      <c r="I569" s="62"/>
    </row>
    <row r="570">
      <c r="H570" s="47"/>
      <c r="I570" s="62"/>
    </row>
    <row r="571">
      <c r="H571" s="47"/>
      <c r="I571" s="62"/>
    </row>
    <row r="572">
      <c r="H572" s="47"/>
      <c r="I572" s="62"/>
    </row>
    <row r="573">
      <c r="H573" s="47"/>
      <c r="I573" s="62"/>
    </row>
    <row r="574">
      <c r="H574" s="47"/>
      <c r="I574" s="62"/>
    </row>
    <row r="575">
      <c r="H575" s="47"/>
      <c r="I575" s="62"/>
    </row>
    <row r="576">
      <c r="H576" s="47"/>
      <c r="I576" s="62"/>
    </row>
    <row r="577">
      <c r="H577" s="47"/>
      <c r="I577" s="62"/>
    </row>
    <row r="578">
      <c r="H578" s="47"/>
      <c r="I578" s="62"/>
    </row>
    <row r="579">
      <c r="H579" s="47"/>
      <c r="I579" s="62"/>
    </row>
    <row r="580">
      <c r="H580" s="47"/>
      <c r="I580" s="62"/>
    </row>
    <row r="581">
      <c r="H581" s="47"/>
      <c r="I581" s="62"/>
    </row>
    <row r="582">
      <c r="H582" s="47"/>
      <c r="I582" s="62"/>
    </row>
    <row r="583">
      <c r="H583" s="47"/>
      <c r="I583" s="62"/>
    </row>
    <row r="584">
      <c r="H584" s="47"/>
      <c r="I584" s="62"/>
    </row>
    <row r="585">
      <c r="H585" s="47"/>
      <c r="I585" s="62"/>
    </row>
    <row r="586">
      <c r="H586" s="47"/>
      <c r="I586" s="62"/>
    </row>
    <row r="587">
      <c r="H587" s="47"/>
      <c r="I587" s="62"/>
    </row>
    <row r="588">
      <c r="H588" s="47"/>
      <c r="I588" s="62"/>
    </row>
    <row r="589">
      <c r="H589" s="47"/>
      <c r="I589" s="62"/>
    </row>
    <row r="590">
      <c r="H590" s="47"/>
      <c r="I590" s="62"/>
    </row>
    <row r="591">
      <c r="H591" s="47"/>
      <c r="I591" s="62"/>
    </row>
    <row r="592">
      <c r="H592" s="47"/>
      <c r="I592" s="62"/>
    </row>
    <row r="593">
      <c r="H593" s="47"/>
      <c r="I593" s="62"/>
    </row>
    <row r="594">
      <c r="H594" s="47"/>
      <c r="I594" s="62"/>
    </row>
    <row r="595">
      <c r="H595" s="47"/>
      <c r="I595" s="62"/>
    </row>
    <row r="596">
      <c r="H596" s="47"/>
      <c r="I596" s="62"/>
    </row>
    <row r="597">
      <c r="H597" s="47"/>
      <c r="I597" s="62"/>
    </row>
    <row r="598">
      <c r="H598" s="47"/>
      <c r="I598" s="62"/>
    </row>
    <row r="599">
      <c r="H599" s="47"/>
      <c r="I599" s="62"/>
    </row>
    <row r="600">
      <c r="H600" s="47"/>
      <c r="I600" s="62"/>
    </row>
    <row r="601">
      <c r="H601" s="47"/>
      <c r="I601" s="62"/>
    </row>
    <row r="602">
      <c r="H602" s="47"/>
      <c r="I602" s="62"/>
    </row>
    <row r="603">
      <c r="H603" s="47"/>
      <c r="I603" s="62"/>
    </row>
    <row r="604">
      <c r="H604" s="47"/>
      <c r="I604" s="62"/>
    </row>
    <row r="605">
      <c r="H605" s="47"/>
      <c r="I605" s="62"/>
    </row>
    <row r="606">
      <c r="H606" s="47"/>
      <c r="I606" s="62"/>
    </row>
    <row r="607">
      <c r="H607" s="47"/>
      <c r="I607" s="62"/>
    </row>
    <row r="608">
      <c r="H608" s="47"/>
      <c r="I608" s="62"/>
    </row>
    <row r="609">
      <c r="H609" s="47"/>
      <c r="I609" s="62"/>
    </row>
    <row r="610">
      <c r="H610" s="47"/>
      <c r="I610" s="62"/>
    </row>
    <row r="611">
      <c r="H611" s="47"/>
      <c r="I611" s="62"/>
    </row>
    <row r="612">
      <c r="H612" s="47"/>
      <c r="I612" s="62"/>
    </row>
    <row r="613">
      <c r="H613" s="47"/>
      <c r="I613" s="62"/>
    </row>
    <row r="614">
      <c r="H614" s="47"/>
      <c r="I614" s="62"/>
    </row>
    <row r="615">
      <c r="H615" s="47"/>
      <c r="I615" s="62"/>
    </row>
    <row r="616">
      <c r="H616" s="47"/>
      <c r="I616" s="62"/>
    </row>
    <row r="617">
      <c r="H617" s="47"/>
      <c r="I617" s="62"/>
    </row>
    <row r="618">
      <c r="H618" s="47"/>
      <c r="I618" s="62"/>
    </row>
    <row r="619">
      <c r="H619" s="47"/>
      <c r="I619" s="62"/>
    </row>
    <row r="620">
      <c r="H620" s="47"/>
      <c r="I620" s="62"/>
    </row>
    <row r="621">
      <c r="H621" s="47"/>
      <c r="I621" s="62"/>
    </row>
    <row r="622">
      <c r="H622" s="47"/>
      <c r="I622" s="62"/>
    </row>
    <row r="623">
      <c r="H623" s="47"/>
      <c r="I623" s="62"/>
    </row>
    <row r="624">
      <c r="H624" s="47"/>
      <c r="I624" s="62"/>
    </row>
    <row r="625">
      <c r="H625" s="47"/>
      <c r="I625" s="62"/>
    </row>
    <row r="626">
      <c r="H626" s="47"/>
      <c r="I626" s="62"/>
    </row>
    <row r="627">
      <c r="H627" s="47"/>
      <c r="I627" s="62"/>
    </row>
    <row r="628">
      <c r="H628" s="47"/>
      <c r="I628" s="62"/>
    </row>
    <row r="629">
      <c r="H629" s="47"/>
      <c r="I629" s="62"/>
    </row>
    <row r="630">
      <c r="H630" s="47"/>
      <c r="I630" s="62"/>
    </row>
    <row r="631">
      <c r="H631" s="47"/>
      <c r="I631" s="62"/>
    </row>
    <row r="632">
      <c r="H632" s="47"/>
      <c r="I632" s="62"/>
    </row>
    <row r="633">
      <c r="H633" s="47"/>
      <c r="I633" s="62"/>
    </row>
    <row r="634">
      <c r="H634" s="47"/>
      <c r="I634" s="62"/>
    </row>
    <row r="635">
      <c r="H635" s="47"/>
      <c r="I635" s="62"/>
    </row>
    <row r="636">
      <c r="H636" s="47"/>
      <c r="I636" s="62"/>
    </row>
    <row r="637">
      <c r="H637" s="47"/>
      <c r="I637" s="62"/>
    </row>
    <row r="638">
      <c r="H638" s="47"/>
      <c r="I638" s="62"/>
    </row>
    <row r="639">
      <c r="H639" s="47"/>
      <c r="I639" s="62"/>
    </row>
    <row r="640">
      <c r="H640" s="47"/>
      <c r="I640" s="62"/>
    </row>
    <row r="641">
      <c r="H641" s="47"/>
      <c r="I641" s="62"/>
    </row>
    <row r="642">
      <c r="H642" s="47"/>
      <c r="I642" s="62"/>
    </row>
    <row r="643">
      <c r="H643" s="47"/>
      <c r="I643" s="62"/>
    </row>
    <row r="644">
      <c r="H644" s="47"/>
      <c r="I644" s="62"/>
    </row>
    <row r="645">
      <c r="H645" s="47"/>
      <c r="I645" s="62"/>
    </row>
    <row r="646">
      <c r="H646" s="47"/>
      <c r="I646" s="62"/>
    </row>
    <row r="647">
      <c r="H647" s="47"/>
      <c r="I647" s="62"/>
    </row>
    <row r="648">
      <c r="H648" s="47"/>
      <c r="I648" s="62"/>
    </row>
    <row r="649">
      <c r="H649" s="47"/>
      <c r="I649" s="62"/>
    </row>
    <row r="650">
      <c r="H650" s="47"/>
      <c r="I650" s="62"/>
    </row>
    <row r="651">
      <c r="H651" s="47"/>
      <c r="I651" s="62"/>
    </row>
    <row r="652">
      <c r="H652" s="47"/>
      <c r="I652" s="62"/>
    </row>
    <row r="653">
      <c r="H653" s="47"/>
      <c r="I653" s="62"/>
    </row>
    <row r="654">
      <c r="H654" s="47"/>
      <c r="I654" s="62"/>
    </row>
    <row r="655">
      <c r="H655" s="47"/>
      <c r="I655" s="62"/>
    </row>
    <row r="656">
      <c r="H656" s="47"/>
      <c r="I656" s="62"/>
    </row>
    <row r="657">
      <c r="H657" s="47"/>
      <c r="I657" s="62"/>
    </row>
    <row r="658">
      <c r="H658" s="47"/>
      <c r="I658" s="62"/>
    </row>
    <row r="659">
      <c r="H659" s="47"/>
      <c r="I659" s="62"/>
    </row>
    <row r="660">
      <c r="H660" s="47"/>
      <c r="I660" s="62"/>
    </row>
    <row r="661">
      <c r="H661" s="47"/>
      <c r="I661" s="62"/>
    </row>
    <row r="662">
      <c r="H662" s="47"/>
      <c r="I662" s="62"/>
    </row>
    <row r="663">
      <c r="H663" s="47"/>
      <c r="I663" s="62"/>
    </row>
    <row r="664">
      <c r="H664" s="47"/>
      <c r="I664" s="62"/>
    </row>
    <row r="665">
      <c r="H665" s="47"/>
      <c r="I665" s="62"/>
    </row>
    <row r="666">
      <c r="H666" s="47"/>
      <c r="I666" s="62"/>
    </row>
    <row r="667">
      <c r="H667" s="47"/>
      <c r="I667" s="62"/>
    </row>
    <row r="668">
      <c r="H668" s="47"/>
      <c r="I668" s="62"/>
    </row>
    <row r="669">
      <c r="H669" s="47"/>
      <c r="I669" s="62"/>
    </row>
    <row r="670">
      <c r="H670" s="47"/>
      <c r="I670" s="62"/>
    </row>
    <row r="671">
      <c r="H671" s="47"/>
      <c r="I671" s="62"/>
    </row>
    <row r="672">
      <c r="H672" s="47"/>
      <c r="I672" s="62"/>
    </row>
    <row r="673">
      <c r="H673" s="47"/>
      <c r="I673" s="62"/>
    </row>
    <row r="674">
      <c r="H674" s="47"/>
      <c r="I674" s="62"/>
    </row>
    <row r="675">
      <c r="H675" s="47"/>
      <c r="I675" s="62"/>
    </row>
    <row r="676">
      <c r="H676" s="47"/>
      <c r="I676" s="62"/>
    </row>
    <row r="677">
      <c r="H677" s="47"/>
      <c r="I677" s="62"/>
    </row>
    <row r="678">
      <c r="H678" s="47"/>
      <c r="I678" s="62"/>
    </row>
    <row r="679">
      <c r="H679" s="47"/>
      <c r="I679" s="62"/>
    </row>
    <row r="680">
      <c r="H680" s="47"/>
      <c r="I680" s="62"/>
    </row>
    <row r="681">
      <c r="H681" s="47"/>
      <c r="I681" s="62"/>
    </row>
    <row r="682">
      <c r="H682" s="47"/>
      <c r="I682" s="62"/>
    </row>
    <row r="683">
      <c r="H683" s="47"/>
      <c r="I683" s="62"/>
    </row>
    <row r="684">
      <c r="H684" s="47"/>
      <c r="I684" s="62"/>
    </row>
    <row r="685">
      <c r="H685" s="47"/>
      <c r="I685" s="62"/>
    </row>
    <row r="686">
      <c r="H686" s="47"/>
      <c r="I686" s="62"/>
    </row>
    <row r="687">
      <c r="H687" s="47"/>
      <c r="I687" s="62"/>
    </row>
    <row r="688">
      <c r="H688" s="47"/>
      <c r="I688" s="62"/>
    </row>
    <row r="689">
      <c r="H689" s="47"/>
      <c r="I689" s="62"/>
    </row>
    <row r="690">
      <c r="H690" s="47"/>
      <c r="I690" s="62"/>
    </row>
    <row r="691">
      <c r="H691" s="47"/>
      <c r="I691" s="62"/>
    </row>
    <row r="692">
      <c r="H692" s="47"/>
      <c r="I692" s="62"/>
    </row>
    <row r="693">
      <c r="H693" s="47"/>
      <c r="I693" s="62"/>
    </row>
    <row r="694">
      <c r="H694" s="47"/>
      <c r="I694" s="62"/>
    </row>
    <row r="695">
      <c r="H695" s="47"/>
      <c r="I695" s="62"/>
    </row>
    <row r="696">
      <c r="H696" s="47"/>
      <c r="I696" s="62"/>
    </row>
    <row r="697">
      <c r="H697" s="47"/>
      <c r="I697" s="62"/>
    </row>
    <row r="698">
      <c r="H698" s="47"/>
      <c r="I698" s="62"/>
    </row>
    <row r="699">
      <c r="H699" s="47"/>
      <c r="I699" s="62"/>
    </row>
    <row r="700">
      <c r="H700" s="47"/>
      <c r="I700" s="62"/>
    </row>
    <row r="701">
      <c r="H701" s="47"/>
      <c r="I701" s="62"/>
    </row>
    <row r="702">
      <c r="H702" s="47"/>
      <c r="I702" s="62"/>
    </row>
    <row r="703">
      <c r="H703" s="47"/>
      <c r="I703" s="62"/>
    </row>
    <row r="704">
      <c r="H704" s="47"/>
      <c r="I704" s="62"/>
    </row>
    <row r="705">
      <c r="H705" s="47"/>
      <c r="I705" s="62"/>
    </row>
    <row r="706">
      <c r="H706" s="47"/>
      <c r="I706" s="62"/>
    </row>
    <row r="707">
      <c r="H707" s="47"/>
      <c r="I707" s="62"/>
    </row>
    <row r="708">
      <c r="H708" s="47"/>
      <c r="I708" s="62"/>
    </row>
    <row r="709">
      <c r="H709" s="47"/>
      <c r="I709" s="62"/>
    </row>
    <row r="710">
      <c r="H710" s="47"/>
      <c r="I710" s="62"/>
    </row>
    <row r="711">
      <c r="H711" s="47"/>
      <c r="I711" s="62"/>
    </row>
    <row r="712">
      <c r="H712" s="47"/>
      <c r="I712" s="62"/>
    </row>
    <row r="713">
      <c r="H713" s="47"/>
      <c r="I713" s="62"/>
    </row>
    <row r="714">
      <c r="H714" s="47"/>
      <c r="I714" s="62"/>
    </row>
    <row r="715">
      <c r="H715" s="47"/>
      <c r="I715" s="62"/>
    </row>
    <row r="716">
      <c r="H716" s="47"/>
      <c r="I716" s="62"/>
    </row>
    <row r="717">
      <c r="H717" s="47"/>
      <c r="I717" s="62"/>
    </row>
    <row r="718">
      <c r="H718" s="47"/>
      <c r="I718" s="62"/>
    </row>
    <row r="719">
      <c r="H719" s="47"/>
      <c r="I719" s="62"/>
    </row>
    <row r="720">
      <c r="H720" s="47"/>
      <c r="I720" s="62"/>
    </row>
    <row r="721">
      <c r="H721" s="47"/>
      <c r="I721" s="62"/>
    </row>
    <row r="722">
      <c r="H722" s="47"/>
      <c r="I722" s="62"/>
    </row>
    <row r="723">
      <c r="H723" s="47"/>
      <c r="I723" s="62"/>
    </row>
    <row r="724">
      <c r="H724" s="47"/>
      <c r="I724" s="62"/>
    </row>
    <row r="725">
      <c r="H725" s="47"/>
      <c r="I725" s="62"/>
    </row>
    <row r="726">
      <c r="H726" s="47"/>
      <c r="I726" s="62"/>
    </row>
    <row r="727">
      <c r="H727" s="47"/>
      <c r="I727" s="62"/>
    </row>
    <row r="728">
      <c r="H728" s="47"/>
      <c r="I728" s="62"/>
    </row>
    <row r="729">
      <c r="H729" s="47"/>
      <c r="I729" s="62"/>
    </row>
    <row r="730">
      <c r="H730" s="47"/>
      <c r="I730" s="62"/>
    </row>
    <row r="731">
      <c r="H731" s="47"/>
      <c r="I731" s="62"/>
    </row>
    <row r="732">
      <c r="H732" s="47"/>
      <c r="I732" s="62"/>
    </row>
    <row r="733">
      <c r="H733" s="47"/>
      <c r="I733" s="62"/>
    </row>
    <row r="734">
      <c r="H734" s="47"/>
      <c r="I734" s="62"/>
    </row>
    <row r="735">
      <c r="H735" s="47"/>
      <c r="I735" s="62"/>
    </row>
    <row r="736">
      <c r="H736" s="47"/>
      <c r="I736" s="62"/>
    </row>
    <row r="737">
      <c r="H737" s="47"/>
      <c r="I737" s="62"/>
    </row>
    <row r="738">
      <c r="H738" s="47"/>
      <c r="I738" s="62"/>
    </row>
    <row r="739">
      <c r="H739" s="47"/>
      <c r="I739" s="62"/>
    </row>
    <row r="740">
      <c r="H740" s="47"/>
      <c r="I740" s="62"/>
    </row>
    <row r="741">
      <c r="H741" s="47"/>
      <c r="I741" s="62"/>
    </row>
    <row r="742">
      <c r="H742" s="47"/>
      <c r="I742" s="62"/>
    </row>
    <row r="743">
      <c r="H743" s="47"/>
      <c r="I743" s="62"/>
    </row>
    <row r="744">
      <c r="H744" s="47"/>
      <c r="I744" s="62"/>
    </row>
    <row r="745">
      <c r="H745" s="47"/>
      <c r="I745" s="62"/>
    </row>
    <row r="746">
      <c r="H746" s="47"/>
      <c r="I746" s="62"/>
    </row>
    <row r="747">
      <c r="H747" s="47"/>
      <c r="I747" s="62"/>
    </row>
    <row r="748">
      <c r="H748" s="47"/>
      <c r="I748" s="62"/>
    </row>
    <row r="749">
      <c r="H749" s="47"/>
      <c r="I749" s="62"/>
    </row>
    <row r="750">
      <c r="H750" s="47"/>
      <c r="I750" s="62"/>
    </row>
    <row r="751">
      <c r="H751" s="47"/>
      <c r="I751" s="62"/>
    </row>
    <row r="752">
      <c r="H752" s="47"/>
      <c r="I752" s="62"/>
    </row>
    <row r="753">
      <c r="H753" s="47"/>
      <c r="I753" s="62"/>
    </row>
    <row r="754">
      <c r="H754" s="47"/>
      <c r="I754" s="62"/>
    </row>
    <row r="755">
      <c r="H755" s="47"/>
      <c r="I755" s="62"/>
    </row>
    <row r="756">
      <c r="H756" s="47"/>
      <c r="I756" s="62"/>
    </row>
    <row r="757">
      <c r="H757" s="47"/>
      <c r="I757" s="62"/>
    </row>
    <row r="758">
      <c r="H758" s="47"/>
      <c r="I758" s="62"/>
    </row>
    <row r="759">
      <c r="H759" s="47"/>
      <c r="I759" s="62"/>
    </row>
    <row r="760">
      <c r="H760" s="47"/>
      <c r="I760" s="62"/>
    </row>
    <row r="761">
      <c r="H761" s="47"/>
      <c r="I761" s="62"/>
    </row>
    <row r="762">
      <c r="H762" s="47"/>
      <c r="I762" s="62"/>
    </row>
    <row r="763">
      <c r="H763" s="47"/>
      <c r="I763" s="62"/>
    </row>
    <row r="764">
      <c r="H764" s="47"/>
      <c r="I764" s="62"/>
    </row>
    <row r="765">
      <c r="H765" s="47"/>
      <c r="I765" s="62"/>
    </row>
    <row r="766">
      <c r="H766" s="47"/>
      <c r="I766" s="62"/>
    </row>
    <row r="767">
      <c r="H767" s="47"/>
      <c r="I767" s="62"/>
    </row>
    <row r="768">
      <c r="H768" s="47"/>
      <c r="I768" s="62"/>
    </row>
    <row r="769">
      <c r="H769" s="47"/>
      <c r="I769" s="62"/>
    </row>
    <row r="770">
      <c r="H770" s="47"/>
      <c r="I770" s="62"/>
    </row>
    <row r="771">
      <c r="H771" s="47"/>
      <c r="I771" s="62"/>
    </row>
    <row r="772">
      <c r="H772" s="47"/>
      <c r="I772" s="62"/>
    </row>
    <row r="773">
      <c r="H773" s="47"/>
      <c r="I773" s="62"/>
    </row>
    <row r="774">
      <c r="H774" s="47"/>
      <c r="I774" s="62"/>
    </row>
    <row r="775">
      <c r="H775" s="47"/>
      <c r="I775" s="62"/>
    </row>
    <row r="776">
      <c r="H776" s="47"/>
      <c r="I776" s="62"/>
    </row>
    <row r="777">
      <c r="H777" s="47"/>
      <c r="I777" s="62"/>
    </row>
    <row r="778">
      <c r="H778" s="47"/>
      <c r="I778" s="62"/>
    </row>
    <row r="779">
      <c r="H779" s="47"/>
      <c r="I779" s="62"/>
    </row>
    <row r="780">
      <c r="H780" s="47"/>
      <c r="I780" s="62"/>
    </row>
    <row r="781">
      <c r="H781" s="47"/>
      <c r="I781" s="62"/>
    </row>
    <row r="782">
      <c r="H782" s="47"/>
      <c r="I782" s="62"/>
    </row>
    <row r="783">
      <c r="H783" s="47"/>
      <c r="I783" s="62"/>
    </row>
    <row r="784">
      <c r="H784" s="47"/>
      <c r="I784" s="62"/>
    </row>
    <row r="785">
      <c r="H785" s="47"/>
      <c r="I785" s="62"/>
    </row>
    <row r="786">
      <c r="H786" s="47"/>
      <c r="I786" s="62"/>
    </row>
    <row r="787">
      <c r="H787" s="47"/>
      <c r="I787" s="62"/>
    </row>
    <row r="788">
      <c r="H788" s="47"/>
      <c r="I788" s="62"/>
    </row>
    <row r="789">
      <c r="H789" s="47"/>
      <c r="I789" s="62"/>
    </row>
    <row r="790">
      <c r="H790" s="47"/>
      <c r="I790" s="62"/>
    </row>
    <row r="791">
      <c r="H791" s="47"/>
      <c r="I791" s="62"/>
    </row>
    <row r="792">
      <c r="H792" s="47"/>
      <c r="I792" s="62"/>
    </row>
    <row r="793">
      <c r="H793" s="47"/>
      <c r="I793" s="62"/>
    </row>
    <row r="794">
      <c r="H794" s="47"/>
      <c r="I794" s="62"/>
    </row>
    <row r="795">
      <c r="H795" s="47"/>
      <c r="I795" s="62"/>
    </row>
    <row r="796">
      <c r="H796" s="47"/>
      <c r="I796" s="62"/>
    </row>
    <row r="797">
      <c r="H797" s="47"/>
      <c r="I797" s="62"/>
    </row>
    <row r="798">
      <c r="H798" s="47"/>
      <c r="I798" s="62"/>
    </row>
    <row r="799">
      <c r="H799" s="47"/>
      <c r="I799" s="62"/>
    </row>
    <row r="800">
      <c r="H800" s="47"/>
      <c r="I800" s="62"/>
    </row>
    <row r="801">
      <c r="H801" s="47"/>
      <c r="I801" s="62"/>
    </row>
    <row r="802">
      <c r="H802" s="47"/>
      <c r="I802" s="62"/>
    </row>
    <row r="803">
      <c r="H803" s="47"/>
      <c r="I803" s="62"/>
    </row>
    <row r="804">
      <c r="H804" s="47"/>
      <c r="I804" s="62"/>
    </row>
    <row r="805">
      <c r="H805" s="47"/>
      <c r="I805" s="62"/>
    </row>
    <row r="806">
      <c r="H806" s="47"/>
      <c r="I806" s="62"/>
    </row>
    <row r="807">
      <c r="H807" s="47"/>
      <c r="I807" s="62"/>
    </row>
    <row r="808">
      <c r="H808" s="47"/>
      <c r="I808" s="62"/>
    </row>
    <row r="809">
      <c r="H809" s="47"/>
      <c r="I809" s="62"/>
    </row>
    <row r="810">
      <c r="H810" s="47"/>
      <c r="I810" s="62"/>
    </row>
    <row r="811">
      <c r="H811" s="47"/>
      <c r="I811" s="62"/>
    </row>
    <row r="812">
      <c r="H812" s="47"/>
      <c r="I812" s="62"/>
    </row>
    <row r="813">
      <c r="H813" s="47"/>
      <c r="I813" s="62"/>
    </row>
    <row r="814">
      <c r="H814" s="47"/>
      <c r="I814" s="62"/>
    </row>
    <row r="815">
      <c r="H815" s="47"/>
      <c r="I815" s="62"/>
    </row>
    <row r="816">
      <c r="H816" s="47"/>
      <c r="I816" s="62"/>
    </row>
    <row r="817">
      <c r="H817" s="47"/>
      <c r="I817" s="62"/>
    </row>
    <row r="818">
      <c r="H818" s="47"/>
      <c r="I818" s="62"/>
    </row>
    <row r="819">
      <c r="H819" s="47"/>
      <c r="I819" s="62"/>
    </row>
    <row r="820">
      <c r="H820" s="47"/>
      <c r="I820" s="62"/>
    </row>
    <row r="821">
      <c r="H821" s="47"/>
      <c r="I821" s="62"/>
    </row>
    <row r="822">
      <c r="H822" s="47"/>
      <c r="I822" s="62"/>
    </row>
    <row r="823">
      <c r="H823" s="47"/>
      <c r="I823" s="62"/>
    </row>
    <row r="824">
      <c r="H824" s="47"/>
      <c r="I824" s="62"/>
    </row>
    <row r="825">
      <c r="H825" s="47"/>
      <c r="I825" s="62"/>
    </row>
    <row r="826">
      <c r="H826" s="47"/>
      <c r="I826" s="62"/>
    </row>
    <row r="827">
      <c r="H827" s="47"/>
      <c r="I827" s="62"/>
    </row>
    <row r="828">
      <c r="H828" s="47"/>
      <c r="I828" s="62"/>
    </row>
    <row r="829">
      <c r="H829" s="47"/>
      <c r="I829" s="62"/>
    </row>
    <row r="830">
      <c r="H830" s="47"/>
      <c r="I830" s="62"/>
    </row>
    <row r="831">
      <c r="H831" s="47"/>
      <c r="I831" s="62"/>
    </row>
    <row r="832">
      <c r="H832" s="47"/>
      <c r="I832" s="62"/>
    </row>
    <row r="833">
      <c r="H833" s="47"/>
      <c r="I833" s="62"/>
    </row>
    <row r="834">
      <c r="H834" s="47"/>
      <c r="I834" s="62"/>
    </row>
    <row r="835">
      <c r="H835" s="47"/>
      <c r="I835" s="62"/>
    </row>
    <row r="836">
      <c r="H836" s="47"/>
      <c r="I836" s="62"/>
    </row>
    <row r="837">
      <c r="H837" s="47"/>
      <c r="I837" s="62"/>
    </row>
    <row r="838">
      <c r="H838" s="47"/>
      <c r="I838" s="62"/>
    </row>
    <row r="839">
      <c r="H839" s="47"/>
      <c r="I839" s="62"/>
    </row>
    <row r="840">
      <c r="H840" s="47"/>
      <c r="I840" s="62"/>
    </row>
    <row r="841">
      <c r="H841" s="47"/>
      <c r="I841" s="62"/>
    </row>
    <row r="842">
      <c r="H842" s="47"/>
      <c r="I842" s="62"/>
    </row>
    <row r="843">
      <c r="H843" s="47"/>
      <c r="I843" s="62"/>
    </row>
    <row r="844">
      <c r="H844" s="47"/>
      <c r="I844" s="62"/>
    </row>
    <row r="845">
      <c r="H845" s="47"/>
      <c r="I845" s="62"/>
    </row>
    <row r="846">
      <c r="H846" s="47"/>
      <c r="I846" s="62"/>
    </row>
    <row r="847">
      <c r="H847" s="47"/>
      <c r="I847" s="62"/>
    </row>
    <row r="848">
      <c r="H848" s="47"/>
      <c r="I848" s="62"/>
    </row>
    <row r="849">
      <c r="H849" s="47"/>
      <c r="I849" s="62"/>
    </row>
    <row r="850">
      <c r="H850" s="47"/>
      <c r="I850" s="62"/>
    </row>
    <row r="851">
      <c r="H851" s="47"/>
      <c r="I851" s="62"/>
    </row>
    <row r="852">
      <c r="H852" s="47"/>
      <c r="I852" s="62"/>
    </row>
    <row r="853">
      <c r="H853" s="47"/>
      <c r="I853" s="62"/>
    </row>
    <row r="854">
      <c r="H854" s="47"/>
      <c r="I854" s="62"/>
    </row>
    <row r="855">
      <c r="H855" s="47"/>
      <c r="I855" s="62"/>
    </row>
    <row r="856">
      <c r="H856" s="47"/>
      <c r="I856" s="62"/>
    </row>
    <row r="857">
      <c r="H857" s="47"/>
      <c r="I857" s="62"/>
    </row>
    <row r="858">
      <c r="H858" s="47"/>
      <c r="I858" s="62"/>
    </row>
    <row r="859">
      <c r="H859" s="47"/>
      <c r="I859" s="62"/>
    </row>
    <row r="860">
      <c r="H860" s="47"/>
      <c r="I860" s="62"/>
    </row>
    <row r="861">
      <c r="H861" s="47"/>
      <c r="I861" s="62"/>
    </row>
    <row r="862">
      <c r="H862" s="47"/>
      <c r="I862" s="62"/>
    </row>
    <row r="863">
      <c r="H863" s="47"/>
      <c r="I863" s="62"/>
    </row>
    <row r="864">
      <c r="H864" s="47"/>
      <c r="I864" s="62"/>
    </row>
    <row r="865">
      <c r="H865" s="47"/>
      <c r="I865" s="62"/>
    </row>
    <row r="866">
      <c r="H866" s="47"/>
      <c r="I866" s="62"/>
    </row>
    <row r="867">
      <c r="H867" s="47"/>
      <c r="I867" s="62"/>
    </row>
    <row r="868">
      <c r="H868" s="47"/>
      <c r="I868" s="62"/>
    </row>
    <row r="869">
      <c r="H869" s="47"/>
      <c r="I869" s="62"/>
    </row>
    <row r="870">
      <c r="H870" s="47"/>
      <c r="I870" s="62"/>
    </row>
    <row r="871">
      <c r="H871" s="47"/>
      <c r="I871" s="62"/>
    </row>
    <row r="872">
      <c r="H872" s="47"/>
      <c r="I872" s="62"/>
    </row>
    <row r="873">
      <c r="H873" s="47"/>
      <c r="I873" s="62"/>
    </row>
    <row r="874">
      <c r="H874" s="47"/>
      <c r="I874" s="62"/>
    </row>
    <row r="875">
      <c r="H875" s="47"/>
      <c r="I875" s="62"/>
    </row>
    <row r="876">
      <c r="H876" s="47"/>
      <c r="I876" s="62"/>
    </row>
    <row r="877">
      <c r="H877" s="47"/>
      <c r="I877" s="62"/>
    </row>
    <row r="878">
      <c r="H878" s="47"/>
      <c r="I878" s="62"/>
    </row>
    <row r="879">
      <c r="H879" s="47"/>
      <c r="I879" s="62"/>
    </row>
    <row r="880">
      <c r="H880" s="47"/>
      <c r="I880" s="62"/>
    </row>
    <row r="881">
      <c r="H881" s="47"/>
      <c r="I881" s="62"/>
    </row>
    <row r="882">
      <c r="H882" s="47"/>
      <c r="I882" s="62"/>
    </row>
    <row r="883">
      <c r="H883" s="47"/>
      <c r="I883" s="62"/>
    </row>
    <row r="884">
      <c r="H884" s="47"/>
      <c r="I884" s="62"/>
    </row>
    <row r="885">
      <c r="H885" s="47"/>
      <c r="I885" s="62"/>
    </row>
    <row r="886">
      <c r="H886" s="47"/>
      <c r="I886" s="62"/>
    </row>
    <row r="887">
      <c r="H887" s="47"/>
      <c r="I887" s="62"/>
    </row>
    <row r="888">
      <c r="H888" s="47"/>
      <c r="I888" s="62"/>
    </row>
    <row r="889">
      <c r="H889" s="47"/>
      <c r="I889" s="62"/>
    </row>
    <row r="890">
      <c r="H890" s="47"/>
      <c r="I890" s="62"/>
    </row>
    <row r="891">
      <c r="H891" s="47"/>
      <c r="I891" s="62"/>
    </row>
    <row r="892">
      <c r="H892" s="47"/>
      <c r="I892" s="62"/>
    </row>
    <row r="893">
      <c r="H893" s="47"/>
      <c r="I893" s="62"/>
    </row>
    <row r="894">
      <c r="H894" s="47"/>
      <c r="I894" s="62"/>
    </row>
    <row r="895">
      <c r="H895" s="47"/>
      <c r="I895" s="62"/>
    </row>
    <row r="896">
      <c r="H896" s="47"/>
      <c r="I896" s="62"/>
    </row>
    <row r="897">
      <c r="H897" s="47"/>
      <c r="I897" s="62"/>
    </row>
    <row r="898">
      <c r="H898" s="47"/>
      <c r="I898" s="62"/>
    </row>
    <row r="899">
      <c r="H899" s="47"/>
      <c r="I899" s="62"/>
    </row>
    <row r="900">
      <c r="H900" s="47"/>
      <c r="I900" s="62"/>
    </row>
    <row r="901">
      <c r="H901" s="47"/>
      <c r="I901" s="62"/>
    </row>
    <row r="902">
      <c r="H902" s="47"/>
      <c r="I902" s="62"/>
    </row>
    <row r="903">
      <c r="H903" s="47"/>
      <c r="I903" s="62"/>
    </row>
    <row r="904">
      <c r="H904" s="47"/>
      <c r="I904" s="62"/>
    </row>
    <row r="905">
      <c r="H905" s="47"/>
      <c r="I905" s="62"/>
    </row>
    <row r="906">
      <c r="H906" s="47"/>
      <c r="I906" s="62"/>
    </row>
    <row r="907">
      <c r="H907" s="47"/>
      <c r="I907" s="62"/>
    </row>
    <row r="908">
      <c r="H908" s="47"/>
      <c r="I908" s="62"/>
    </row>
    <row r="909">
      <c r="H909" s="47"/>
      <c r="I909" s="62"/>
    </row>
    <row r="910">
      <c r="H910" s="47"/>
      <c r="I910" s="62"/>
    </row>
    <row r="911">
      <c r="H911" s="47"/>
      <c r="I911" s="62"/>
    </row>
    <row r="912">
      <c r="H912" s="47"/>
      <c r="I912" s="62"/>
    </row>
    <row r="913">
      <c r="H913" s="47"/>
      <c r="I913" s="62"/>
    </row>
    <row r="914">
      <c r="H914" s="47"/>
      <c r="I914" s="62"/>
    </row>
    <row r="915">
      <c r="H915" s="47"/>
      <c r="I915" s="62"/>
    </row>
    <row r="916">
      <c r="H916" s="47"/>
      <c r="I916" s="62"/>
    </row>
    <row r="917">
      <c r="H917" s="47"/>
      <c r="I917" s="62"/>
    </row>
    <row r="918">
      <c r="H918" s="47"/>
      <c r="I918" s="62"/>
    </row>
    <row r="919">
      <c r="H919" s="47"/>
      <c r="I919" s="62"/>
    </row>
    <row r="920">
      <c r="H920" s="47"/>
      <c r="I920" s="62"/>
    </row>
    <row r="921">
      <c r="H921" s="47"/>
      <c r="I921" s="62"/>
    </row>
    <row r="922">
      <c r="H922" s="47"/>
      <c r="I922" s="62"/>
    </row>
    <row r="923">
      <c r="H923" s="47"/>
      <c r="I923" s="62"/>
    </row>
    <row r="924">
      <c r="H924" s="47"/>
      <c r="I924" s="62"/>
    </row>
    <row r="925">
      <c r="H925" s="47"/>
      <c r="I925" s="62"/>
    </row>
    <row r="926">
      <c r="H926" s="47"/>
      <c r="I926" s="62"/>
    </row>
    <row r="927">
      <c r="H927" s="47"/>
      <c r="I927" s="62"/>
    </row>
    <row r="928">
      <c r="H928" s="47"/>
      <c r="I928" s="62"/>
    </row>
    <row r="929">
      <c r="H929" s="47"/>
      <c r="I929" s="62"/>
    </row>
    <row r="930">
      <c r="H930" s="47"/>
      <c r="I930" s="62"/>
    </row>
    <row r="931">
      <c r="H931" s="47"/>
      <c r="I931" s="62"/>
    </row>
    <row r="932">
      <c r="H932" s="47"/>
      <c r="I932" s="62"/>
    </row>
    <row r="933">
      <c r="H933" s="47"/>
      <c r="I933" s="62"/>
    </row>
    <row r="934">
      <c r="H934" s="47"/>
      <c r="I934" s="62"/>
    </row>
    <row r="935">
      <c r="H935" s="47"/>
      <c r="I935" s="62"/>
    </row>
    <row r="936">
      <c r="H936" s="47"/>
      <c r="I936" s="62"/>
    </row>
    <row r="937">
      <c r="H937" s="47"/>
      <c r="I937" s="62"/>
    </row>
    <row r="938">
      <c r="H938" s="47"/>
      <c r="I938" s="62"/>
    </row>
    <row r="939">
      <c r="H939" s="47"/>
      <c r="I939" s="62"/>
    </row>
    <row r="940">
      <c r="H940" s="47"/>
      <c r="I940" s="62"/>
    </row>
    <row r="941">
      <c r="H941" s="47"/>
      <c r="I941" s="62"/>
    </row>
    <row r="942">
      <c r="H942" s="47"/>
      <c r="I942" s="62"/>
    </row>
    <row r="943">
      <c r="H943" s="47"/>
      <c r="I943" s="62"/>
    </row>
    <row r="944">
      <c r="H944" s="47"/>
      <c r="I944" s="62"/>
    </row>
    <row r="945">
      <c r="H945" s="47"/>
      <c r="I945" s="62"/>
    </row>
    <row r="946">
      <c r="H946" s="47"/>
      <c r="I946" s="62"/>
    </row>
    <row r="947">
      <c r="H947" s="47"/>
      <c r="I947" s="62"/>
    </row>
    <row r="948">
      <c r="H948" s="47"/>
      <c r="I948" s="62"/>
    </row>
    <row r="949">
      <c r="H949" s="47"/>
      <c r="I949" s="62"/>
    </row>
    <row r="950">
      <c r="H950" s="47"/>
      <c r="I950" s="62"/>
    </row>
    <row r="951">
      <c r="H951" s="47"/>
      <c r="I951" s="62"/>
    </row>
    <row r="952">
      <c r="H952" s="47"/>
      <c r="I952" s="62"/>
    </row>
    <row r="953">
      <c r="H953" s="47"/>
      <c r="I953" s="62"/>
    </row>
    <row r="954">
      <c r="H954" s="47"/>
      <c r="I954" s="62"/>
    </row>
    <row r="955">
      <c r="H955" s="47"/>
      <c r="I955" s="62"/>
    </row>
    <row r="956">
      <c r="H956" s="47"/>
      <c r="I956" s="62"/>
    </row>
    <row r="957">
      <c r="H957" s="47"/>
      <c r="I957" s="62"/>
    </row>
    <row r="958">
      <c r="H958" s="47"/>
      <c r="I958" s="62"/>
    </row>
    <row r="959">
      <c r="H959" s="47"/>
      <c r="I959" s="62"/>
    </row>
    <row r="960">
      <c r="H960" s="47"/>
      <c r="I960" s="62"/>
    </row>
    <row r="961">
      <c r="H961" s="47"/>
      <c r="I961" s="62"/>
    </row>
    <row r="962">
      <c r="H962" s="47"/>
      <c r="I962" s="62"/>
    </row>
    <row r="963">
      <c r="H963" s="47"/>
      <c r="I963" s="62"/>
    </row>
    <row r="964">
      <c r="H964" s="47"/>
      <c r="I964" s="62"/>
    </row>
    <row r="965">
      <c r="H965" s="47"/>
      <c r="I965" s="62"/>
    </row>
    <row r="966">
      <c r="H966" s="47"/>
      <c r="I966" s="62"/>
    </row>
    <row r="967">
      <c r="H967" s="47"/>
      <c r="I967" s="62"/>
    </row>
    <row r="968">
      <c r="H968" s="47"/>
      <c r="I968" s="62"/>
    </row>
    <row r="969">
      <c r="H969" s="47"/>
      <c r="I969" s="62"/>
    </row>
    <row r="970">
      <c r="H970" s="47"/>
      <c r="I970" s="62"/>
    </row>
    <row r="971">
      <c r="H971" s="47"/>
      <c r="I971" s="62"/>
    </row>
    <row r="972">
      <c r="H972" s="47"/>
      <c r="I972" s="62"/>
    </row>
    <row r="973">
      <c r="H973" s="47"/>
      <c r="I973" s="62"/>
    </row>
    <row r="974">
      <c r="H974" s="47"/>
      <c r="I974" s="62"/>
    </row>
    <row r="975">
      <c r="H975" s="47"/>
      <c r="I975" s="62"/>
    </row>
    <row r="976">
      <c r="H976" s="47"/>
      <c r="I976" s="62"/>
    </row>
    <row r="977">
      <c r="H977" s="47"/>
      <c r="I977" s="62"/>
    </row>
    <row r="978">
      <c r="H978" s="47"/>
      <c r="I978" s="62"/>
    </row>
    <row r="979">
      <c r="H979" s="47"/>
      <c r="I979" s="62"/>
    </row>
    <row r="980">
      <c r="H980" s="47"/>
      <c r="I980" s="62"/>
    </row>
    <row r="981">
      <c r="H981" s="47"/>
      <c r="I981" s="62"/>
    </row>
    <row r="982">
      <c r="H982" s="47"/>
      <c r="I982" s="62"/>
    </row>
    <row r="983">
      <c r="H983" s="47"/>
      <c r="I983" s="62"/>
    </row>
    <row r="984">
      <c r="H984" s="47"/>
      <c r="I984" s="62"/>
    </row>
    <row r="985">
      <c r="H985" s="47"/>
      <c r="I985" s="62"/>
    </row>
    <row r="986">
      <c r="H986" s="47"/>
      <c r="I986" s="62"/>
    </row>
    <row r="987">
      <c r="H987" s="47"/>
      <c r="I987" s="62"/>
    </row>
    <row r="988">
      <c r="H988" s="47"/>
      <c r="I988" s="62"/>
    </row>
    <row r="989">
      <c r="H989" s="47"/>
      <c r="I989" s="62"/>
    </row>
    <row r="990">
      <c r="H990" s="47"/>
      <c r="I990" s="62"/>
    </row>
    <row r="991">
      <c r="H991" s="47"/>
      <c r="I991" s="62"/>
    </row>
    <row r="992">
      <c r="H992" s="47"/>
      <c r="I992" s="62"/>
    </row>
    <row r="993">
      <c r="H993" s="47"/>
      <c r="I993" s="62"/>
    </row>
    <row r="994">
      <c r="H994" s="47"/>
      <c r="I994" s="62"/>
    </row>
    <row r="995">
      <c r="H995" s="47"/>
      <c r="I995" s="62"/>
    </row>
    <row r="996">
      <c r="H996" s="47"/>
      <c r="I996" s="62"/>
    </row>
    <row r="997">
      <c r="H997" s="47"/>
      <c r="I997" s="62"/>
    </row>
    <row r="998">
      <c r="H998" s="47"/>
      <c r="I998" s="62"/>
    </row>
    <row r="999">
      <c r="H999" s="47"/>
      <c r="I999" s="62"/>
    </row>
    <row r="1000">
      <c r="H1000" s="47"/>
      <c r="I1000" s="62"/>
    </row>
    <row r="1001">
      <c r="H1001" s="47"/>
      <c r="I1001" s="62"/>
    </row>
    <row r="1002">
      <c r="H1002" s="47"/>
      <c r="I1002" s="62"/>
    </row>
    <row r="1003">
      <c r="H1003" s="47"/>
      <c r="I1003" s="62"/>
    </row>
    <row r="1004">
      <c r="H1004" s="47"/>
      <c r="I1004" s="62"/>
    </row>
    <row r="1005">
      <c r="H1005" s="47"/>
      <c r="I1005" s="62"/>
    </row>
    <row r="1006">
      <c r="H1006" s="47"/>
      <c r="I1006" s="62"/>
    </row>
    <row r="1007">
      <c r="H1007" s="47"/>
      <c r="I1007" s="62"/>
    </row>
    <row r="1008">
      <c r="H1008" s="47"/>
      <c r="I1008" s="62"/>
    </row>
    <row r="1009">
      <c r="H1009" s="47"/>
      <c r="I1009" s="62"/>
    </row>
    <row r="1010">
      <c r="H1010" s="47"/>
      <c r="I1010" s="62"/>
    </row>
    <row r="1011">
      <c r="H1011" s="47"/>
      <c r="I1011" s="62"/>
    </row>
    <row r="1012">
      <c r="H1012" s="47"/>
      <c r="I1012" s="62"/>
    </row>
    <row r="1013">
      <c r="H1013" s="47"/>
      <c r="I1013" s="62"/>
    </row>
    <row r="1014">
      <c r="H1014" s="47"/>
      <c r="I1014" s="62"/>
    </row>
    <row r="1015">
      <c r="H1015" s="47"/>
      <c r="I1015" s="62"/>
    </row>
    <row r="1016">
      <c r="H1016" s="47"/>
      <c r="I1016" s="62"/>
    </row>
    <row r="1017">
      <c r="H1017" s="47"/>
      <c r="I1017" s="62"/>
    </row>
    <row r="1018">
      <c r="H1018" s="47"/>
      <c r="I1018" s="62"/>
    </row>
    <row r="1019">
      <c r="H1019" s="47"/>
      <c r="I1019" s="62"/>
    </row>
    <row r="1020">
      <c r="H1020" s="47"/>
      <c r="I1020" s="62"/>
    </row>
    <row r="1021">
      <c r="H1021" s="47"/>
      <c r="I1021" s="62"/>
    </row>
    <row r="1022">
      <c r="H1022" s="47"/>
      <c r="I1022" s="62"/>
    </row>
    <row r="1023">
      <c r="H1023" s="47"/>
      <c r="I1023" s="62"/>
    </row>
    <row r="1024">
      <c r="H1024" s="47"/>
      <c r="I1024" s="62"/>
    </row>
    <row r="1025">
      <c r="H1025" s="47"/>
      <c r="I1025" s="62"/>
    </row>
    <row r="1026">
      <c r="H1026" s="47"/>
      <c r="I1026" s="62"/>
    </row>
    <row r="1027">
      <c r="H1027" s="47"/>
      <c r="I1027" s="62"/>
    </row>
    <row r="1028">
      <c r="H1028" s="47"/>
      <c r="I1028" s="62"/>
    </row>
    <row r="1029">
      <c r="H1029" s="47"/>
      <c r="I1029" s="62"/>
    </row>
    <row r="1030">
      <c r="H1030" s="47"/>
      <c r="I1030" s="62"/>
    </row>
    <row r="1031">
      <c r="H1031" s="47"/>
      <c r="I1031" s="62"/>
    </row>
    <row r="1032">
      <c r="H1032" s="47"/>
      <c r="I1032" s="62"/>
    </row>
    <row r="1033">
      <c r="H1033" s="47"/>
      <c r="I1033" s="62"/>
    </row>
    <row r="1034">
      <c r="H1034" s="47"/>
      <c r="I1034" s="62"/>
    </row>
    <row r="1035">
      <c r="H1035" s="47"/>
      <c r="I1035" s="62"/>
    </row>
    <row r="1036">
      <c r="H1036" s="47"/>
      <c r="I1036" s="62"/>
    </row>
    <row r="1037">
      <c r="H1037" s="47"/>
      <c r="I1037" s="62"/>
    </row>
    <row r="1038">
      <c r="H1038" s="47"/>
      <c r="I1038" s="62"/>
    </row>
    <row r="1039">
      <c r="H1039" s="47"/>
      <c r="I1039" s="62"/>
    </row>
    <row r="1040">
      <c r="H1040" s="47"/>
      <c r="I1040" s="62"/>
    </row>
    <row r="1041">
      <c r="H1041" s="47"/>
      <c r="I1041" s="62"/>
    </row>
    <row r="1042">
      <c r="H1042" s="47"/>
      <c r="I1042" s="62"/>
    </row>
    <row r="1043">
      <c r="H1043" s="47"/>
      <c r="I1043" s="62"/>
    </row>
    <row r="1044">
      <c r="H1044" s="47"/>
      <c r="I1044" s="62"/>
    </row>
    <row r="1045">
      <c r="H1045" s="47"/>
      <c r="I1045" s="62"/>
    </row>
    <row r="1046">
      <c r="H1046" s="47"/>
      <c r="I1046" s="62"/>
    </row>
    <row r="1047">
      <c r="H1047" s="47"/>
    </row>
    <row r="1048">
      <c r="H1048" s="47"/>
    </row>
    <row r="1049">
      <c r="H1049" s="47"/>
    </row>
    <row r="1050">
      <c r="H1050" s="47"/>
    </row>
    <row r="1051">
      <c r="H1051" s="47"/>
    </row>
    <row r="1052">
      <c r="H1052" s="47"/>
    </row>
    <row r="1053">
      <c r="H1053" s="47"/>
    </row>
    <row r="1054">
      <c r="H1054" s="47"/>
    </row>
    <row r="1055">
      <c r="H1055" s="47"/>
    </row>
    <row r="1056">
      <c r="H1056" s="47"/>
    </row>
    <row r="1057">
      <c r="H1057" s="47"/>
    </row>
    <row r="1058">
      <c r="H1058" s="47"/>
    </row>
    <row r="1059">
      <c r="H1059" s="47"/>
    </row>
    <row r="1060">
      <c r="H1060" s="47"/>
    </row>
    <row r="1061">
      <c r="H1061" s="47"/>
    </row>
    <row r="1062">
      <c r="H1062" s="47"/>
    </row>
    <row r="1063">
      <c r="H1063" s="47"/>
    </row>
    <row r="1064">
      <c r="H1064" s="47"/>
    </row>
    <row r="1065">
      <c r="H1065" s="47"/>
    </row>
    <row r="1066">
      <c r="H1066" s="47"/>
    </row>
    <row r="1067">
      <c r="H1067" s="47"/>
    </row>
    <row r="1068">
      <c r="H1068" s="47"/>
    </row>
    <row r="1069">
      <c r="H1069" s="47"/>
    </row>
    <row r="1070">
      <c r="H1070" s="47"/>
    </row>
    <row r="1071">
      <c r="H1071" s="47"/>
    </row>
    <row r="1072">
      <c r="H1072" s="47"/>
    </row>
    <row r="1073">
      <c r="H1073" s="47"/>
    </row>
    <row r="1074">
      <c r="H1074" s="47"/>
    </row>
    <row r="1075">
      <c r="H1075" s="47"/>
    </row>
    <row r="1076">
      <c r="H1076" s="47"/>
    </row>
    <row r="1077">
      <c r="H1077" s="47"/>
    </row>
    <row r="1078">
      <c r="H1078" s="47"/>
    </row>
    <row r="1079">
      <c r="H1079" s="47"/>
    </row>
    <row r="1080">
      <c r="H1080" s="47"/>
    </row>
    <row r="1081">
      <c r="H1081" s="47"/>
    </row>
    <row r="1082">
      <c r="H1082" s="47"/>
    </row>
    <row r="1083">
      <c r="H1083" s="47"/>
    </row>
    <row r="1084">
      <c r="H1084" s="47"/>
    </row>
  </sheetData>
  <hyperlinks>
    <hyperlink r:id="rId2" location="gid=1683855733" ref="G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6.43"/>
    <col customWidth="1" min="2" max="2" width="53.86"/>
    <col customWidth="1" min="5" max="5" width="34.29"/>
  </cols>
  <sheetData>
    <row r="1">
      <c r="A1" s="49" t="s">
        <v>87</v>
      </c>
      <c r="B1" s="50" t="s">
        <v>343</v>
      </c>
      <c r="C1" s="51">
        <v>-30.0</v>
      </c>
    </row>
    <row r="2">
      <c r="A2" s="55"/>
      <c r="B2" s="50" t="s">
        <v>344</v>
      </c>
      <c r="C2" s="98">
        <v>-15.0</v>
      </c>
    </row>
    <row r="3">
      <c r="A3" s="55"/>
      <c r="B3" s="50">
        <v>3.0</v>
      </c>
      <c r="C3" s="58">
        <v>15.0</v>
      </c>
    </row>
    <row r="4">
      <c r="A4" s="55"/>
      <c r="B4" s="50">
        <v>2.0</v>
      </c>
      <c r="C4" s="58">
        <v>30.0</v>
      </c>
    </row>
    <row r="5">
      <c r="A5" s="55"/>
      <c r="B5" s="50">
        <v>1.0</v>
      </c>
      <c r="C5" s="58">
        <v>30.0</v>
      </c>
    </row>
    <row r="7">
      <c r="A7" s="49" t="s">
        <v>345</v>
      </c>
      <c r="B7" s="50"/>
      <c r="C7" s="51"/>
    </row>
    <row r="8">
      <c r="A8" s="55"/>
      <c r="B8" s="50"/>
      <c r="C8" s="51"/>
    </row>
    <row r="9">
      <c r="A9" s="55"/>
      <c r="B9" s="50"/>
      <c r="C9" s="58"/>
    </row>
    <row r="10">
      <c r="A10" s="55"/>
      <c r="B10" s="50"/>
      <c r="C10" s="58"/>
    </row>
    <row r="11">
      <c r="A11" s="55"/>
      <c r="B11" s="50"/>
      <c r="C11" s="58"/>
    </row>
    <row r="13">
      <c r="A13" s="49" t="s">
        <v>90</v>
      </c>
      <c r="B13" s="99">
        <v>1.0</v>
      </c>
      <c r="C13" s="51">
        <v>-30.0</v>
      </c>
    </row>
    <row r="14">
      <c r="A14" s="55"/>
      <c r="B14" s="50" t="s">
        <v>346</v>
      </c>
      <c r="C14" s="51">
        <v>-15.0</v>
      </c>
    </row>
    <row r="15">
      <c r="A15" s="55"/>
      <c r="B15" s="50" t="s">
        <v>347</v>
      </c>
      <c r="C15" s="58">
        <v>0.0</v>
      </c>
    </row>
    <row r="16">
      <c r="A16" s="55"/>
      <c r="B16" s="50" t="s">
        <v>348</v>
      </c>
      <c r="C16" s="58">
        <v>15.0</v>
      </c>
    </row>
    <row r="17">
      <c r="A17" s="55"/>
      <c r="B17" s="99">
        <v>0.0</v>
      </c>
      <c r="C17" s="100">
        <v>30.0</v>
      </c>
    </row>
    <row r="19">
      <c r="A19" s="49" t="s">
        <v>92</v>
      </c>
      <c r="B19" s="50" t="s">
        <v>349</v>
      </c>
      <c r="C19" s="58">
        <v>-15.0</v>
      </c>
    </row>
    <row r="20">
      <c r="A20" s="55"/>
      <c r="B20" s="50"/>
      <c r="C20" s="51"/>
    </row>
    <row r="21">
      <c r="A21" s="55"/>
      <c r="B21" s="50">
        <v>0.0</v>
      </c>
      <c r="C21" s="100">
        <v>15.0</v>
      </c>
      <c r="H21" s="4" t="s">
        <v>350</v>
      </c>
      <c r="I21" s="4" t="s">
        <v>50</v>
      </c>
    </row>
    <row r="22">
      <c r="A22" s="55"/>
      <c r="B22" s="50" t="s">
        <v>351</v>
      </c>
      <c r="C22" s="58">
        <v>30.0</v>
      </c>
      <c r="G22" s="4" t="s">
        <v>352</v>
      </c>
      <c r="H22" s="4">
        <v>0.0</v>
      </c>
      <c r="I22" s="76">
        <f>15</f>
        <v>15</v>
      </c>
    </row>
    <row r="23">
      <c r="A23" s="55"/>
      <c r="B23" s="99"/>
      <c r="C23" s="58"/>
      <c r="G23" s="4" t="s">
        <v>352</v>
      </c>
      <c r="H23" s="4">
        <v>1.0</v>
      </c>
      <c r="I23" s="4">
        <v>0.0</v>
      </c>
    </row>
    <row r="25">
      <c r="A25" s="49" t="s">
        <v>94</v>
      </c>
      <c r="B25" s="50" t="s">
        <v>353</v>
      </c>
      <c r="C25" s="58">
        <v>-15.0</v>
      </c>
      <c r="E25" s="50" t="s">
        <v>354</v>
      </c>
      <c r="F25" s="58">
        <v>-15.0</v>
      </c>
    </row>
    <row r="26">
      <c r="A26" s="55"/>
      <c r="B26" s="50" t="s">
        <v>355</v>
      </c>
      <c r="C26" s="100">
        <v>0.0</v>
      </c>
      <c r="E26" s="50" t="s">
        <v>356</v>
      </c>
      <c r="F26" s="51">
        <v>-15.0</v>
      </c>
    </row>
    <row r="27">
      <c r="A27" s="55"/>
      <c r="E27" s="50" t="s">
        <v>357</v>
      </c>
      <c r="F27" s="100">
        <v>0.0</v>
      </c>
    </row>
    <row r="28">
      <c r="A28" s="55"/>
    </row>
    <row r="29">
      <c r="A29" s="5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7.71"/>
    <col customWidth="1" min="4" max="4" width="16.86"/>
  </cols>
  <sheetData>
    <row r="1">
      <c r="B1" s="1" t="s">
        <v>358</v>
      </c>
      <c r="C1" s="1" t="s">
        <v>359</v>
      </c>
      <c r="D1" s="1" t="s">
        <v>360</v>
      </c>
      <c r="E1" s="1" t="s">
        <v>361</v>
      </c>
    </row>
    <row r="2">
      <c r="B2" s="6" t="s">
        <v>362</v>
      </c>
      <c r="C2" s="6">
        <v>0.0</v>
      </c>
      <c r="D2" s="8"/>
      <c r="E2" s="8"/>
    </row>
    <row r="3">
      <c r="B3" s="6" t="s">
        <v>363</v>
      </c>
      <c r="C3" s="6">
        <v>0.0</v>
      </c>
      <c r="D3" s="8"/>
      <c r="E3" s="8"/>
    </row>
    <row r="4">
      <c r="B4" s="6" t="s">
        <v>364</v>
      </c>
      <c r="C4" s="6">
        <v>1.0</v>
      </c>
      <c r="D4" s="8"/>
      <c r="E4" s="8"/>
    </row>
    <row r="5">
      <c r="B5" s="6" t="s">
        <v>365</v>
      </c>
      <c r="C5" s="6">
        <v>1.0</v>
      </c>
      <c r="D5" s="8"/>
      <c r="E5" s="8"/>
    </row>
    <row r="6">
      <c r="B6" s="6" t="s">
        <v>366</v>
      </c>
      <c r="C6" s="6">
        <v>2.0</v>
      </c>
      <c r="D6" s="6" t="s">
        <v>367</v>
      </c>
      <c r="E6" s="6" t="s">
        <v>368</v>
      </c>
    </row>
    <row r="7">
      <c r="B7" s="6" t="s">
        <v>369</v>
      </c>
      <c r="C7" s="6">
        <v>2.0</v>
      </c>
      <c r="D7" s="6" t="s">
        <v>367</v>
      </c>
      <c r="E7" s="6" t="s">
        <v>368</v>
      </c>
    </row>
    <row r="8">
      <c r="B8" s="6" t="s">
        <v>370</v>
      </c>
      <c r="C8" s="6">
        <v>5.0</v>
      </c>
      <c r="D8" s="6" t="s">
        <v>371</v>
      </c>
      <c r="E8" s="6" t="s">
        <v>372</v>
      </c>
    </row>
    <row r="9">
      <c r="B9" s="6" t="s">
        <v>373</v>
      </c>
      <c r="C9" s="6">
        <v>5.0</v>
      </c>
      <c r="D9" s="6" t="s">
        <v>371</v>
      </c>
      <c r="E9" s="6" t="s">
        <v>372</v>
      </c>
    </row>
    <row r="10">
      <c r="B10" s="6" t="s">
        <v>374</v>
      </c>
      <c r="C10" s="6">
        <v>5.0</v>
      </c>
      <c r="D10" s="6" t="s">
        <v>371</v>
      </c>
      <c r="E10" s="6" t="s">
        <v>372</v>
      </c>
    </row>
    <row r="11">
      <c r="B11" s="6" t="s">
        <v>375</v>
      </c>
      <c r="C11" s="6">
        <v>5.0</v>
      </c>
      <c r="D11" s="6" t="s">
        <v>371</v>
      </c>
      <c r="E11" s="6" t="s">
        <v>372</v>
      </c>
    </row>
    <row r="12">
      <c r="B12" s="6" t="s">
        <v>376</v>
      </c>
      <c r="C12" s="6">
        <v>5.0</v>
      </c>
      <c r="D12" s="6" t="s">
        <v>371</v>
      </c>
      <c r="E12" s="6" t="s">
        <v>372</v>
      </c>
    </row>
    <row r="13">
      <c r="B13" s="6" t="s">
        <v>377</v>
      </c>
      <c r="C13" s="6">
        <v>4.0</v>
      </c>
      <c r="D13" s="8"/>
      <c r="E13" s="8"/>
    </row>
    <row r="14">
      <c r="B14" s="6" t="s">
        <v>378</v>
      </c>
      <c r="C14" s="6">
        <v>5.0</v>
      </c>
      <c r="D14" s="6" t="s">
        <v>371</v>
      </c>
      <c r="E14" s="6" t="s">
        <v>372</v>
      </c>
    </row>
    <row r="15">
      <c r="B15" s="6" t="s">
        <v>379</v>
      </c>
      <c r="C15" s="6">
        <v>5.0</v>
      </c>
      <c r="D15" s="6" t="s">
        <v>371</v>
      </c>
      <c r="E15" s="6" t="s">
        <v>372</v>
      </c>
    </row>
    <row r="16">
      <c r="B16" s="6" t="s">
        <v>380</v>
      </c>
      <c r="C16" s="6">
        <v>5.0</v>
      </c>
      <c r="D16" s="6" t="s">
        <v>371</v>
      </c>
      <c r="E16" s="6" t="s">
        <v>372</v>
      </c>
    </row>
    <row r="17">
      <c r="B17" s="6" t="s">
        <v>381</v>
      </c>
      <c r="C17" s="6" t="s">
        <v>382</v>
      </c>
      <c r="D17" s="6" t="s">
        <v>382</v>
      </c>
      <c r="E17" s="8"/>
    </row>
    <row r="18">
      <c r="B18" s="6" t="s">
        <v>383</v>
      </c>
      <c r="C18" s="6">
        <v>0.0</v>
      </c>
      <c r="D18" s="8"/>
      <c r="E18" s="8"/>
    </row>
    <row r="19">
      <c r="B19" s="6" t="s">
        <v>384</v>
      </c>
      <c r="C19" s="6">
        <v>1.0</v>
      </c>
      <c r="D19" s="8"/>
      <c r="E19" s="8"/>
    </row>
    <row r="20">
      <c r="B20" s="6" t="s">
        <v>385</v>
      </c>
      <c r="C20" s="6">
        <v>1.0</v>
      </c>
      <c r="D20" s="8"/>
      <c r="E20" s="8"/>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1" max="1" width="21.71"/>
    <col customWidth="1" min="2" max="2" width="17.29"/>
    <col customWidth="1" min="3" max="3" width="18.14"/>
    <col customWidth="1" min="4" max="4" width="14.71"/>
    <col customWidth="1" min="5" max="5" width="15.86"/>
    <col customWidth="1" min="8" max="8" width="23.71"/>
    <col customWidth="1" min="9" max="9" width="8.29"/>
    <col customWidth="1" min="10" max="10" width="15.14"/>
    <col customWidth="1" min="13" max="14" width="18.14"/>
    <col customWidth="1" min="16" max="16" width="16.86"/>
    <col customWidth="1" min="17" max="17" width="15.29"/>
    <col customWidth="1" min="20" max="20" width="16.86"/>
  </cols>
  <sheetData>
    <row r="1">
      <c r="A1" s="101"/>
      <c r="C1" s="102">
        <v>0.7</v>
      </c>
      <c r="D1" s="103"/>
      <c r="E1" s="103"/>
      <c r="F1" s="104"/>
      <c r="H1" s="103"/>
      <c r="I1" s="105">
        <f>100%-C1</f>
        <v>0.3</v>
      </c>
      <c r="J1" s="8"/>
      <c r="K1" s="8"/>
      <c r="L1" s="8"/>
    </row>
    <row r="2">
      <c r="A2" s="106"/>
      <c r="C2" s="106" t="s">
        <v>386</v>
      </c>
      <c r="D2" s="103"/>
      <c r="E2" s="103"/>
      <c r="F2" s="104"/>
      <c r="H2" s="103"/>
      <c r="I2" s="103"/>
      <c r="J2" s="8"/>
      <c r="K2" s="8"/>
      <c r="L2" s="8"/>
      <c r="O2" s="1" t="str">
        <f>'Scoring - fin '!O2</f>
        <v>Score range</v>
      </c>
      <c r="P2" s="1" t="str">
        <f>'Scoring - fin '!P2</f>
        <v>Range</v>
      </c>
    </row>
    <row r="3">
      <c r="A3" s="107" t="s">
        <v>387</v>
      </c>
      <c r="B3" s="108" t="s">
        <v>388</v>
      </c>
      <c r="C3" s="109" t="s">
        <v>389</v>
      </c>
      <c r="D3" s="109" t="s">
        <v>390</v>
      </c>
      <c r="E3" s="107" t="s">
        <v>391</v>
      </c>
      <c r="F3" s="110" t="s">
        <v>392</v>
      </c>
      <c r="G3" s="108" t="s">
        <v>388</v>
      </c>
      <c r="H3" s="111" t="s">
        <v>393</v>
      </c>
      <c r="I3" s="110" t="s">
        <v>394</v>
      </c>
      <c r="J3" s="110" t="s">
        <v>395</v>
      </c>
      <c r="K3" s="6"/>
      <c r="L3" s="6"/>
      <c r="M3" s="4"/>
      <c r="O3" s="1">
        <f>'Scoring - fin '!O3</f>
        <v>-30</v>
      </c>
      <c r="P3" s="1" t="str">
        <f>'Scoring - fin '!P3</f>
        <v>Very bad</v>
      </c>
    </row>
    <row r="4">
      <c r="A4" s="112" t="s">
        <v>396</v>
      </c>
      <c r="B4" s="4">
        <v>0.0</v>
      </c>
      <c r="C4" s="113">
        <v>0.35</v>
      </c>
      <c r="D4" s="113">
        <f>C4/SUM(C4,C5,C6,C7,C8)</f>
        <v>0.35</v>
      </c>
      <c r="E4" s="114">
        <v>0.0</v>
      </c>
      <c r="F4" s="115" t="s">
        <v>295</v>
      </c>
      <c r="G4" s="4">
        <v>0.0</v>
      </c>
      <c r="H4" s="116">
        <v>0.35</v>
      </c>
      <c r="I4" s="116">
        <f t="shared" ref="I4:I7" si="1">H4/SUM($H$4:$H$7)</f>
        <v>0.35</v>
      </c>
      <c r="J4" s="117">
        <v>-30.0</v>
      </c>
      <c r="K4" s="6"/>
      <c r="L4" s="6"/>
      <c r="M4" s="4"/>
      <c r="O4" s="1">
        <f>'Scoring - fin '!O4</f>
        <v>-15</v>
      </c>
      <c r="P4" s="1" t="str">
        <f>'Scoring - fin '!P4</f>
        <v>bad</v>
      </c>
    </row>
    <row r="5">
      <c r="A5" s="112" t="s">
        <v>247</v>
      </c>
      <c r="B5" s="4">
        <v>0.0</v>
      </c>
      <c r="C5" s="113">
        <v>0.35</v>
      </c>
      <c r="D5" s="113">
        <f>C5/SUM(C4,C5,C6,C7,C8)</f>
        <v>0.35</v>
      </c>
      <c r="E5" s="114">
        <v>0.0</v>
      </c>
      <c r="F5" s="115" t="s">
        <v>302</v>
      </c>
      <c r="G5" s="4">
        <v>0.0</v>
      </c>
      <c r="H5" s="116">
        <v>0.35</v>
      </c>
      <c r="I5" s="116">
        <f t="shared" si="1"/>
        <v>0.35</v>
      </c>
      <c r="J5" s="117">
        <v>30.0</v>
      </c>
      <c r="K5" s="6"/>
      <c r="L5" s="6"/>
      <c r="M5" s="4"/>
      <c r="O5" s="1">
        <f>'Scoring - fin '!O5</f>
        <v>0</v>
      </c>
      <c r="P5" s="1" t="str">
        <f>'Scoring - fin '!P5</f>
        <v>good</v>
      </c>
    </row>
    <row r="6">
      <c r="A6" s="112" t="s">
        <v>255</v>
      </c>
      <c r="B6" s="4">
        <v>0.0</v>
      </c>
      <c r="C6" s="118">
        <v>0.2</v>
      </c>
      <c r="D6" s="113">
        <f>C6/SUM(C4,C5,C6,C7,C8)</f>
        <v>0.2</v>
      </c>
      <c r="E6" s="114">
        <v>0.0</v>
      </c>
      <c r="F6" s="115" t="s">
        <v>397</v>
      </c>
      <c r="G6" s="4">
        <v>0.0</v>
      </c>
      <c r="H6" s="116">
        <v>0.25</v>
      </c>
      <c r="I6" s="116">
        <f t="shared" si="1"/>
        <v>0.25</v>
      </c>
      <c r="J6" s="117">
        <v>-5.0</v>
      </c>
      <c r="K6" s="6"/>
      <c r="L6" s="6"/>
      <c r="M6" s="4"/>
      <c r="O6" s="1">
        <f>'Scoring - fin '!O6</f>
        <v>15</v>
      </c>
      <c r="P6" s="1" t="str">
        <f>'Scoring - fin '!P6</f>
        <v>v good</v>
      </c>
    </row>
    <row r="7">
      <c r="A7" s="112" t="s">
        <v>289</v>
      </c>
      <c r="B7" s="4">
        <v>0.0</v>
      </c>
      <c r="C7" s="118">
        <v>0.05</v>
      </c>
      <c r="D7" s="113">
        <f>C7/SUM(C4,C5,C6,C7,C8)</f>
        <v>0.05</v>
      </c>
      <c r="E7" s="114">
        <v>0.0</v>
      </c>
      <c r="F7" s="115" t="s">
        <v>306</v>
      </c>
      <c r="H7" s="119">
        <v>0.05</v>
      </c>
      <c r="I7" s="116">
        <f t="shared" si="1"/>
        <v>0.05</v>
      </c>
      <c r="J7" s="117">
        <v>30.0</v>
      </c>
      <c r="K7" s="6"/>
      <c r="L7" s="6"/>
      <c r="M7" s="4"/>
      <c r="O7" s="1">
        <f>'Scoring - fin '!O7</f>
        <v>30</v>
      </c>
      <c r="P7" s="1" t="str">
        <f>'Scoring - fin '!P7</f>
        <v/>
      </c>
    </row>
    <row r="8">
      <c r="A8" s="112" t="s">
        <v>398</v>
      </c>
      <c r="C8" s="118">
        <v>0.05</v>
      </c>
      <c r="D8" s="113">
        <f>C8/SUM(C4,C5,C6,C7,C8)</f>
        <v>0.05</v>
      </c>
      <c r="E8" s="114">
        <v>30.0</v>
      </c>
      <c r="F8" s="120"/>
      <c r="H8" s="121"/>
      <c r="I8" s="121"/>
      <c r="J8" s="117">
        <v>30.0</v>
      </c>
      <c r="K8" s="8"/>
      <c r="L8" s="8"/>
      <c r="O8" s="1" t="str">
        <f>'Scoring - fin '!O8</f>
        <v/>
      </c>
      <c r="P8" s="1" t="str">
        <f>'Scoring - fin '!P8</f>
        <v/>
      </c>
    </row>
    <row r="9">
      <c r="A9" s="122"/>
      <c r="C9" s="122"/>
      <c r="D9" s="122"/>
      <c r="E9" s="122"/>
      <c r="F9" s="120"/>
      <c r="H9" s="121"/>
      <c r="I9" s="123">
        <f>sum(I3:I7)</f>
        <v>1</v>
      </c>
      <c r="J9" s="124"/>
      <c r="K9" s="8"/>
      <c r="L9" s="8"/>
    </row>
    <row r="10">
      <c r="A10" s="122"/>
      <c r="C10" s="125">
        <f t="shared" ref="C10:D10" si="2">sum(C4:C8)</f>
        <v>1</v>
      </c>
      <c r="D10" s="125">
        <f t="shared" si="2"/>
        <v>1</v>
      </c>
      <c r="E10" s="126"/>
      <c r="F10" s="127"/>
      <c r="H10" s="121"/>
      <c r="I10" s="121"/>
      <c r="J10" s="124"/>
      <c r="K10" s="8"/>
      <c r="L10" s="8"/>
    </row>
    <row r="11">
      <c r="A11" s="122"/>
      <c r="C11" s="122"/>
      <c r="D11" s="128" t="s">
        <v>399</v>
      </c>
      <c r="E11" s="128">
        <f>SUMPRODUCT(D4:D8,E4:E8)</f>
        <v>1.5</v>
      </c>
      <c r="F11" s="129"/>
      <c r="H11" s="124"/>
      <c r="I11" s="121"/>
      <c r="J11" s="130">
        <f>SUMPRODUCT(I4:I8,J4:J8)</f>
        <v>0.25</v>
      </c>
      <c r="K11" s="131">
        <f>E11*C1+J11*I1</f>
        <v>1.125</v>
      </c>
      <c r="L11" s="132" t="str">
        <f>VLOOKUP(K11,$O$3:$P$7,2,true)</f>
        <v>good</v>
      </c>
    </row>
    <row r="12">
      <c r="A12" s="133"/>
      <c r="B12" s="133"/>
      <c r="C12" s="133"/>
      <c r="D12" s="134"/>
      <c r="E12" s="135"/>
      <c r="F12" s="133"/>
      <c r="G12" s="133"/>
    </row>
    <row r="13">
      <c r="D13" s="133"/>
      <c r="E13" s="38"/>
      <c r="J13" s="136" t="s">
        <v>400</v>
      </c>
      <c r="K13" s="137"/>
      <c r="L13" s="4" t="s">
        <v>401</v>
      </c>
      <c r="N13" s="4">
        <v>1.8002021232E10</v>
      </c>
    </row>
    <row r="14">
      <c r="D14" s="133"/>
      <c r="E14" s="38"/>
      <c r="J14" s="138">
        <v>0.0</v>
      </c>
      <c r="K14" s="139" t="s">
        <v>402</v>
      </c>
      <c r="L14" s="140">
        <f t="shared" ref="L14:L20" si="3">J15-J14</f>
        <v>3</v>
      </c>
    </row>
    <row r="15">
      <c r="D15" s="133"/>
      <c r="E15" s="38"/>
      <c r="J15" s="138">
        <v>3.0</v>
      </c>
      <c r="K15" s="139" t="s">
        <v>403</v>
      </c>
      <c r="L15" s="140">
        <f t="shared" si="3"/>
        <v>6</v>
      </c>
    </row>
    <row r="16">
      <c r="D16" s="133"/>
      <c r="E16" s="38"/>
      <c r="J16" s="141">
        <v>9.0</v>
      </c>
      <c r="K16" s="139" t="s">
        <v>164</v>
      </c>
      <c r="L16" s="140">
        <f t="shared" si="3"/>
        <v>36</v>
      </c>
    </row>
    <row r="17">
      <c r="D17" s="133"/>
      <c r="E17" s="38"/>
      <c r="J17" s="138">
        <v>45.0</v>
      </c>
      <c r="K17" s="139" t="s">
        <v>404</v>
      </c>
      <c r="L17" s="140">
        <f t="shared" si="3"/>
        <v>36</v>
      </c>
      <c r="R17" s="4">
        <v>3.0</v>
      </c>
    </row>
    <row r="18">
      <c r="E18" s="38"/>
      <c r="J18" s="141">
        <v>81.0</v>
      </c>
      <c r="K18" s="139" t="s">
        <v>405</v>
      </c>
      <c r="L18" s="140">
        <f t="shared" si="3"/>
        <v>11</v>
      </c>
    </row>
    <row r="19">
      <c r="E19" s="38"/>
      <c r="J19" s="138">
        <v>92.0</v>
      </c>
      <c r="K19" s="139" t="s">
        <v>406</v>
      </c>
      <c r="L19" s="140">
        <f t="shared" si="3"/>
        <v>4</v>
      </c>
    </row>
    <row r="20">
      <c r="A20" s="1" t="str">
        <f>'Scoring - fin '!A20</f>
        <v>Data avail (flags)</v>
      </c>
      <c r="B20" s="1" t="str">
        <f>'Scoring - fin '!B20</f>
        <v>Actual value (test)
Select one of data avail (flag)</v>
      </c>
      <c r="C20" s="1" t="str">
        <f>'Scoring - fin '!C20</f>
        <v>Fin, GST, EPF</v>
      </c>
      <c r="D20" s="1" t="str">
        <f>'Scoring - fin '!D20</f>
        <v>GST, EPF</v>
      </c>
      <c r="E20" s="1" t="str">
        <f>'Scoring - fin '!E20</f>
        <v>Fin and GST</v>
      </c>
      <c r="F20" s="1" t="str">
        <f>'Scoring - fin '!F20</f>
        <v>GST</v>
      </c>
      <c r="G20" s="2" t="str">
        <f>'Scoring - fin '!G20</f>
        <v>If period of data avail is less than 6 months (half of final)</v>
      </c>
      <c r="J20" s="138">
        <v>96.0</v>
      </c>
      <c r="K20" s="139" t="s">
        <v>407</v>
      </c>
      <c r="L20" s="140">
        <f t="shared" si="3"/>
        <v>4</v>
      </c>
    </row>
    <row r="21">
      <c r="A21" s="1" t="str">
        <f>'Scoring - fin '!A21</f>
        <v>Boost v good %</v>
      </c>
      <c r="B21" s="6">
        <f t="shared" ref="B21:B24" si="4">E21</f>
        <v>60</v>
      </c>
      <c r="C21" s="6">
        <f>'Scoring - fin '!C21</f>
        <v>50</v>
      </c>
      <c r="D21" s="6">
        <f>'Scoring - fin '!D21</f>
        <v>60</v>
      </c>
      <c r="E21" s="6">
        <f>'Scoring - fin '!E21</f>
        <v>60</v>
      </c>
      <c r="F21" s="6">
        <f>'Scoring - fin '!F21</f>
        <v>70</v>
      </c>
      <c r="G21" s="6">
        <f>'Scoring - fin '!G21</f>
        <v>30</v>
      </c>
      <c r="J21" s="142">
        <v>100.0</v>
      </c>
      <c r="K21" s="143"/>
    </row>
    <row r="22">
      <c r="A22" s="6" t="str">
        <f>'Scoring - fin '!A22</f>
        <v>Boost good %</v>
      </c>
      <c r="B22" s="6">
        <f t="shared" si="4"/>
        <v>50</v>
      </c>
      <c r="C22" s="6">
        <f>'Scoring - fin '!C22</f>
        <v>40</v>
      </c>
      <c r="D22" s="6">
        <f>'Scoring - fin '!D22</f>
        <v>50</v>
      </c>
      <c r="E22" s="6">
        <f>'Scoring - fin '!E22</f>
        <v>50</v>
      </c>
      <c r="F22" s="6">
        <f>'Scoring - fin '!F22</f>
        <v>60</v>
      </c>
      <c r="G22" s="6">
        <f>'Scoring - fin '!G22</f>
        <v>25</v>
      </c>
    </row>
    <row r="23">
      <c r="A23" s="1" t="str">
        <f>'Scoring - fin '!A23</f>
        <v>Boost bad %</v>
      </c>
      <c r="B23" s="6">
        <f t="shared" si="4"/>
        <v>-40</v>
      </c>
      <c r="C23" s="6">
        <f>'Scoring - fin '!C23</f>
        <v>-30</v>
      </c>
      <c r="D23" s="6">
        <f>'Scoring - fin '!D23</f>
        <v>-40</v>
      </c>
      <c r="E23" s="6">
        <f>'Scoring - fin '!E23</f>
        <v>-40</v>
      </c>
      <c r="F23" s="6">
        <f>'Scoring - fin '!F23</f>
        <v>-50</v>
      </c>
      <c r="G23" s="6">
        <f>'Scoring - fin '!G23</f>
        <v>-10</v>
      </c>
    </row>
    <row r="24">
      <c r="A24" s="1" t="str">
        <f>'Scoring - fin '!A24</f>
        <v>Boost v bad %</v>
      </c>
      <c r="B24" s="6">
        <f t="shared" si="4"/>
        <v>-50</v>
      </c>
      <c r="C24" s="6">
        <f>'Scoring - fin '!C24</f>
        <v>-40</v>
      </c>
      <c r="D24" s="6">
        <f>'Scoring - fin '!D24</f>
        <v>-50</v>
      </c>
      <c r="E24" s="6">
        <f>'Scoring - fin '!E24</f>
        <v>-50</v>
      </c>
      <c r="F24" s="6">
        <f>'Scoring - fin '!F24</f>
        <v>-60</v>
      </c>
      <c r="G24" s="6">
        <f>'Scoring - fin '!G24</f>
        <v>-25</v>
      </c>
    </row>
    <row r="25">
      <c r="A25" s="1" t="str">
        <f>'Scoring - fin '!A25</f>
        <v/>
      </c>
      <c r="B25" s="6" t="str">
        <f>C25</f>
        <v/>
      </c>
      <c r="C25" s="1" t="str">
        <f>'Scoring - fin '!C25</f>
        <v/>
      </c>
      <c r="D25" s="1" t="str">
        <f>'Scoring - fin '!D25</f>
        <v/>
      </c>
      <c r="E25" s="1" t="str">
        <f>'Scoring - fin '!E25</f>
        <v/>
      </c>
      <c r="F25" s="1" t="str">
        <f>'Scoring - fin '!F25</f>
        <v/>
      </c>
      <c r="G25" s="1" t="str">
        <f>'Scoring - fin '!G25</f>
        <v/>
      </c>
    </row>
    <row r="28">
      <c r="E28" s="76">
        <f>A31*0.5</f>
        <v>14</v>
      </c>
      <c r="F28" s="76">
        <f>E28*0.5</f>
        <v>7</v>
      </c>
    </row>
    <row r="29">
      <c r="A29" s="4" t="str">
        <f>VLOOKUP(A31,J14:K21,2,true)</f>
        <v>BB</v>
      </c>
      <c r="C29" s="8"/>
    </row>
    <row r="30">
      <c r="A30" s="144" t="s">
        <v>408</v>
      </c>
      <c r="B30" s="2" t="s">
        <v>409</v>
      </c>
      <c r="C30" s="2" t="s">
        <v>410</v>
      </c>
      <c r="D30" s="1" t="s">
        <v>411</v>
      </c>
      <c r="E30" s="1" t="s">
        <v>412</v>
      </c>
      <c r="F30" s="2" t="s">
        <v>413</v>
      </c>
      <c r="G30" s="2" t="s">
        <v>414</v>
      </c>
      <c r="H30" s="1" t="s">
        <v>415</v>
      </c>
      <c r="I30" s="1" t="s">
        <v>416</v>
      </c>
    </row>
    <row r="31">
      <c r="A31" s="145">
        <v>28.0</v>
      </c>
      <c r="B31" s="146">
        <f>if($A$29=$K$14,J15,if($A$29=$K$15,J16,if($A$29=$K$16,J17,if($A$29=$K$17,J18,if($A$29=$K$18,J19,if($A$29=$K$19,J20,100))))))</f>
        <v>45</v>
      </c>
      <c r="C31" s="147">
        <f>B31-A31</f>
        <v>17</v>
      </c>
      <c r="D31" s="8">
        <f t="shared" ref="D31:D33" si="5">C31*$B$21%</f>
        <v>10.2</v>
      </c>
      <c r="E31" s="8">
        <f t="shared" ref="E31:E33" si="6">C31*$B$22%</f>
        <v>8.5</v>
      </c>
      <c r="F31" s="148">
        <f>if($A$29=$K$14,0,if($A$29=$K$15,J15,if($A$29=$K$16,J16,if($A$29=$K$17,J17,if($A$29=$K$18,J18,if($A$29=$K$19,J19,J20))))))</f>
        <v>9</v>
      </c>
      <c r="G31" s="149">
        <f>A31-F31</f>
        <v>19</v>
      </c>
      <c r="H31" s="8">
        <f t="shared" ref="H31:H33" si="7">G31*$B$23%</f>
        <v>-7.6</v>
      </c>
      <c r="I31" s="8">
        <f t="shared" ref="I31:I33" si="8">G31*$B$24%</f>
        <v>-9.5</v>
      </c>
    </row>
    <row r="32">
      <c r="A32" s="8">
        <f>'Scoring - fin '!H34</f>
        <v>4.8</v>
      </c>
      <c r="B32" s="146">
        <f>if($A$29=$K$14,J16,if($A$29=$K$15,J17,if($A$29=$K$16,J18,if($A$29=$K$17,J19,if($A$29=$K$18,J20,if($A$29=$K$19,J21,if($A$29=$K$20,0,100)))))))</f>
        <v>81</v>
      </c>
      <c r="C32" s="150">
        <f t="shared" ref="C32:C33" si="9">if(B32-B31&lt;0,0,B32-B31)</f>
        <v>36</v>
      </c>
      <c r="D32" s="8">
        <f t="shared" si="5"/>
        <v>21.6</v>
      </c>
      <c r="E32" s="8">
        <f t="shared" si="6"/>
        <v>18</v>
      </c>
      <c r="F32" s="148">
        <f>if($A$29=$K$14,0,if($A$29=$K$15,0,if($A$29=$K$16,J15,if($A$29=$K$17,J16,if($A$29=$K$18,J17,if($A$29=$K$19,J18,J19))))))</f>
        <v>3</v>
      </c>
      <c r="G32" s="149">
        <f t="shared" ref="G32:G33" si="10">if(F31-F32&lt;0,0,F31-F32)</f>
        <v>6</v>
      </c>
      <c r="H32" s="8">
        <f t="shared" si="7"/>
        <v>-2.4</v>
      </c>
      <c r="I32" s="8">
        <f t="shared" si="8"/>
        <v>-3</v>
      </c>
    </row>
    <row r="33">
      <c r="A33" s="6">
        <v>2.0</v>
      </c>
      <c r="B33" s="146">
        <f>if($A$29=$K$14,J17,if($A$29=$K$15,J18,if($A$29=$K$16,J19,if($A$29=$K$17,J20,if($A$29=$K$18,J21,if($A$29=$K$19,0,if($A$29=$K$20,0,100)))))))</f>
        <v>92</v>
      </c>
      <c r="C33" s="150">
        <f t="shared" si="9"/>
        <v>11</v>
      </c>
      <c r="D33" s="8">
        <f t="shared" si="5"/>
        <v>6.6</v>
      </c>
      <c r="E33" s="8">
        <f t="shared" si="6"/>
        <v>5.5</v>
      </c>
      <c r="F33" s="6">
        <f>if($A$29=$K$14,0,if($A$29=$K$15,0,if($A$29=$K$16,0,if($A$29=$K$17,J15,if($A$29=$K$18,J16,if($A$29=$K$19,J17,J18))))))</f>
        <v>0</v>
      </c>
      <c r="G33" s="149">
        <f t="shared" si="10"/>
        <v>3</v>
      </c>
      <c r="H33" s="8">
        <f t="shared" si="7"/>
        <v>-1.2</v>
      </c>
      <c r="I33" s="8">
        <f t="shared" si="8"/>
        <v>-1.5</v>
      </c>
    </row>
    <row r="34">
      <c r="A34" s="6">
        <v>2.0</v>
      </c>
      <c r="B34" s="8"/>
      <c r="C34" s="8"/>
      <c r="D34" s="8">
        <f t="shared" ref="D34:E34" si="11">sum(D31:D33)</f>
        <v>38.4</v>
      </c>
      <c r="E34" s="8">
        <f t="shared" si="11"/>
        <v>32</v>
      </c>
      <c r="F34" s="8"/>
      <c r="G34" s="8"/>
      <c r="H34" s="8">
        <f t="shared" ref="H34:I34" si="12">sum(H31:H33)</f>
        <v>-11.2</v>
      </c>
      <c r="I34" s="8">
        <f t="shared" si="12"/>
        <v>-14</v>
      </c>
    </row>
    <row r="35">
      <c r="A35" s="8"/>
      <c r="B35" s="8"/>
      <c r="C35" s="151" t="s">
        <v>417</v>
      </c>
      <c r="D35" s="152">
        <f t="shared" ref="D35:E35" si="13">D34+$A$31</f>
        <v>66.4</v>
      </c>
      <c r="E35" s="152">
        <f t="shared" si="13"/>
        <v>60</v>
      </c>
      <c r="F35" s="8"/>
      <c r="G35" s="8"/>
      <c r="H35" s="152">
        <f t="shared" ref="H35:I35" si="14">H34+$A$31</f>
        <v>16.8</v>
      </c>
      <c r="I35" s="152">
        <f t="shared" si="14"/>
        <v>14</v>
      </c>
    </row>
    <row r="36">
      <c r="A36" s="8"/>
      <c r="B36" s="8"/>
      <c r="C36" s="151" t="s">
        <v>418</v>
      </c>
      <c r="D36" s="152" t="str">
        <f t="shared" ref="D36:E36" si="15">VLOOKUP(D35,$J$14:$K$21,2,true)</f>
        <v>BBB</v>
      </c>
      <c r="E36" s="152" t="str">
        <f t="shared" si="15"/>
        <v>BBB</v>
      </c>
      <c r="F36" s="8"/>
      <c r="G36" s="8"/>
      <c r="H36" s="152" t="str">
        <f t="shared" ref="H36:I36" si="16">VLOOKUP(H35,$J$14:$K$21,2,true)</f>
        <v>BB</v>
      </c>
      <c r="I36" s="152" t="str">
        <f t="shared" si="16"/>
        <v>BB</v>
      </c>
    </row>
    <row r="37">
      <c r="A37" s="8"/>
      <c r="B37" s="8"/>
      <c r="C37" s="6" t="s">
        <v>419</v>
      </c>
      <c r="D37" s="8">
        <f t="shared" ref="D37:E37" si="17">D35-$A$31</f>
        <v>38.4</v>
      </c>
      <c r="E37" s="8">
        <f t="shared" si="17"/>
        <v>32</v>
      </c>
      <c r="F37" s="8"/>
      <c r="G37" s="8"/>
      <c r="H37" s="8">
        <f t="shared" ref="H37:I37" si="18">H35-$A$31</f>
        <v>-11.2</v>
      </c>
      <c r="I37" s="8">
        <f t="shared" si="18"/>
        <v>-14</v>
      </c>
    </row>
    <row r="38">
      <c r="A38" s="8"/>
      <c r="B38" s="8"/>
      <c r="C38" s="6" t="s">
        <v>420</v>
      </c>
      <c r="D38" s="153">
        <f t="shared" ref="D38:E38" si="19">D37/$A$31</f>
        <v>1.371428571</v>
      </c>
      <c r="E38" s="153">
        <f t="shared" si="19"/>
        <v>1.142857143</v>
      </c>
      <c r="F38" s="8"/>
      <c r="G38" s="8"/>
      <c r="H38" s="153">
        <f t="shared" ref="H38:I38" si="20">H37/$A$31</f>
        <v>-0.4</v>
      </c>
      <c r="I38" s="153">
        <f t="shared" si="20"/>
        <v>-0.5</v>
      </c>
    </row>
    <row r="39">
      <c r="E39" s="38"/>
    </row>
  </sheetData>
  <mergeCells count="1">
    <mergeCell ref="J13:K13"/>
  </mergeCells>
  <dataValidations>
    <dataValidation type="decimal" allowBlank="1" showDropDown="1" sqref="A31">
      <formula1>1.0</formula1>
      <formula2>99.0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86"/>
    <col customWidth="1" min="8" max="8" width="20.29"/>
  </cols>
  <sheetData>
    <row r="1">
      <c r="A1" s="48" t="s">
        <v>180</v>
      </c>
      <c r="B1" s="20" t="s">
        <v>181</v>
      </c>
      <c r="C1" s="20" t="s">
        <v>34</v>
      </c>
      <c r="D1" s="4" t="s">
        <v>421</v>
      </c>
      <c r="H1" s="4" t="s">
        <v>422</v>
      </c>
      <c r="I1" s="4" t="s">
        <v>423</v>
      </c>
    </row>
    <row r="2">
      <c r="A2" s="26" t="s">
        <v>424</v>
      </c>
      <c r="B2" s="50" t="s">
        <v>425</v>
      </c>
      <c r="C2" s="51">
        <v>-30.0</v>
      </c>
      <c r="D2" s="76">
        <f t="shared" ref="D2:D5" si="1">AVERAGE(C2:C3)</f>
        <v>-22.5</v>
      </c>
      <c r="H2" s="4">
        <v>1.0</v>
      </c>
      <c r="I2" s="4">
        <v>-30.0</v>
      </c>
    </row>
    <row r="3">
      <c r="A3" s="55"/>
      <c r="B3" s="50" t="s">
        <v>426</v>
      </c>
      <c r="C3" s="51">
        <v>-15.0</v>
      </c>
      <c r="D3" s="76">
        <f t="shared" si="1"/>
        <v>-7.5</v>
      </c>
      <c r="H3" s="4">
        <v>2.0</v>
      </c>
      <c r="I3" s="4">
        <v>0.0</v>
      </c>
    </row>
    <row r="4">
      <c r="A4" s="55"/>
      <c r="B4" s="50" t="s">
        <v>427</v>
      </c>
      <c r="C4" s="58">
        <v>0.0</v>
      </c>
      <c r="D4" s="76">
        <f t="shared" si="1"/>
        <v>7.5</v>
      </c>
      <c r="H4" s="4">
        <v>3.0</v>
      </c>
      <c r="I4" s="4">
        <v>0.0</v>
      </c>
    </row>
    <row r="5">
      <c r="A5" s="55"/>
      <c r="B5" s="50" t="s">
        <v>428</v>
      </c>
      <c r="C5" s="58">
        <v>15.0</v>
      </c>
      <c r="D5" s="76">
        <f t="shared" si="1"/>
        <v>22.5</v>
      </c>
      <c r="H5" s="4">
        <v>4.0</v>
      </c>
      <c r="I5" s="4">
        <v>0.0</v>
      </c>
    </row>
    <row r="6">
      <c r="A6" s="55"/>
      <c r="B6" s="50" t="s">
        <v>429</v>
      </c>
      <c r="C6" s="58">
        <v>30.0</v>
      </c>
      <c r="H6" s="4">
        <v>5.0</v>
      </c>
      <c r="I6" s="4">
        <v>15.0</v>
      </c>
    </row>
    <row r="7">
      <c r="H7" s="4">
        <v>6.0</v>
      </c>
      <c r="I7" s="4">
        <v>15.0</v>
      </c>
    </row>
    <row r="8">
      <c r="H8" s="4">
        <v>7.0</v>
      </c>
      <c r="I8" s="4">
        <v>15.0</v>
      </c>
    </row>
    <row r="9">
      <c r="B9" s="4" t="s">
        <v>430</v>
      </c>
      <c r="C9" s="4">
        <v>-30.0</v>
      </c>
      <c r="H9" s="4">
        <v>8.0</v>
      </c>
      <c r="I9" s="4">
        <v>15.0</v>
      </c>
    </row>
    <row r="10">
      <c r="A10" s="4" t="s">
        <v>431</v>
      </c>
      <c r="B10" s="4" t="s">
        <v>432</v>
      </c>
      <c r="C10" s="4">
        <v>-15.0</v>
      </c>
      <c r="H10" s="4">
        <v>9.0</v>
      </c>
      <c r="I10" s="4">
        <v>15.0</v>
      </c>
    </row>
    <row r="11">
      <c r="B11" s="4" t="s">
        <v>433</v>
      </c>
      <c r="C11" s="4">
        <v>0.0</v>
      </c>
      <c r="H11" s="4">
        <v>10.0</v>
      </c>
      <c r="I11" s="4">
        <v>15.0</v>
      </c>
    </row>
    <row r="12">
      <c r="B12" s="4" t="s">
        <v>434</v>
      </c>
      <c r="C12" s="4">
        <v>15.0</v>
      </c>
      <c r="H12" s="4">
        <v>11.0</v>
      </c>
      <c r="I12" s="4">
        <v>15.0</v>
      </c>
    </row>
    <row r="13">
      <c r="B13" s="4" t="s">
        <v>435</v>
      </c>
      <c r="C13" s="4">
        <v>30.0</v>
      </c>
      <c r="H13" s="4">
        <v>12.0</v>
      </c>
      <c r="I13" s="4">
        <v>15.0</v>
      </c>
    </row>
    <row r="14">
      <c r="H14" s="4" t="s">
        <v>436</v>
      </c>
      <c r="I14" s="76">
        <f>sum(I8:I13)</f>
        <v>90</v>
      </c>
    </row>
    <row r="15">
      <c r="H15" s="4" t="s">
        <v>437</v>
      </c>
      <c r="I15" s="76">
        <f>sum(I2:I13)-I14</f>
        <v>0</v>
      </c>
    </row>
    <row r="16">
      <c r="B16" s="4">
        <v>80.0</v>
      </c>
      <c r="H16" s="108" t="s">
        <v>438</v>
      </c>
      <c r="I16" s="154">
        <f>((I14/6)*70%)+((I15/6)*30%)</f>
        <v>10.5</v>
      </c>
    </row>
    <row r="17">
      <c r="B17" s="4">
        <v>82.0</v>
      </c>
      <c r="H17" s="155" t="s">
        <v>439</v>
      </c>
      <c r="I17" s="156">
        <f>if(and(I16&gt;D2,I16&lt;D3),C3,if(and(I16&gt;D3,I16&lt;D4),C4,if(and(I16&gt;D4,I16&lt;D5),C5,if(and(I16&gt;D5,I16&lt;D6),C6,C2))))</f>
        <v>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8" width="8.71"/>
    <col customWidth="1" min="9" max="9" width="6.86"/>
    <col customWidth="1" min="10" max="26" width="8.71"/>
  </cols>
  <sheetData>
    <row r="1" ht="14.25" customHeight="1">
      <c r="F1" s="157" t="s">
        <v>440</v>
      </c>
      <c r="G1" s="158" t="s">
        <v>441</v>
      </c>
      <c r="I1" s="159" t="s">
        <v>281</v>
      </c>
      <c r="J1" s="159" t="s">
        <v>282</v>
      </c>
      <c r="K1" s="159" t="s">
        <v>283</v>
      </c>
      <c r="L1" s="159" t="s">
        <v>442</v>
      </c>
      <c r="M1" s="159" t="s">
        <v>443</v>
      </c>
    </row>
    <row r="2" ht="14.25" customHeight="1">
      <c r="B2" s="76" t="s">
        <v>444</v>
      </c>
      <c r="C2" s="76" t="s">
        <v>445</v>
      </c>
      <c r="F2" s="160">
        <v>33.0</v>
      </c>
      <c r="G2" s="161">
        <v>60.0</v>
      </c>
      <c r="I2" s="159">
        <f>SUM(C3:C5)</f>
        <v>94</v>
      </c>
      <c r="J2" s="159">
        <f>SUM(C6:C7)</f>
        <v>133</v>
      </c>
      <c r="K2" s="159">
        <f>SUM(C9,C11)</f>
        <v>158</v>
      </c>
      <c r="L2" s="159">
        <f>SUM(C8)</f>
        <v>97</v>
      </c>
      <c r="M2" s="159">
        <f>C10</f>
        <v>182</v>
      </c>
      <c r="N2" s="76">
        <f>SUM(I2:M2)</f>
        <v>664</v>
      </c>
    </row>
    <row r="3" ht="14.25" customHeight="1">
      <c r="A3" s="76" t="s">
        <v>446</v>
      </c>
      <c r="B3" s="76">
        <v>30.0</v>
      </c>
      <c r="C3" s="76">
        <v>30.0</v>
      </c>
      <c r="D3" s="76">
        <f>SUM(C3:C5)</f>
        <v>94</v>
      </c>
      <c r="E3" s="162">
        <f>D3/C12</f>
        <v>0.1415662651</v>
      </c>
      <c r="I3" s="163">
        <f t="shared" ref="I3:M3" si="1">I2/$N$2</f>
        <v>0.1415662651</v>
      </c>
      <c r="J3" s="163">
        <f t="shared" si="1"/>
        <v>0.2003012048</v>
      </c>
      <c r="K3" s="163">
        <f t="shared" si="1"/>
        <v>0.2379518072</v>
      </c>
      <c r="L3" s="163">
        <f t="shared" si="1"/>
        <v>0.1460843373</v>
      </c>
      <c r="M3" s="163">
        <f t="shared" si="1"/>
        <v>0.2740963855</v>
      </c>
    </row>
    <row r="4" ht="14.25" customHeight="1">
      <c r="A4" s="76" t="s">
        <v>447</v>
      </c>
      <c r="B4" s="76">
        <v>33.0</v>
      </c>
      <c r="C4" s="76">
        <v>33.0</v>
      </c>
      <c r="I4" s="163">
        <f t="shared" ref="I4:J4" si="2">I3</f>
        <v>0.1415662651</v>
      </c>
      <c r="J4" s="163">
        <f t="shared" si="2"/>
        <v>0.2003012048</v>
      </c>
      <c r="K4" s="163">
        <f>K3*2</f>
        <v>0.4759036145</v>
      </c>
      <c r="L4" s="163">
        <f>L3*3</f>
        <v>0.438253012</v>
      </c>
      <c r="M4" s="163">
        <f>M3*4</f>
        <v>1.096385542</v>
      </c>
    </row>
    <row r="5" ht="14.25" customHeight="1">
      <c r="A5" s="76" t="s">
        <v>448</v>
      </c>
      <c r="B5" s="76">
        <v>31.0</v>
      </c>
      <c r="C5" s="76">
        <v>31.0</v>
      </c>
      <c r="I5" s="163">
        <f t="shared" ref="I5:M5" si="3">I4/SUM($I$4:$M$4)</f>
        <v>0.06017925736</v>
      </c>
      <c r="J5" s="163">
        <f t="shared" si="3"/>
        <v>0.08514724712</v>
      </c>
      <c r="K5" s="163">
        <f t="shared" si="3"/>
        <v>0.2023047375</v>
      </c>
      <c r="L5" s="163">
        <f t="shared" si="3"/>
        <v>0.1862996159</v>
      </c>
      <c r="M5" s="163">
        <f t="shared" si="3"/>
        <v>0.4660691421</v>
      </c>
    </row>
    <row r="6" ht="14.25" customHeight="1">
      <c r="A6" s="76" t="s">
        <v>449</v>
      </c>
      <c r="B6" s="76">
        <v>66.0</v>
      </c>
      <c r="C6" s="76">
        <v>66.0</v>
      </c>
      <c r="D6" s="76">
        <f>SUM(C6:C11)</f>
        <v>570</v>
      </c>
      <c r="E6" s="162">
        <f>D6/C12</f>
        <v>0.8584337349</v>
      </c>
    </row>
    <row r="7" ht="14.25" customHeight="1">
      <c r="A7" s="76" t="s">
        <v>450</v>
      </c>
      <c r="B7" s="76">
        <v>67.0</v>
      </c>
      <c r="C7" s="76">
        <v>67.0</v>
      </c>
    </row>
    <row r="8" ht="14.25" customHeight="1">
      <c r="A8" s="76" t="s">
        <v>451</v>
      </c>
      <c r="B8" s="76">
        <v>97.0</v>
      </c>
      <c r="C8" s="76">
        <v>97.0</v>
      </c>
    </row>
    <row r="9" ht="14.25" customHeight="1">
      <c r="A9" s="76" t="s">
        <v>452</v>
      </c>
      <c r="B9" s="76">
        <v>80.0</v>
      </c>
      <c r="C9" s="76">
        <v>80.0</v>
      </c>
    </row>
    <row r="10" ht="14.25" customHeight="1">
      <c r="A10" s="76" t="s">
        <v>453</v>
      </c>
      <c r="B10" s="76">
        <v>182.0</v>
      </c>
      <c r="C10" s="76">
        <v>182.0</v>
      </c>
      <c r="I10" s="76">
        <v>30.0</v>
      </c>
      <c r="J10" s="76">
        <v>15.0</v>
      </c>
      <c r="K10" s="76">
        <v>0.0</v>
      </c>
      <c r="L10" s="76">
        <v>-15.0</v>
      </c>
      <c r="M10" s="76">
        <v>-30.0</v>
      </c>
    </row>
    <row r="11" ht="14.25" customHeight="1">
      <c r="A11" s="76" t="s">
        <v>454</v>
      </c>
      <c r="B11" s="76">
        <v>78.0</v>
      </c>
      <c r="C11" s="76">
        <v>78.0</v>
      </c>
      <c r="K11" s="163"/>
      <c r="N11" s="76">
        <f>SUMPRODUCT(I5:M5,I10:M10)</f>
        <v>-13.69398207</v>
      </c>
      <c r="O11" s="76">
        <f>SUMPRODUCT(I3:M3,I10:M10)</f>
        <v>-3.162650602</v>
      </c>
    </row>
    <row r="12" ht="14.25" customHeight="1">
      <c r="C12" s="76">
        <f>SUM(C3:C11)</f>
        <v>664</v>
      </c>
    </row>
    <row r="13" ht="14.25" customHeight="1">
      <c r="C13" s="164"/>
    </row>
    <row r="14" ht="14.25" customHeight="1">
      <c r="C14" s="164"/>
    </row>
    <row r="15" ht="14.25" customHeight="1">
      <c r="F15" s="157" t="s">
        <v>440</v>
      </c>
      <c r="G15" s="158" t="s">
        <v>441</v>
      </c>
      <c r="I15" s="159" t="s">
        <v>281</v>
      </c>
      <c r="J15" s="159" t="s">
        <v>282</v>
      </c>
      <c r="K15" s="159" t="s">
        <v>283</v>
      </c>
      <c r="L15" s="159" t="s">
        <v>442</v>
      </c>
      <c r="M15" s="159" t="s">
        <v>443</v>
      </c>
    </row>
    <row r="16" ht="14.25" customHeight="1">
      <c r="B16" s="76" t="s">
        <v>444</v>
      </c>
      <c r="C16" s="76" t="s">
        <v>445</v>
      </c>
      <c r="F16" s="160">
        <v>33.0</v>
      </c>
      <c r="G16" s="161">
        <v>60.0</v>
      </c>
      <c r="I16" s="159">
        <f>SUM(C17:C19)</f>
        <v>300</v>
      </c>
      <c r="J16" s="159">
        <f>SUM(C20:C21)</f>
        <v>133</v>
      </c>
      <c r="K16" s="159">
        <f>SUM(C23,C25)</f>
        <v>90</v>
      </c>
      <c r="L16" s="159">
        <f>SUM(C22)</f>
        <v>10</v>
      </c>
      <c r="M16" s="159">
        <f>C24</f>
        <v>10</v>
      </c>
      <c r="N16" s="76">
        <f>SUM(I16:M16)</f>
        <v>543</v>
      </c>
    </row>
    <row r="17" ht="14.25" customHeight="1">
      <c r="A17" s="76" t="s">
        <v>446</v>
      </c>
      <c r="B17" s="76">
        <v>30.0</v>
      </c>
      <c r="C17" s="76">
        <v>100.0</v>
      </c>
      <c r="D17" s="76">
        <f>SUM(C17:C19)</f>
        <v>300</v>
      </c>
      <c r="E17" s="162">
        <f>D17/C26</f>
        <v>0.5524861878</v>
      </c>
      <c r="I17" s="163">
        <f t="shared" ref="I17:M17" si="4">I16/$N$16</f>
        <v>0.5524861878</v>
      </c>
      <c r="J17" s="163">
        <f t="shared" si="4"/>
        <v>0.2449355433</v>
      </c>
      <c r="K17" s="163">
        <f t="shared" si="4"/>
        <v>0.1657458564</v>
      </c>
      <c r="L17" s="163">
        <f t="shared" si="4"/>
        <v>0.01841620626</v>
      </c>
      <c r="M17" s="163">
        <f t="shared" si="4"/>
        <v>0.01841620626</v>
      </c>
    </row>
    <row r="18" ht="14.25" customHeight="1">
      <c r="A18" s="76" t="s">
        <v>447</v>
      </c>
      <c r="B18" s="76">
        <v>33.0</v>
      </c>
      <c r="C18" s="76">
        <v>100.0</v>
      </c>
      <c r="I18" s="163">
        <f t="shared" ref="I18:J18" si="5">I17</f>
        <v>0.5524861878</v>
      </c>
      <c r="J18" s="163">
        <f t="shared" si="5"/>
        <v>0.2449355433</v>
      </c>
      <c r="K18" s="163">
        <f>K17*2</f>
        <v>0.3314917127</v>
      </c>
      <c r="L18" s="163">
        <f>L17*3</f>
        <v>0.05524861878</v>
      </c>
      <c r="M18" s="163">
        <f>M17*4</f>
        <v>0.07366482505</v>
      </c>
    </row>
    <row r="19" ht="14.25" customHeight="1">
      <c r="A19" s="76" t="s">
        <v>448</v>
      </c>
      <c r="B19" s="76">
        <v>31.0</v>
      </c>
      <c r="C19" s="76">
        <v>100.0</v>
      </c>
      <c r="I19" s="163">
        <f t="shared" ref="I19:M19" si="6">I18/SUM($I$18:$M$18)</f>
        <v>0.439238653</v>
      </c>
      <c r="J19" s="163">
        <f t="shared" si="6"/>
        <v>0.1947291362</v>
      </c>
      <c r="K19" s="163">
        <f t="shared" si="6"/>
        <v>0.2635431918</v>
      </c>
      <c r="L19" s="163">
        <f t="shared" si="6"/>
        <v>0.0439238653</v>
      </c>
      <c r="M19" s="163">
        <f t="shared" si="6"/>
        <v>0.05856515373</v>
      </c>
    </row>
    <row r="20" ht="14.25" customHeight="1">
      <c r="A20" s="76" t="s">
        <v>449</v>
      </c>
      <c r="B20" s="76">
        <v>66.0</v>
      </c>
      <c r="C20" s="76">
        <v>66.0</v>
      </c>
      <c r="D20" s="76">
        <f>SUM(C20:C25)</f>
        <v>243</v>
      </c>
      <c r="E20" s="162">
        <f>D20/C26</f>
        <v>0.4475138122</v>
      </c>
    </row>
    <row r="21" ht="14.25" customHeight="1">
      <c r="A21" s="76" t="s">
        <v>450</v>
      </c>
      <c r="B21" s="76">
        <v>67.0</v>
      </c>
      <c r="C21" s="76">
        <v>67.0</v>
      </c>
    </row>
    <row r="22" ht="14.25" customHeight="1">
      <c r="A22" s="76" t="s">
        <v>451</v>
      </c>
      <c r="B22" s="76">
        <v>97.0</v>
      </c>
      <c r="C22" s="76">
        <v>10.0</v>
      </c>
    </row>
    <row r="23" ht="14.25" customHeight="1">
      <c r="A23" s="76" t="s">
        <v>452</v>
      </c>
      <c r="B23" s="76">
        <v>80.0</v>
      </c>
      <c r="C23" s="76">
        <v>80.0</v>
      </c>
    </row>
    <row r="24" ht="14.25" customHeight="1">
      <c r="A24" s="76" t="s">
        <v>453</v>
      </c>
      <c r="B24" s="76">
        <v>182.0</v>
      </c>
      <c r="C24" s="76">
        <v>10.0</v>
      </c>
      <c r="I24" s="76">
        <v>30.0</v>
      </c>
      <c r="J24" s="76">
        <v>15.0</v>
      </c>
      <c r="K24" s="76">
        <v>0.0</v>
      </c>
      <c r="L24" s="76">
        <v>-15.0</v>
      </c>
      <c r="M24" s="76">
        <v>-30.0</v>
      </c>
    </row>
    <row r="25" ht="14.25" customHeight="1">
      <c r="A25" s="76" t="s">
        <v>454</v>
      </c>
      <c r="B25" s="76">
        <v>78.0</v>
      </c>
      <c r="C25" s="76">
        <v>10.0</v>
      </c>
      <c r="K25" s="163"/>
      <c r="N25" s="76">
        <f>SUMPRODUCT(I19:M19,I24:M24)</f>
        <v>13.68228404</v>
      </c>
      <c r="O25" s="76">
        <f>SUMPRODUCT(I17:M17,I24:M24)</f>
        <v>19.4198895</v>
      </c>
    </row>
    <row r="26" ht="14.25" customHeight="1">
      <c r="C26" s="76">
        <f>SUM(C17:C25)</f>
        <v>543</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71"/>
    <col customWidth="1" min="2" max="2" width="17.29"/>
    <col customWidth="1" min="3" max="3" width="18.14"/>
    <col customWidth="1" min="4" max="4" width="14.71"/>
    <col customWidth="1" min="5" max="5" width="15.86"/>
    <col customWidth="1" min="8" max="8" width="23.71"/>
    <col customWidth="1" min="9" max="9" width="8.29"/>
    <col customWidth="1" min="10" max="10" width="15.14"/>
    <col customWidth="1" min="13" max="14" width="18.14"/>
    <col customWidth="1" min="16" max="16" width="16.86"/>
    <col customWidth="1" min="17" max="17" width="15.29"/>
    <col customWidth="1" min="20" max="20" width="16.86"/>
  </cols>
  <sheetData>
    <row r="1">
      <c r="A1" s="101"/>
      <c r="C1" s="102">
        <v>0.9</v>
      </c>
      <c r="D1" s="103"/>
      <c r="E1" s="165"/>
      <c r="F1" s="135"/>
      <c r="G1" s="166"/>
      <c r="I1" s="103"/>
      <c r="J1" s="167">
        <v>0.1</v>
      </c>
      <c r="K1" s="8"/>
      <c r="L1" s="8"/>
      <c r="M1" s="8"/>
    </row>
    <row r="2">
      <c r="A2" s="106"/>
      <c r="C2" s="106" t="s">
        <v>386</v>
      </c>
      <c r="D2" s="103"/>
      <c r="E2" s="165"/>
      <c r="F2" s="135"/>
      <c r="G2" s="166"/>
      <c r="I2" s="103"/>
      <c r="J2" s="103"/>
      <c r="K2" s="8"/>
      <c r="L2" s="8"/>
      <c r="M2" s="8"/>
      <c r="P2" s="1" t="str">
        <f>'Scoring - fin '!O2</f>
        <v>Score range</v>
      </c>
      <c r="Q2" s="1" t="str">
        <f>'Scoring - fin '!P2</f>
        <v>Range</v>
      </c>
    </row>
    <row r="3">
      <c r="A3" s="107" t="s">
        <v>387</v>
      </c>
      <c r="B3" s="108" t="s">
        <v>388</v>
      </c>
      <c r="C3" s="109" t="s">
        <v>389</v>
      </c>
      <c r="D3" s="109" t="s">
        <v>390</v>
      </c>
      <c r="E3" s="107" t="s">
        <v>391</v>
      </c>
      <c r="F3" s="168"/>
      <c r="G3" s="110" t="s">
        <v>392</v>
      </c>
      <c r="H3" s="108" t="s">
        <v>388</v>
      </c>
      <c r="I3" s="111" t="s">
        <v>393</v>
      </c>
      <c r="J3" s="110" t="s">
        <v>394</v>
      </c>
      <c r="K3" s="110" t="s">
        <v>395</v>
      </c>
      <c r="L3" s="6"/>
      <c r="M3" s="6"/>
      <c r="N3" s="4"/>
      <c r="P3" s="1">
        <f>'Scoring - fin '!O3</f>
        <v>-30</v>
      </c>
      <c r="Q3" s="1" t="str">
        <f>'Scoring - fin '!P3</f>
        <v>Very bad</v>
      </c>
    </row>
    <row r="4">
      <c r="A4" s="112" t="s">
        <v>97</v>
      </c>
      <c r="B4" s="4">
        <v>0.0</v>
      </c>
      <c r="C4" s="118">
        <v>0.15</v>
      </c>
      <c r="D4" s="113">
        <f t="shared" ref="D4:D9" si="1">C4/SUM($C$4,$C$5,$C$6,$C$7,$C$8,$C$9)</f>
        <v>0.375</v>
      </c>
      <c r="E4" s="114">
        <v>15.0</v>
      </c>
      <c r="F4" s="169"/>
      <c r="G4" s="115" t="s">
        <v>117</v>
      </c>
      <c r="H4" s="4">
        <v>0.0</v>
      </c>
      <c r="I4" s="119">
        <v>0.0</v>
      </c>
      <c r="J4" s="116">
        <f t="shared" ref="J4:J9" si="2">I4/SUM($I$4:$I$9)</f>
        <v>0</v>
      </c>
      <c r="K4" s="117">
        <v>0.0</v>
      </c>
      <c r="L4" s="6"/>
      <c r="M4" s="6"/>
      <c r="N4" s="4"/>
      <c r="P4" s="1">
        <f>'Scoring - fin '!O4</f>
        <v>-15</v>
      </c>
      <c r="Q4" s="1" t="str">
        <f>'Scoring - fin '!P4</f>
        <v>bad</v>
      </c>
    </row>
    <row r="5">
      <c r="A5" s="112" t="s">
        <v>103</v>
      </c>
      <c r="B5" s="4">
        <v>0.0</v>
      </c>
      <c r="C5" s="118">
        <v>0.15</v>
      </c>
      <c r="D5" s="113">
        <f t="shared" si="1"/>
        <v>0.375</v>
      </c>
      <c r="E5" s="114">
        <v>-15.0</v>
      </c>
      <c r="F5" s="169"/>
      <c r="G5" s="115" t="s">
        <v>119</v>
      </c>
      <c r="H5" s="4">
        <v>0.0</v>
      </c>
      <c r="I5" s="119">
        <v>0.0</v>
      </c>
      <c r="J5" s="116">
        <f t="shared" si="2"/>
        <v>0</v>
      </c>
      <c r="K5" s="117">
        <v>0.0</v>
      </c>
      <c r="L5" s="6"/>
      <c r="M5" s="6"/>
      <c r="N5" s="4"/>
      <c r="P5" s="1">
        <f>'Scoring - fin '!O5</f>
        <v>0</v>
      </c>
      <c r="Q5" s="1" t="str">
        <f>'Scoring - fin '!P5</f>
        <v>good</v>
      </c>
    </row>
    <row r="6">
      <c r="A6" s="112" t="s">
        <v>107</v>
      </c>
      <c r="B6" s="4">
        <v>0.0</v>
      </c>
      <c r="C6" s="118">
        <v>0.0</v>
      </c>
      <c r="D6" s="113">
        <f t="shared" si="1"/>
        <v>0</v>
      </c>
      <c r="E6" s="114"/>
      <c r="F6" s="169"/>
      <c r="G6" s="115" t="s">
        <v>123</v>
      </c>
      <c r="H6" s="4">
        <v>0.0</v>
      </c>
      <c r="I6" s="119">
        <v>0.0</v>
      </c>
      <c r="J6" s="116">
        <f t="shared" si="2"/>
        <v>0</v>
      </c>
      <c r="K6" s="117">
        <v>0.0</v>
      </c>
      <c r="L6" s="6"/>
      <c r="M6" s="6"/>
      <c r="N6" s="4"/>
      <c r="P6" s="1">
        <f>'Scoring - fin '!O6</f>
        <v>15</v>
      </c>
      <c r="Q6" s="1" t="str">
        <f>'Scoring - fin '!P6</f>
        <v>v good</v>
      </c>
    </row>
    <row r="7">
      <c r="A7" s="112" t="s">
        <v>110</v>
      </c>
      <c r="B7" s="4">
        <v>0.0</v>
      </c>
      <c r="C7" s="118">
        <v>0.0</v>
      </c>
      <c r="D7" s="113">
        <f t="shared" si="1"/>
        <v>0</v>
      </c>
      <c r="E7" s="114"/>
      <c r="F7" s="169"/>
      <c r="G7" s="115" t="s">
        <v>126</v>
      </c>
      <c r="I7" s="119">
        <v>0.0</v>
      </c>
      <c r="J7" s="116">
        <f t="shared" si="2"/>
        <v>0</v>
      </c>
      <c r="K7" s="117">
        <v>0.0</v>
      </c>
      <c r="L7" s="6"/>
      <c r="M7" s="6"/>
      <c r="N7" s="4"/>
      <c r="P7" s="1">
        <f>'Scoring - fin '!O7</f>
        <v>30</v>
      </c>
      <c r="Q7" s="1" t="str">
        <f>'Scoring - fin '!P7</f>
        <v/>
      </c>
    </row>
    <row r="8">
      <c r="A8" s="112" t="s">
        <v>113</v>
      </c>
      <c r="C8" s="118">
        <v>0.0</v>
      </c>
      <c r="D8" s="113">
        <f t="shared" si="1"/>
        <v>0</v>
      </c>
      <c r="E8" s="114">
        <v>0.0</v>
      </c>
      <c r="F8" s="169"/>
      <c r="G8" s="115" t="s">
        <v>455</v>
      </c>
      <c r="I8" s="119">
        <v>0.05</v>
      </c>
      <c r="J8" s="116">
        <f t="shared" si="2"/>
        <v>0.5</v>
      </c>
      <c r="K8" s="117">
        <v>-30.0</v>
      </c>
      <c r="L8" s="8"/>
      <c r="M8" s="8"/>
      <c r="P8" s="1" t="str">
        <f>'Scoring - fin '!O8</f>
        <v/>
      </c>
      <c r="Q8" s="1" t="str">
        <f>'Scoring - fin '!P8</f>
        <v/>
      </c>
    </row>
    <row r="9">
      <c r="A9" s="128" t="s">
        <v>115</v>
      </c>
      <c r="C9" s="118">
        <v>0.1</v>
      </c>
      <c r="D9" s="113">
        <f t="shared" si="1"/>
        <v>0.25</v>
      </c>
      <c r="E9" s="128">
        <v>-15.0</v>
      </c>
      <c r="F9" s="169"/>
      <c r="G9" s="115" t="s">
        <v>456</v>
      </c>
      <c r="I9" s="119">
        <v>0.05</v>
      </c>
      <c r="J9" s="116">
        <f t="shared" si="2"/>
        <v>0.5</v>
      </c>
      <c r="K9" s="170">
        <v>-15.0</v>
      </c>
      <c r="L9" s="8"/>
      <c r="M9" s="8"/>
    </row>
    <row r="10">
      <c r="A10" s="122"/>
      <c r="C10" s="125">
        <f t="shared" ref="C10:D10" si="3">sum(C4:C9)</f>
        <v>0.4</v>
      </c>
      <c r="D10" s="125">
        <f t="shared" si="3"/>
        <v>1</v>
      </c>
      <c r="E10" s="126"/>
      <c r="F10" s="169"/>
      <c r="G10" s="127"/>
      <c r="I10" s="105">
        <f t="shared" ref="I10:J10" si="4">SUM(I4:I9)</f>
        <v>0.1</v>
      </c>
      <c r="J10" s="105">
        <f t="shared" si="4"/>
        <v>1</v>
      </c>
      <c r="K10" s="124"/>
      <c r="L10" s="8"/>
      <c r="M10" s="8"/>
      <c r="S10" s="4">
        <v>1.0</v>
      </c>
      <c r="T10" s="4">
        <v>2.0</v>
      </c>
      <c r="U10" s="4">
        <v>3.0</v>
      </c>
      <c r="V10" s="4">
        <v>4.0</v>
      </c>
    </row>
    <row r="11">
      <c r="A11" s="122"/>
      <c r="C11" s="122"/>
      <c r="D11" s="128" t="s">
        <v>399</v>
      </c>
      <c r="E11" s="128">
        <f>SUMPRODUCT(D4:D9,E4:E9)</f>
        <v>-3.75</v>
      </c>
      <c r="F11" s="169"/>
      <c r="G11" s="129"/>
      <c r="I11" s="124"/>
      <c r="J11" s="121"/>
      <c r="K11" s="130">
        <f>SUMPRODUCT(J4:J9,K4:K9)</f>
        <v>-22.5</v>
      </c>
      <c r="L11" s="171">
        <f>E11*C1+K11*J1</f>
        <v>-5.625</v>
      </c>
      <c r="M11" s="132" t="str">
        <f>VLOOKUP(L11,$P$3:$Q$7,2,true)</f>
        <v>bad</v>
      </c>
    </row>
    <row r="12">
      <c r="A12" s="133"/>
      <c r="B12" s="133"/>
      <c r="C12" s="133"/>
      <c r="D12" s="134"/>
      <c r="E12" s="135"/>
      <c r="F12" s="2" t="s">
        <v>14</v>
      </c>
      <c r="G12" s="1" t="s">
        <v>457</v>
      </c>
      <c r="H12" s="1" t="s">
        <v>458</v>
      </c>
    </row>
    <row r="13">
      <c r="D13" s="133"/>
      <c r="E13" s="38"/>
      <c r="F13" s="6" t="s">
        <v>459</v>
      </c>
      <c r="G13" s="6">
        <v>10.0</v>
      </c>
      <c r="H13" s="6">
        <v>90.0</v>
      </c>
      <c r="K13" s="136" t="s">
        <v>400</v>
      </c>
      <c r="L13" s="137"/>
      <c r="M13" s="4" t="s">
        <v>401</v>
      </c>
      <c r="O13" s="4">
        <v>1.8002021232E10</v>
      </c>
    </row>
    <row r="14">
      <c r="D14" s="133"/>
      <c r="E14" s="38"/>
      <c r="F14" s="172">
        <v>44624.0</v>
      </c>
      <c r="G14" s="6">
        <v>20.0</v>
      </c>
      <c r="H14" s="6">
        <v>80.0</v>
      </c>
      <c r="K14" s="138">
        <v>0.0</v>
      </c>
      <c r="L14" s="139" t="s">
        <v>402</v>
      </c>
      <c r="M14" s="140">
        <f t="shared" ref="M14:M17" si="5">K15-K14</f>
        <v>3</v>
      </c>
    </row>
    <row r="15">
      <c r="D15" s="133"/>
      <c r="E15" s="38"/>
      <c r="F15" s="6" t="s">
        <v>24</v>
      </c>
      <c r="G15" s="6">
        <v>30.0</v>
      </c>
      <c r="H15" s="6">
        <v>70.0</v>
      </c>
      <c r="K15" s="138">
        <v>3.0</v>
      </c>
      <c r="L15" s="139" t="s">
        <v>403</v>
      </c>
      <c r="M15" s="140">
        <f t="shared" si="5"/>
        <v>6</v>
      </c>
    </row>
    <row r="16">
      <c r="D16" s="133"/>
      <c r="E16" s="38"/>
      <c r="K16" s="141">
        <v>9.0</v>
      </c>
      <c r="L16" s="139" t="s">
        <v>164</v>
      </c>
      <c r="M16" s="140">
        <f t="shared" si="5"/>
        <v>36</v>
      </c>
    </row>
    <row r="17">
      <c r="D17" s="133"/>
      <c r="E17" s="38"/>
      <c r="K17" s="138">
        <v>45.0</v>
      </c>
      <c r="L17" s="139" t="s">
        <v>404</v>
      </c>
      <c r="M17" s="140">
        <f t="shared" si="5"/>
        <v>36</v>
      </c>
      <c r="S17" s="4">
        <v>3.0</v>
      </c>
    </row>
    <row r="18">
      <c r="E18" s="38"/>
      <c r="K18" s="141">
        <v>81.0</v>
      </c>
      <c r="L18" s="139" t="s">
        <v>405</v>
      </c>
      <c r="M18" s="140">
        <f>J19-K18</f>
        <v>-81</v>
      </c>
    </row>
    <row r="19">
      <c r="E19" s="38"/>
      <c r="K19" s="138">
        <v>92.0</v>
      </c>
      <c r="L19" s="139" t="s">
        <v>406</v>
      </c>
    </row>
    <row r="20">
      <c r="A20" s="1" t="str">
        <f>'Scoring - fin '!A20</f>
        <v>Data avail (flags)</v>
      </c>
      <c r="B20" s="1" t="str">
        <f>'Scoring - fin '!B20</f>
        <v>Actual value (test)
Select one of data avail (flag)</v>
      </c>
      <c r="C20" s="1" t="str">
        <f>'Scoring - fin '!C20</f>
        <v>Fin, GST, EPF</v>
      </c>
      <c r="D20" s="1" t="str">
        <f>'Scoring - fin '!D20</f>
        <v>GST, EPF</v>
      </c>
      <c r="E20" s="1" t="str">
        <f>'Scoring - fin '!E20</f>
        <v>Fin and GST</v>
      </c>
      <c r="F20" s="1" t="str">
        <f>'Scoring - fin '!F20</f>
        <v>GST</v>
      </c>
      <c r="G20" s="2" t="str">
        <f>'Scoring - fin '!G20</f>
        <v>If period of data avail is less than 6 months (half of final)</v>
      </c>
      <c r="K20" s="138">
        <v>96.0</v>
      </c>
      <c r="L20" s="139" t="s">
        <v>407</v>
      </c>
    </row>
    <row r="21">
      <c r="A21" s="1" t="str">
        <f>'Scoring - fin '!A21</f>
        <v>Boost v good %</v>
      </c>
      <c r="B21" s="6">
        <f t="shared" ref="B21:B25" si="6">C21</f>
        <v>50</v>
      </c>
      <c r="C21" s="6">
        <f>'Scoring - fin '!C21</f>
        <v>50</v>
      </c>
      <c r="D21" s="6">
        <f>'Scoring - fin '!D21</f>
        <v>60</v>
      </c>
      <c r="E21" s="6">
        <f>'Scoring - fin '!E21</f>
        <v>60</v>
      </c>
      <c r="F21" s="6">
        <f>'Scoring - fin '!F21</f>
        <v>70</v>
      </c>
      <c r="G21" s="6">
        <f>'Scoring - fin '!G21</f>
        <v>30</v>
      </c>
      <c r="K21" s="142">
        <v>100.0</v>
      </c>
      <c r="L21" s="143"/>
    </row>
    <row r="22">
      <c r="A22" s="6" t="str">
        <f>'Scoring - fin '!A22</f>
        <v>Boost good %</v>
      </c>
      <c r="B22" s="6">
        <f t="shared" si="6"/>
        <v>40</v>
      </c>
      <c r="C22" s="6">
        <f>'Scoring - fin '!C22</f>
        <v>40</v>
      </c>
      <c r="D22" s="6">
        <f>'Scoring - fin '!D22</f>
        <v>50</v>
      </c>
      <c r="E22" s="6">
        <f>'Scoring - fin '!E22</f>
        <v>50</v>
      </c>
      <c r="F22" s="6">
        <f>'Scoring - fin '!F22</f>
        <v>60</v>
      </c>
      <c r="G22" s="6">
        <f>'Scoring - fin '!G22</f>
        <v>25</v>
      </c>
    </row>
    <row r="23">
      <c r="A23" s="1" t="str">
        <f>'Scoring - fin '!A23</f>
        <v>Boost bad %</v>
      </c>
      <c r="B23" s="6">
        <f t="shared" si="6"/>
        <v>-30</v>
      </c>
      <c r="C23" s="6">
        <f>'Scoring - fin '!C23</f>
        <v>-30</v>
      </c>
      <c r="D23" s="6">
        <f>'Scoring - fin '!D23</f>
        <v>-40</v>
      </c>
      <c r="E23" s="6">
        <f>'Scoring - fin '!E23</f>
        <v>-40</v>
      </c>
      <c r="F23" s="6">
        <f>'Scoring - fin '!F23</f>
        <v>-50</v>
      </c>
      <c r="G23" s="6">
        <f>'Scoring - fin '!G23</f>
        <v>-10</v>
      </c>
    </row>
    <row r="24">
      <c r="A24" s="1" t="str">
        <f>'Scoring - fin '!A24</f>
        <v>Boost v bad %</v>
      </c>
      <c r="B24" s="6">
        <f t="shared" si="6"/>
        <v>-40</v>
      </c>
      <c r="C24" s="6">
        <f>'Scoring - fin '!C24</f>
        <v>-40</v>
      </c>
      <c r="D24" s="6">
        <f>'Scoring - fin '!D24</f>
        <v>-50</v>
      </c>
      <c r="E24" s="6">
        <f>'Scoring - fin '!E24</f>
        <v>-50</v>
      </c>
      <c r="F24" s="6">
        <f>'Scoring - fin '!F24</f>
        <v>-60</v>
      </c>
      <c r="G24" s="6">
        <f>'Scoring - fin '!G24</f>
        <v>-25</v>
      </c>
    </row>
    <row r="25">
      <c r="A25" s="1" t="str">
        <f>'Scoring - fin '!A25</f>
        <v/>
      </c>
      <c r="B25" s="6" t="str">
        <f t="shared" si="6"/>
        <v/>
      </c>
      <c r="C25" s="1" t="str">
        <f>'Scoring - fin '!C25</f>
        <v/>
      </c>
      <c r="D25" s="1" t="str">
        <f>'Scoring - fin '!D25</f>
        <v/>
      </c>
      <c r="E25" s="1" t="str">
        <f>'Scoring - fin '!E25</f>
        <v/>
      </c>
      <c r="F25" s="1" t="str">
        <f>'Scoring - fin '!F25</f>
        <v/>
      </c>
      <c r="G25" s="1" t="str">
        <f>'Scoring - fin '!G25</f>
        <v/>
      </c>
    </row>
    <row r="29">
      <c r="A29" s="4" t="str">
        <f>VLOOKUP(A31,K14:L21,2,true)</f>
        <v>BB</v>
      </c>
      <c r="C29" s="8"/>
    </row>
    <row r="30">
      <c r="A30" s="144" t="s">
        <v>460</v>
      </c>
      <c r="B30" s="2" t="s">
        <v>409</v>
      </c>
      <c r="C30" s="2" t="s">
        <v>410</v>
      </c>
      <c r="D30" s="1" t="s">
        <v>411</v>
      </c>
      <c r="E30" s="1" t="s">
        <v>412</v>
      </c>
      <c r="F30" s="2" t="s">
        <v>413</v>
      </c>
      <c r="G30" s="2" t="s">
        <v>414</v>
      </c>
      <c r="H30" s="1" t="s">
        <v>415</v>
      </c>
      <c r="I30" s="1" t="s">
        <v>416</v>
      </c>
    </row>
    <row r="31">
      <c r="A31" s="145">
        <v>13.0</v>
      </c>
      <c r="B31" s="146">
        <f>if($A$29=$L$14,K15,if($A$29=$L$15,K16,if($A$29=$L$16,K17,if($A$29=$L$17,K18,if($A$29=$L$18,J19,if($A$29=$K$19,J20,100))))))</f>
        <v>45</v>
      </c>
      <c r="C31" s="147">
        <f>B31-A31</f>
        <v>32</v>
      </c>
      <c r="D31" s="8">
        <f t="shared" ref="D31:D33" si="7">C31*$B$21%</f>
        <v>16</v>
      </c>
      <c r="E31" s="8">
        <f t="shared" ref="E31:E33" si="8">C31*$B$22%</f>
        <v>12.8</v>
      </c>
      <c r="F31" s="148">
        <f>if($A$29=$L$14,0,if($A$29=$L$15,K15,if($A$29=$L$16,K16,if($A$29=$L$17,K17,if($A$29=$L$18,K18,if($A$29=$K$19,J19,J20))))))</f>
        <v>9</v>
      </c>
      <c r="G31" s="149">
        <f>A31-F31</f>
        <v>4</v>
      </c>
      <c r="H31" s="8">
        <f t="shared" ref="H31:H33" si="9">G31*$B$23%</f>
        <v>-1.2</v>
      </c>
      <c r="I31" s="8">
        <f t="shared" ref="I31:I33" si="10">G31*$B$24%</f>
        <v>-1.6</v>
      </c>
    </row>
    <row r="32">
      <c r="A32" s="8"/>
      <c r="B32" s="146">
        <f>if($A$29=$L$14,K16,if($A$29=$L$15,K17,if($A$29=$L$16,K18,if($A$29=$L$17,J19,if($A$29=$L$18,J20,if($A$29=$K$19,J21,if($A$29=$K$20,0,100)))))))</f>
        <v>81</v>
      </c>
      <c r="C32" s="150">
        <f t="shared" ref="C32:C33" si="11">if(B32-B31&lt;0,0,B32-B31)</f>
        <v>36</v>
      </c>
      <c r="D32" s="8">
        <f t="shared" si="7"/>
        <v>18</v>
      </c>
      <c r="E32" s="8">
        <f t="shared" si="8"/>
        <v>14.4</v>
      </c>
      <c r="F32" s="148">
        <f>if($A$29=$L$14,0,if($A$29=$L$15,0,if($A$29=$L$16,K15,if($A$29=$L$17,K16,if($A$29=$L$18,K17,if($A$29=$K$19,K18,J19))))))</f>
        <v>3</v>
      </c>
      <c r="G32" s="149">
        <f t="shared" ref="G32:G33" si="12">if(F31-F32&lt;0,0,F31-F32)</f>
        <v>6</v>
      </c>
      <c r="H32" s="8">
        <f t="shared" si="9"/>
        <v>-1.8</v>
      </c>
      <c r="I32" s="8">
        <f t="shared" si="10"/>
        <v>-2.4</v>
      </c>
    </row>
    <row r="33">
      <c r="A33" s="8"/>
      <c r="B33" s="146" t="str">
        <f>if($A$29=$L$14,K17,if($A$29=$L$15,K18,if($A$29=$L$16,J19,if($A$29=$L$17,J20,if($A$29=$L$18,J21,if($A$29=$K$19,0,if($A$29=$K$20,0,100)))))))</f>
        <v/>
      </c>
      <c r="C33" s="173">
        <f t="shared" si="11"/>
        <v>0</v>
      </c>
      <c r="D33" s="8">
        <f t="shared" si="7"/>
        <v>0</v>
      </c>
      <c r="E33" s="8">
        <f t="shared" si="8"/>
        <v>0</v>
      </c>
      <c r="F33" s="6">
        <f>if($A$29=$L$14,0,if($A$29=$L$15,0,if($A$29=$L$16,0,if($A$29=$L$17,K15,if($A$29=$L$18,K16,if($A$29=$K$19,K17,K18))))))</f>
        <v>0</v>
      </c>
      <c r="G33" s="149">
        <f t="shared" si="12"/>
        <v>3</v>
      </c>
      <c r="H33" s="8">
        <f t="shared" si="9"/>
        <v>-0.9</v>
      </c>
      <c r="I33" s="8">
        <f t="shared" si="10"/>
        <v>-1.2</v>
      </c>
    </row>
    <row r="34">
      <c r="A34" s="8"/>
      <c r="B34" s="8"/>
      <c r="C34" s="8"/>
      <c r="D34" s="8">
        <f t="shared" ref="D34:E34" si="13">sum(D31:D33)</f>
        <v>34</v>
      </c>
      <c r="E34" s="8">
        <f t="shared" si="13"/>
        <v>27.2</v>
      </c>
      <c r="F34" s="8"/>
      <c r="G34" s="8"/>
      <c r="H34" s="8">
        <f t="shared" ref="H34:I34" si="14">sum(H31:H33)</f>
        <v>-3.9</v>
      </c>
      <c r="I34" s="8">
        <f t="shared" si="14"/>
        <v>-5.2</v>
      </c>
    </row>
    <row r="35">
      <c r="A35" s="8"/>
      <c r="B35" s="8"/>
      <c r="C35" s="151" t="s">
        <v>417</v>
      </c>
      <c r="D35" s="152">
        <f t="shared" ref="D35:E35" si="15">D34+$A$31</f>
        <v>47</v>
      </c>
      <c r="E35" s="152">
        <f t="shared" si="15"/>
        <v>40.2</v>
      </c>
      <c r="F35" s="8"/>
      <c r="G35" s="8"/>
      <c r="H35" s="152">
        <f t="shared" ref="H35:I35" si="16">H34+$A$31</f>
        <v>9.1</v>
      </c>
      <c r="I35" s="152">
        <f t="shared" si="16"/>
        <v>7.8</v>
      </c>
    </row>
    <row r="36">
      <c r="A36" s="8"/>
      <c r="B36" s="8"/>
      <c r="C36" s="151" t="s">
        <v>418</v>
      </c>
      <c r="D36" s="152" t="str">
        <f t="shared" ref="D36:E36" si="17">VLOOKUP(D35,$K$14:$L$21,2,true)</f>
        <v>BBB</v>
      </c>
      <c r="E36" s="152" t="str">
        <f t="shared" si="17"/>
        <v>BB</v>
      </c>
      <c r="F36" s="8"/>
      <c r="G36" s="8"/>
      <c r="H36" s="152" t="str">
        <f t="shared" ref="H36:I36" si="18">VLOOKUP(H35,$K$14:$L$21,2,true)</f>
        <v>BB</v>
      </c>
      <c r="I36" s="152" t="str">
        <f t="shared" si="18"/>
        <v>B</v>
      </c>
    </row>
    <row r="37">
      <c r="A37" s="8"/>
      <c r="B37" s="8"/>
      <c r="C37" s="6" t="s">
        <v>419</v>
      </c>
      <c r="D37" s="8">
        <f t="shared" ref="D37:E37" si="19">D35-$A$31</f>
        <v>34</v>
      </c>
      <c r="E37" s="8">
        <f t="shared" si="19"/>
        <v>27.2</v>
      </c>
      <c r="F37" s="8"/>
      <c r="G37" s="8"/>
      <c r="H37" s="8">
        <f t="shared" ref="H37:I37" si="20">H35-$A$31</f>
        <v>-3.9</v>
      </c>
      <c r="I37" s="8">
        <f t="shared" si="20"/>
        <v>-5.2</v>
      </c>
    </row>
    <row r="38">
      <c r="A38" s="8"/>
      <c r="B38" s="8"/>
      <c r="C38" s="6" t="s">
        <v>420</v>
      </c>
      <c r="D38" s="153">
        <f t="shared" ref="D38:E38" si="21">D37/$A$31</f>
        <v>2.615384615</v>
      </c>
      <c r="E38" s="153">
        <f t="shared" si="21"/>
        <v>2.092307692</v>
      </c>
      <c r="F38" s="8"/>
      <c r="G38" s="8"/>
      <c r="H38" s="153">
        <f t="shared" ref="H38:I38" si="22">H37/$A$31</f>
        <v>-0.3</v>
      </c>
      <c r="I38" s="153">
        <f t="shared" si="22"/>
        <v>-0.4</v>
      </c>
    </row>
    <row r="39">
      <c r="E39" s="38"/>
    </row>
  </sheetData>
  <mergeCells count="1">
    <mergeCell ref="K13:L13"/>
  </mergeCells>
  <dataValidations>
    <dataValidation type="decimal" allowBlank="1" showDropDown="1" sqref="A31">
      <formula1>1.0</formula1>
      <formula2>99.0</formula2>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71"/>
    <col customWidth="1" min="2" max="2" width="17.29"/>
    <col customWidth="1" min="3" max="3" width="18.14"/>
    <col customWidth="1" min="4" max="4" width="14.71"/>
    <col customWidth="1" min="5" max="5" width="15.86"/>
    <col customWidth="1" min="8" max="8" width="23.71"/>
    <col customWidth="1" min="9" max="9" width="8.29"/>
    <col customWidth="1" min="10" max="10" width="15.14"/>
    <col customWidth="1" min="13" max="14" width="18.14"/>
    <col customWidth="1" min="16" max="16" width="16.86"/>
    <col customWidth="1" min="17" max="17" width="15.29"/>
    <col customWidth="1" min="20" max="20" width="16.86"/>
  </cols>
  <sheetData>
    <row r="1">
      <c r="A1" s="101"/>
      <c r="C1" s="102">
        <v>0.9</v>
      </c>
      <c r="D1" s="103"/>
      <c r="E1" s="165"/>
      <c r="F1" s="135"/>
      <c r="G1" s="166"/>
      <c r="I1" s="103"/>
      <c r="J1" s="167">
        <v>0.1</v>
      </c>
      <c r="K1" s="8"/>
      <c r="L1" s="8"/>
      <c r="M1" s="8"/>
    </row>
    <row r="2">
      <c r="A2" s="106"/>
      <c r="C2" s="106" t="s">
        <v>386</v>
      </c>
      <c r="D2" s="103"/>
      <c r="E2" s="165"/>
      <c r="F2" s="135"/>
      <c r="G2" s="166"/>
      <c r="I2" s="103"/>
      <c r="J2" s="103"/>
      <c r="K2" s="8"/>
      <c r="L2" s="8"/>
      <c r="M2" s="8"/>
      <c r="P2" s="1" t="str">
        <f>'Scoring - fin '!O2</f>
        <v>Score range</v>
      </c>
      <c r="Q2" s="1" t="str">
        <f>'Scoring - fin '!P2</f>
        <v>Range</v>
      </c>
    </row>
    <row r="3">
      <c r="A3" s="107" t="s">
        <v>387</v>
      </c>
      <c r="B3" s="108" t="s">
        <v>388</v>
      </c>
      <c r="C3" s="109" t="s">
        <v>389</v>
      </c>
      <c r="D3" s="109" t="s">
        <v>390</v>
      </c>
      <c r="E3" s="107" t="s">
        <v>391</v>
      </c>
      <c r="F3" s="168"/>
      <c r="G3" s="110" t="s">
        <v>392</v>
      </c>
      <c r="H3" s="108" t="s">
        <v>388</v>
      </c>
      <c r="I3" s="111" t="s">
        <v>393</v>
      </c>
      <c r="J3" s="110" t="s">
        <v>394</v>
      </c>
      <c r="K3" s="110" t="s">
        <v>395</v>
      </c>
      <c r="L3" s="6"/>
      <c r="M3" s="6"/>
      <c r="N3" s="4"/>
      <c r="P3" s="1">
        <f>'Scoring - fin '!O3</f>
        <v>-30</v>
      </c>
      <c r="Q3" s="1" t="str">
        <f>'Scoring - fin '!P3</f>
        <v>Very bad</v>
      </c>
    </row>
    <row r="4">
      <c r="A4" s="112" t="s">
        <v>97</v>
      </c>
      <c r="B4" s="4">
        <v>0.0</v>
      </c>
      <c r="C4" s="118">
        <v>0.15</v>
      </c>
      <c r="D4" s="113">
        <f t="shared" ref="D4:D9" si="1">C4/SUM($C$4,$C$5,$C$6,$C$7,$C$8,$C$9)</f>
        <v>0.375</v>
      </c>
      <c r="E4" s="114">
        <v>15.0</v>
      </c>
      <c r="F4" s="169"/>
      <c r="G4" s="115" t="s">
        <v>117</v>
      </c>
      <c r="H4" s="4">
        <v>0.0</v>
      </c>
      <c r="I4" s="119">
        <v>0.0</v>
      </c>
      <c r="J4" s="116">
        <f t="shared" ref="J4:J9" si="2">I4/SUM($I$4:$I$9)</f>
        <v>0</v>
      </c>
      <c r="K4" s="117">
        <v>0.0</v>
      </c>
      <c r="L4" s="6"/>
      <c r="M4" s="6"/>
      <c r="N4" s="4"/>
      <c r="P4" s="1">
        <f>'Scoring - fin '!O4</f>
        <v>-15</v>
      </c>
      <c r="Q4" s="1" t="str">
        <f>'Scoring - fin '!P4</f>
        <v>bad</v>
      </c>
    </row>
    <row r="5">
      <c r="A5" s="112" t="s">
        <v>103</v>
      </c>
      <c r="B5" s="4">
        <v>0.0</v>
      </c>
      <c r="C5" s="118">
        <v>0.15</v>
      </c>
      <c r="D5" s="113">
        <f t="shared" si="1"/>
        <v>0.375</v>
      </c>
      <c r="E5" s="114">
        <v>0.0</v>
      </c>
      <c r="F5" s="169"/>
      <c r="G5" s="115" t="s">
        <v>119</v>
      </c>
      <c r="H5" s="4">
        <v>0.0</v>
      </c>
      <c r="I5" s="119">
        <v>0.0</v>
      </c>
      <c r="J5" s="116">
        <f t="shared" si="2"/>
        <v>0</v>
      </c>
      <c r="K5" s="117">
        <v>0.0</v>
      </c>
      <c r="L5" s="6"/>
      <c r="M5" s="6"/>
      <c r="N5" s="4"/>
      <c r="P5" s="1">
        <f>'Scoring - fin '!O5</f>
        <v>0</v>
      </c>
      <c r="Q5" s="1" t="str">
        <f>'Scoring - fin '!P5</f>
        <v>good</v>
      </c>
    </row>
    <row r="6">
      <c r="A6" s="112" t="s">
        <v>107</v>
      </c>
      <c r="B6" s="4">
        <v>0.0</v>
      </c>
      <c r="C6" s="118">
        <v>0.0</v>
      </c>
      <c r="D6" s="113">
        <f t="shared" si="1"/>
        <v>0</v>
      </c>
      <c r="E6" s="114"/>
      <c r="F6" s="169"/>
      <c r="G6" s="115" t="s">
        <v>123</v>
      </c>
      <c r="H6" s="4">
        <v>0.0</v>
      </c>
      <c r="I6" s="119">
        <v>0.0</v>
      </c>
      <c r="J6" s="116">
        <f t="shared" si="2"/>
        <v>0</v>
      </c>
      <c r="K6" s="117">
        <v>0.0</v>
      </c>
      <c r="L6" s="6"/>
      <c r="M6" s="6"/>
      <c r="N6" s="4"/>
      <c r="P6" s="1">
        <f>'Scoring - fin '!O6</f>
        <v>15</v>
      </c>
      <c r="Q6" s="1" t="str">
        <f>'Scoring - fin '!P6</f>
        <v>v good</v>
      </c>
    </row>
    <row r="7">
      <c r="A7" s="112" t="s">
        <v>110</v>
      </c>
      <c r="B7" s="4">
        <v>0.0</v>
      </c>
      <c r="C7" s="118">
        <v>0.0</v>
      </c>
      <c r="D7" s="113">
        <f t="shared" si="1"/>
        <v>0</v>
      </c>
      <c r="E7" s="114"/>
      <c r="F7" s="169"/>
      <c r="G7" s="115" t="s">
        <v>126</v>
      </c>
      <c r="I7" s="119">
        <v>0.0</v>
      </c>
      <c r="J7" s="116">
        <f t="shared" si="2"/>
        <v>0</v>
      </c>
      <c r="K7" s="117">
        <v>0.0</v>
      </c>
      <c r="L7" s="6"/>
      <c r="M7" s="6"/>
      <c r="N7" s="4"/>
      <c r="P7" s="1">
        <f>'Scoring - fin '!O7</f>
        <v>30</v>
      </c>
      <c r="Q7" s="1" t="str">
        <f>'Scoring - fin '!P7</f>
        <v/>
      </c>
    </row>
    <row r="8">
      <c r="A8" s="112" t="s">
        <v>113</v>
      </c>
      <c r="C8" s="118">
        <v>0.0</v>
      </c>
      <c r="D8" s="113">
        <f t="shared" si="1"/>
        <v>0</v>
      </c>
      <c r="E8" s="114">
        <v>0.0</v>
      </c>
      <c r="F8" s="169"/>
      <c r="G8" s="115" t="s">
        <v>455</v>
      </c>
      <c r="I8" s="119">
        <v>0.05</v>
      </c>
      <c r="J8" s="116">
        <f t="shared" si="2"/>
        <v>0.5</v>
      </c>
      <c r="K8" s="117">
        <v>-30.0</v>
      </c>
      <c r="L8" s="8"/>
      <c r="M8" s="8"/>
      <c r="P8" s="1" t="str">
        <f>'Scoring - fin '!O8</f>
        <v/>
      </c>
      <c r="Q8" s="1" t="str">
        <f>'Scoring - fin '!P8</f>
        <v/>
      </c>
    </row>
    <row r="9">
      <c r="A9" s="128" t="s">
        <v>115</v>
      </c>
      <c r="C9" s="118">
        <v>0.1</v>
      </c>
      <c r="D9" s="113">
        <f t="shared" si="1"/>
        <v>0.25</v>
      </c>
      <c r="E9" s="128">
        <v>-15.0</v>
      </c>
      <c r="F9" s="169"/>
      <c r="G9" s="115" t="s">
        <v>456</v>
      </c>
      <c r="I9" s="119">
        <v>0.05</v>
      </c>
      <c r="J9" s="116">
        <f t="shared" si="2"/>
        <v>0.5</v>
      </c>
      <c r="K9" s="170">
        <v>-15.0</v>
      </c>
      <c r="L9" s="8"/>
      <c r="M9" s="8"/>
    </row>
    <row r="10">
      <c r="A10" s="122"/>
      <c r="C10" s="125">
        <f t="shared" ref="C10:D10" si="3">sum(C4:C9)</f>
        <v>0.4</v>
      </c>
      <c r="D10" s="125">
        <f t="shared" si="3"/>
        <v>1</v>
      </c>
      <c r="E10" s="126"/>
      <c r="F10" s="169"/>
      <c r="G10" s="127"/>
      <c r="I10" s="105">
        <f t="shared" ref="I10:J10" si="4">SUM(I4:I9)</f>
        <v>0.1</v>
      </c>
      <c r="J10" s="105">
        <f t="shared" si="4"/>
        <v>1</v>
      </c>
      <c r="K10" s="124"/>
      <c r="L10" s="8"/>
      <c r="M10" s="8"/>
      <c r="S10" s="4">
        <v>1.0</v>
      </c>
      <c r="T10" s="4">
        <v>2.0</v>
      </c>
      <c r="U10" s="4">
        <v>3.0</v>
      </c>
      <c r="V10" s="4">
        <v>4.0</v>
      </c>
    </row>
    <row r="11">
      <c r="A11" s="122"/>
      <c r="C11" s="122"/>
      <c r="D11" s="128" t="s">
        <v>399</v>
      </c>
      <c r="E11" s="128">
        <f>SUMPRODUCT(D4:D9,E4:E9)</f>
        <v>1.875</v>
      </c>
      <c r="F11" s="169"/>
      <c r="G11" s="129"/>
      <c r="I11" s="124"/>
      <c r="J11" s="121"/>
      <c r="K11" s="130">
        <f>SUMPRODUCT(J4:J9,K4:K9)</f>
        <v>-22.5</v>
      </c>
      <c r="L11" s="131">
        <f>E11*C1+K11*J1</f>
        <v>-0.5625</v>
      </c>
      <c r="M11" s="132" t="str">
        <f>VLOOKUP(L11,$P$3:$Q$7,2,true)</f>
        <v>bad</v>
      </c>
    </row>
    <row r="12">
      <c r="A12" s="133"/>
      <c r="B12" s="133"/>
      <c r="C12" s="133"/>
      <c r="D12" s="134"/>
      <c r="E12" s="135"/>
      <c r="F12" s="133"/>
      <c r="G12" s="133"/>
      <c r="H12" s="133"/>
    </row>
    <row r="13">
      <c r="D13" s="133"/>
      <c r="E13" s="38"/>
      <c r="F13" s="4" t="s">
        <v>459</v>
      </c>
      <c r="G13" s="4">
        <v>10.0</v>
      </c>
      <c r="K13" s="136" t="s">
        <v>400</v>
      </c>
      <c r="L13" s="137"/>
      <c r="M13" s="4" t="s">
        <v>401</v>
      </c>
      <c r="O13" s="4">
        <v>1.8002021232E10</v>
      </c>
    </row>
    <row r="14">
      <c r="D14" s="133"/>
      <c r="E14" s="38"/>
      <c r="F14" s="174">
        <v>44624.0</v>
      </c>
      <c r="G14" s="4">
        <v>20.0</v>
      </c>
      <c r="K14" s="138">
        <v>0.0</v>
      </c>
      <c r="L14" s="139" t="s">
        <v>402</v>
      </c>
      <c r="M14" s="140">
        <f t="shared" ref="M14:M17" si="5">K15-K14</f>
        <v>3</v>
      </c>
    </row>
    <row r="15">
      <c r="D15" s="133"/>
      <c r="E15" s="38"/>
      <c r="F15" s="174">
        <v>44687.0</v>
      </c>
      <c r="G15" s="4">
        <v>30.0</v>
      </c>
      <c r="K15" s="138">
        <v>3.0</v>
      </c>
      <c r="L15" s="139" t="s">
        <v>403</v>
      </c>
      <c r="M15" s="140">
        <f t="shared" si="5"/>
        <v>6</v>
      </c>
    </row>
    <row r="16">
      <c r="D16" s="133"/>
      <c r="E16" s="38"/>
      <c r="K16" s="141">
        <v>9.0</v>
      </c>
      <c r="L16" s="139" t="s">
        <v>164</v>
      </c>
      <c r="M16" s="140">
        <f t="shared" si="5"/>
        <v>36</v>
      </c>
    </row>
    <row r="17">
      <c r="D17" s="133"/>
      <c r="E17" s="38"/>
      <c r="K17" s="138">
        <v>45.0</v>
      </c>
      <c r="L17" s="139" t="s">
        <v>404</v>
      </c>
      <c r="M17" s="140">
        <f t="shared" si="5"/>
        <v>36</v>
      </c>
      <c r="S17" s="4">
        <v>3.0</v>
      </c>
    </row>
    <row r="18">
      <c r="E18" s="38"/>
      <c r="K18" s="141">
        <v>81.0</v>
      </c>
      <c r="L18" s="139" t="s">
        <v>405</v>
      </c>
      <c r="M18" s="140">
        <f>J19-K18</f>
        <v>-81</v>
      </c>
    </row>
    <row r="19">
      <c r="E19" s="38"/>
      <c r="K19" s="138">
        <v>92.0</v>
      </c>
      <c r="L19" s="139" t="s">
        <v>406</v>
      </c>
    </row>
    <row r="20">
      <c r="A20" s="1" t="str">
        <f>'Scoring - fin '!A20</f>
        <v>Data avail (flags)</v>
      </c>
      <c r="B20" s="1" t="str">
        <f>'Scoring - fin '!B20</f>
        <v>Actual value (test)
Select one of data avail (flag)</v>
      </c>
      <c r="C20" s="1" t="str">
        <f>'Scoring - fin '!C20</f>
        <v>Fin, GST, EPF</v>
      </c>
      <c r="D20" s="1" t="str">
        <f>'Scoring - fin '!D20</f>
        <v>GST, EPF</v>
      </c>
      <c r="E20" s="1" t="str">
        <f>'Scoring - fin '!E20</f>
        <v>Fin and GST</v>
      </c>
      <c r="F20" s="1" t="str">
        <f>'Scoring - fin '!F20</f>
        <v>GST</v>
      </c>
      <c r="G20" s="2" t="str">
        <f>'Scoring - fin '!G20</f>
        <v>If period of data avail is less than 6 months (half of final)</v>
      </c>
      <c r="K20" s="138">
        <v>96.0</v>
      </c>
      <c r="L20" s="139" t="s">
        <v>407</v>
      </c>
    </row>
    <row r="21">
      <c r="A21" s="1" t="str">
        <f>'Scoring - fin '!A21</f>
        <v>Boost v good %</v>
      </c>
      <c r="B21" s="6">
        <f t="shared" ref="B21:B25" si="6">G21</f>
        <v>30</v>
      </c>
      <c r="C21" s="6">
        <f>'Scoring - fin '!C21</f>
        <v>50</v>
      </c>
      <c r="D21" s="6">
        <f>'Scoring - fin '!D21</f>
        <v>60</v>
      </c>
      <c r="E21" s="6">
        <f>'Scoring - fin '!E21</f>
        <v>60</v>
      </c>
      <c r="F21" s="6">
        <f>'Scoring - fin '!F21</f>
        <v>70</v>
      </c>
      <c r="G21" s="6">
        <f t="shared" ref="G21:G25" si="7">E21/2</f>
        <v>30</v>
      </c>
      <c r="K21" s="142">
        <v>100.0</v>
      </c>
      <c r="L21" s="143"/>
    </row>
    <row r="22">
      <c r="A22" s="6" t="str">
        <f>'Scoring - fin '!A22</f>
        <v>Boost good %</v>
      </c>
      <c r="B22" s="6">
        <f t="shared" si="6"/>
        <v>25</v>
      </c>
      <c r="C22" s="6">
        <f>'Scoring - fin '!C22</f>
        <v>40</v>
      </c>
      <c r="D22" s="6">
        <f>'Scoring - fin '!D22</f>
        <v>50</v>
      </c>
      <c r="E22" s="6">
        <f>'Scoring - fin '!E22</f>
        <v>50</v>
      </c>
      <c r="F22" s="6">
        <f>'Scoring - fin '!F22</f>
        <v>60</v>
      </c>
      <c r="G22" s="6">
        <f t="shared" si="7"/>
        <v>25</v>
      </c>
    </row>
    <row r="23">
      <c r="A23" s="1" t="str">
        <f>'Scoring - fin '!A23</f>
        <v>Boost bad %</v>
      </c>
      <c r="B23" s="6">
        <f t="shared" si="6"/>
        <v>-20</v>
      </c>
      <c r="C23" s="6">
        <f>'Scoring - fin '!C23</f>
        <v>-30</v>
      </c>
      <c r="D23" s="6">
        <f>'Scoring - fin '!D23</f>
        <v>-40</v>
      </c>
      <c r="E23" s="6">
        <f>'Scoring - fin '!E23</f>
        <v>-40</v>
      </c>
      <c r="F23" s="6">
        <f>'Scoring - fin '!F23</f>
        <v>-50</v>
      </c>
      <c r="G23" s="6">
        <f t="shared" si="7"/>
        <v>-20</v>
      </c>
    </row>
    <row r="24">
      <c r="A24" s="1" t="str">
        <f>'Scoring - fin '!A24</f>
        <v>Boost v bad %</v>
      </c>
      <c r="B24" s="6">
        <f t="shared" si="6"/>
        <v>-25</v>
      </c>
      <c r="C24" s="6">
        <f>'Scoring - fin '!C24</f>
        <v>-40</v>
      </c>
      <c r="D24" s="6">
        <f>'Scoring - fin '!D24</f>
        <v>-50</v>
      </c>
      <c r="E24" s="6">
        <f>'Scoring - fin '!E24</f>
        <v>-50</v>
      </c>
      <c r="F24" s="6">
        <f>'Scoring - fin '!F24</f>
        <v>-60</v>
      </c>
      <c r="G24" s="6">
        <f t="shared" si="7"/>
        <v>-25</v>
      </c>
    </row>
    <row r="25">
      <c r="A25" s="1" t="str">
        <f>'Scoring - fin '!A25</f>
        <v/>
      </c>
      <c r="B25" s="6">
        <f t="shared" si="6"/>
        <v>0</v>
      </c>
      <c r="C25" s="1" t="str">
        <f>'Scoring - fin '!C25</f>
        <v/>
      </c>
      <c r="D25" s="1" t="str">
        <f>'Scoring - fin '!D25</f>
        <v/>
      </c>
      <c r="E25" s="1" t="str">
        <f>'Scoring - fin '!E25</f>
        <v/>
      </c>
      <c r="F25" s="1" t="str">
        <f>'Scoring - fin '!F25</f>
        <v/>
      </c>
      <c r="G25" s="6">
        <f t="shared" si="7"/>
        <v>0</v>
      </c>
    </row>
    <row r="29">
      <c r="A29" s="4" t="str">
        <f>VLOOKUP(A31,K14:L21,2,true)</f>
        <v>BBB</v>
      </c>
      <c r="C29" s="8"/>
    </row>
    <row r="30">
      <c r="A30" s="144" t="s">
        <v>460</v>
      </c>
      <c r="B30" s="2" t="s">
        <v>409</v>
      </c>
      <c r="C30" s="2" t="s">
        <v>410</v>
      </c>
      <c r="D30" s="1" t="s">
        <v>411</v>
      </c>
      <c r="E30" s="1" t="s">
        <v>412</v>
      </c>
      <c r="F30" s="2" t="s">
        <v>413</v>
      </c>
      <c r="G30" s="2" t="s">
        <v>414</v>
      </c>
      <c r="H30" s="1" t="s">
        <v>415</v>
      </c>
      <c r="I30" s="1" t="s">
        <v>416</v>
      </c>
    </row>
    <row r="31">
      <c r="A31" s="145">
        <v>51.0</v>
      </c>
      <c r="B31" s="146">
        <f>if($A$29=$L$14,K15,if($A$29=$L$15,K16,if($A$29=$L$16,K17,if($A$29=$L$17,K18,if($A$29=$L$18,J19,if($A$29=$K$19,J20,100))))))</f>
        <v>81</v>
      </c>
      <c r="C31" s="147">
        <f>B31-A31</f>
        <v>30</v>
      </c>
      <c r="D31" s="8">
        <f t="shared" ref="D31:D33" si="8">C31*$B$21%</f>
        <v>9</v>
      </c>
      <c r="E31" s="8">
        <f t="shared" ref="E31:E33" si="9">C31*$B$22%</f>
        <v>7.5</v>
      </c>
      <c r="F31" s="148">
        <f>if($A$29=$L$14,0,if($A$29=$L$15,K15,if($A$29=$L$16,K16,if($A$29=$L$17,K17,if($A$29=$L$18,K18,if($A$29=$K$19,J19,J20))))))</f>
        <v>45</v>
      </c>
      <c r="G31" s="149">
        <f>A31-F31</f>
        <v>6</v>
      </c>
      <c r="H31" s="8">
        <f t="shared" ref="H31:H33" si="10">G31*$B$23%</f>
        <v>-1.2</v>
      </c>
      <c r="I31" s="8">
        <f t="shared" ref="I31:I33" si="11">G31*$B$24%</f>
        <v>-1.5</v>
      </c>
    </row>
    <row r="32">
      <c r="A32" s="8"/>
      <c r="B32" s="146" t="str">
        <f>if($A$29=$L$14,K16,if($A$29=$L$15,K17,if($A$29=$L$16,K18,if($A$29=$L$17,J19,if($A$29=$L$18,J20,if($A$29=$K$19,J21,if($A$29=$K$20,0,100)))))))</f>
        <v/>
      </c>
      <c r="C32" s="173">
        <f t="shared" ref="C32:C33" si="12">if(B32-B31&lt;0,0,B32-B31)</f>
        <v>0</v>
      </c>
      <c r="D32" s="8">
        <f t="shared" si="8"/>
        <v>0</v>
      </c>
      <c r="E32" s="8">
        <f t="shared" si="9"/>
        <v>0</v>
      </c>
      <c r="F32" s="148">
        <f>if($A$29=$L$14,0,if($A$29=$L$15,0,if($A$29=$L$16,K15,if($A$29=$L$17,K16,if($A$29=$L$18,K17,if($A$29=$K$19,K18,J19))))))</f>
        <v>9</v>
      </c>
      <c r="G32" s="149">
        <f t="shared" ref="G32:G33" si="13">if(F31-F32&lt;0,0,F31-F32)</f>
        <v>36</v>
      </c>
      <c r="H32" s="8">
        <f t="shared" si="10"/>
        <v>-7.2</v>
      </c>
      <c r="I32" s="8">
        <f t="shared" si="11"/>
        <v>-9</v>
      </c>
    </row>
    <row r="33">
      <c r="A33" s="8"/>
      <c r="B33" s="146" t="str">
        <f>if($A$29=$L$14,K17,if($A$29=$L$15,K18,if($A$29=$L$16,J19,if($A$29=$L$17,J20,if($A$29=$L$18,J21,if($A$29=$K$19,0,if($A$29=$K$20,0,100)))))))</f>
        <v/>
      </c>
      <c r="C33" s="150">
        <f t="shared" si="12"/>
        <v>0</v>
      </c>
      <c r="D33" s="8">
        <f t="shared" si="8"/>
        <v>0</v>
      </c>
      <c r="E33" s="8">
        <f t="shared" si="9"/>
        <v>0</v>
      </c>
      <c r="F33" s="148">
        <f>if($A$29=$L$14,0,if($A$29=$L$15,0,if($A$29=$L$16,0,if($A$29=$L$17,K15,if($A$29=$L$18,K16,if($A$29=$K$19,K17,K18))))))</f>
        <v>3</v>
      </c>
      <c r="G33" s="149">
        <f t="shared" si="13"/>
        <v>6</v>
      </c>
      <c r="H33" s="8">
        <f t="shared" si="10"/>
        <v>-1.2</v>
      </c>
      <c r="I33" s="8">
        <f t="shared" si="11"/>
        <v>-1.5</v>
      </c>
    </row>
    <row r="34">
      <c r="A34" s="8"/>
      <c r="B34" s="8"/>
      <c r="C34" s="8"/>
      <c r="D34" s="8">
        <f t="shared" ref="D34:E34" si="14">sum(D31:D33)</f>
        <v>9</v>
      </c>
      <c r="E34" s="8">
        <f t="shared" si="14"/>
        <v>7.5</v>
      </c>
      <c r="F34" s="8"/>
      <c r="G34" s="8"/>
      <c r="H34" s="8">
        <f t="shared" ref="H34:I34" si="15">sum(H31:H33)</f>
        <v>-9.6</v>
      </c>
      <c r="I34" s="8">
        <f t="shared" si="15"/>
        <v>-12</v>
      </c>
    </row>
    <row r="35">
      <c r="A35" s="8"/>
      <c r="B35" s="8"/>
      <c r="C35" s="151" t="s">
        <v>417</v>
      </c>
      <c r="D35" s="152">
        <f t="shared" ref="D35:E35" si="16">D34+$A$31</f>
        <v>60</v>
      </c>
      <c r="E35" s="152">
        <f t="shared" si="16"/>
        <v>58.5</v>
      </c>
      <c r="F35" s="8"/>
      <c r="G35" s="8"/>
      <c r="H35" s="152">
        <f t="shared" ref="H35:I35" si="17">H34+$A$31</f>
        <v>41.4</v>
      </c>
      <c r="I35" s="152">
        <f t="shared" si="17"/>
        <v>39</v>
      </c>
    </row>
    <row r="36">
      <c r="A36" s="8"/>
      <c r="B36" s="8"/>
      <c r="C36" s="151" t="s">
        <v>418</v>
      </c>
      <c r="D36" s="152" t="str">
        <f t="shared" ref="D36:E36" si="18">VLOOKUP(D35,$K$14:$L$21,2,true)</f>
        <v>BBB</v>
      </c>
      <c r="E36" s="152" t="str">
        <f t="shared" si="18"/>
        <v>BBB</v>
      </c>
      <c r="F36" s="8"/>
      <c r="G36" s="8"/>
      <c r="H36" s="152" t="str">
        <f t="shared" ref="H36:I36" si="19">VLOOKUP(H35,$K$14:$L$21,2,true)</f>
        <v>BB</v>
      </c>
      <c r="I36" s="152" t="str">
        <f t="shared" si="19"/>
        <v>BB</v>
      </c>
    </row>
    <row r="37">
      <c r="A37" s="8"/>
      <c r="B37" s="8"/>
      <c r="C37" s="6" t="s">
        <v>419</v>
      </c>
      <c r="D37" s="8">
        <f t="shared" ref="D37:E37" si="20">D35-$A$31</f>
        <v>9</v>
      </c>
      <c r="E37" s="8">
        <f t="shared" si="20"/>
        <v>7.5</v>
      </c>
      <c r="F37" s="8"/>
      <c r="G37" s="8"/>
      <c r="H37" s="8">
        <f t="shared" ref="H37:I37" si="21">H35-$A$31</f>
        <v>-9.6</v>
      </c>
      <c r="I37" s="8">
        <f t="shared" si="21"/>
        <v>-12</v>
      </c>
    </row>
    <row r="38">
      <c r="A38" s="8"/>
      <c r="B38" s="8"/>
      <c r="C38" s="6" t="s">
        <v>420</v>
      </c>
      <c r="D38" s="153">
        <f t="shared" ref="D38:E38" si="22">D37/$A$31</f>
        <v>0.1764705882</v>
      </c>
      <c r="E38" s="153">
        <f t="shared" si="22"/>
        <v>0.1470588235</v>
      </c>
      <c r="F38" s="8"/>
      <c r="G38" s="8"/>
      <c r="H38" s="153">
        <f t="shared" ref="H38:I38" si="23">H37/$A$31</f>
        <v>-0.1882352941</v>
      </c>
      <c r="I38" s="153">
        <f t="shared" si="23"/>
        <v>-0.2352941176</v>
      </c>
    </row>
    <row r="39">
      <c r="E39" s="38"/>
    </row>
    <row r="40">
      <c r="E40" s="38"/>
    </row>
    <row r="41">
      <c r="E41" s="38"/>
    </row>
    <row r="42">
      <c r="E42" s="38"/>
    </row>
    <row r="43">
      <c r="E43" s="38"/>
    </row>
    <row r="44">
      <c r="E44" s="38"/>
    </row>
    <row r="45">
      <c r="E45" s="38"/>
    </row>
    <row r="46">
      <c r="E46" s="38"/>
    </row>
    <row r="47">
      <c r="E47" s="38"/>
    </row>
    <row r="48">
      <c r="E48" s="38"/>
    </row>
    <row r="49">
      <c r="E49" s="38"/>
    </row>
    <row r="50">
      <c r="E50" s="38"/>
    </row>
    <row r="51">
      <c r="E51" s="38"/>
    </row>
    <row r="52">
      <c r="E52" s="38"/>
    </row>
    <row r="53">
      <c r="E53" s="38"/>
    </row>
    <row r="54">
      <c r="E54" s="38"/>
    </row>
    <row r="55">
      <c r="E55" s="38"/>
    </row>
    <row r="56">
      <c r="E56" s="38"/>
    </row>
    <row r="57">
      <c r="E57" s="38"/>
    </row>
    <row r="58">
      <c r="E58" s="38"/>
    </row>
    <row r="59">
      <c r="E59" s="38"/>
    </row>
    <row r="60">
      <c r="E60" s="38"/>
    </row>
    <row r="61">
      <c r="E61" s="38"/>
    </row>
    <row r="62">
      <c r="E62" s="38"/>
    </row>
    <row r="63">
      <c r="E63" s="38"/>
    </row>
    <row r="64">
      <c r="E64" s="38"/>
    </row>
    <row r="65">
      <c r="E65" s="38"/>
    </row>
    <row r="66">
      <c r="E66" s="38"/>
    </row>
    <row r="67">
      <c r="E67" s="38"/>
    </row>
    <row r="68">
      <c r="E68" s="38"/>
    </row>
    <row r="69">
      <c r="E69" s="38"/>
    </row>
    <row r="70">
      <c r="E70" s="38"/>
    </row>
    <row r="71">
      <c r="E71" s="38"/>
    </row>
    <row r="72">
      <c r="E72" s="38"/>
    </row>
    <row r="73">
      <c r="E73" s="38"/>
    </row>
    <row r="74">
      <c r="E74" s="38"/>
    </row>
    <row r="75">
      <c r="E75" s="38"/>
    </row>
    <row r="76">
      <c r="E76" s="38"/>
    </row>
    <row r="77">
      <c r="E77" s="38"/>
    </row>
    <row r="78">
      <c r="E78" s="38"/>
    </row>
    <row r="79">
      <c r="E79" s="38"/>
    </row>
    <row r="80">
      <c r="E80" s="38"/>
    </row>
    <row r="81">
      <c r="E81" s="38"/>
    </row>
    <row r="82">
      <c r="E82" s="38"/>
    </row>
    <row r="83">
      <c r="E83" s="38"/>
    </row>
    <row r="84">
      <c r="E84" s="38"/>
    </row>
    <row r="85">
      <c r="E85" s="38"/>
    </row>
    <row r="86">
      <c r="E86" s="38"/>
    </row>
    <row r="87">
      <c r="E87" s="38"/>
    </row>
    <row r="88">
      <c r="E88" s="38"/>
    </row>
    <row r="89">
      <c r="E89" s="38"/>
    </row>
    <row r="90">
      <c r="E90" s="38"/>
    </row>
    <row r="91">
      <c r="E91" s="38"/>
    </row>
    <row r="92">
      <c r="E92" s="38"/>
    </row>
    <row r="93">
      <c r="E93" s="38"/>
    </row>
    <row r="94">
      <c r="E94" s="38"/>
    </row>
    <row r="95">
      <c r="E95" s="38"/>
    </row>
    <row r="96">
      <c r="E96" s="38"/>
    </row>
    <row r="97">
      <c r="E97" s="38"/>
    </row>
    <row r="98">
      <c r="E98" s="38"/>
    </row>
    <row r="99">
      <c r="E99" s="38"/>
    </row>
    <row r="100">
      <c r="E100" s="38"/>
    </row>
    <row r="101">
      <c r="E101" s="38"/>
    </row>
    <row r="102">
      <c r="E102" s="38"/>
    </row>
    <row r="103">
      <c r="E103" s="38"/>
    </row>
    <row r="104">
      <c r="E104" s="38"/>
    </row>
    <row r="105">
      <c r="E105" s="38"/>
    </row>
    <row r="106">
      <c r="E106" s="38"/>
    </row>
    <row r="107">
      <c r="E107" s="38"/>
    </row>
    <row r="108">
      <c r="E108" s="38"/>
    </row>
    <row r="109">
      <c r="E109" s="38"/>
    </row>
    <row r="110">
      <c r="E110" s="38"/>
    </row>
    <row r="111">
      <c r="E111" s="38"/>
    </row>
    <row r="112">
      <c r="E112" s="38"/>
    </row>
    <row r="113">
      <c r="E113" s="38"/>
    </row>
    <row r="114">
      <c r="E114" s="38"/>
    </row>
    <row r="115">
      <c r="E115" s="38"/>
    </row>
    <row r="116">
      <c r="E116" s="38"/>
    </row>
    <row r="117">
      <c r="E117" s="38"/>
    </row>
    <row r="118">
      <c r="E118" s="38"/>
    </row>
    <row r="119">
      <c r="E119" s="38"/>
    </row>
    <row r="120">
      <c r="E120" s="38"/>
    </row>
    <row r="121">
      <c r="E121" s="38"/>
    </row>
    <row r="122">
      <c r="E122" s="38"/>
    </row>
    <row r="123">
      <c r="E123" s="38"/>
    </row>
    <row r="124">
      <c r="E124" s="38"/>
    </row>
    <row r="125">
      <c r="E125" s="38"/>
    </row>
    <row r="126">
      <c r="E126" s="38"/>
    </row>
    <row r="127">
      <c r="E127" s="38"/>
    </row>
    <row r="128">
      <c r="E128" s="38"/>
    </row>
    <row r="129">
      <c r="E129" s="38"/>
    </row>
    <row r="130">
      <c r="E130" s="38"/>
    </row>
    <row r="131">
      <c r="E131" s="38"/>
    </row>
    <row r="132">
      <c r="E132" s="38"/>
    </row>
    <row r="133">
      <c r="E133" s="38"/>
    </row>
    <row r="134">
      <c r="E134" s="38"/>
    </row>
    <row r="135">
      <c r="E135" s="38"/>
    </row>
    <row r="136">
      <c r="E136" s="38"/>
    </row>
    <row r="137">
      <c r="E137" s="38"/>
    </row>
    <row r="138">
      <c r="E138" s="38"/>
    </row>
    <row r="139">
      <c r="E139" s="38"/>
    </row>
    <row r="140">
      <c r="E140" s="38"/>
    </row>
    <row r="141">
      <c r="E141" s="38"/>
    </row>
    <row r="142">
      <c r="E142" s="38"/>
    </row>
    <row r="143">
      <c r="E143" s="38"/>
    </row>
    <row r="144">
      <c r="E144" s="38"/>
    </row>
    <row r="145">
      <c r="E145" s="38"/>
    </row>
    <row r="146">
      <c r="E146" s="38"/>
    </row>
    <row r="147">
      <c r="E147" s="38"/>
    </row>
    <row r="148">
      <c r="E148" s="38"/>
    </row>
    <row r="149">
      <c r="E149" s="38"/>
    </row>
    <row r="150">
      <c r="E150" s="38"/>
    </row>
    <row r="151">
      <c r="E151" s="38"/>
    </row>
    <row r="152">
      <c r="E152" s="38"/>
    </row>
    <row r="153">
      <c r="E153" s="38"/>
    </row>
    <row r="154">
      <c r="E154" s="38"/>
    </row>
    <row r="155">
      <c r="E155" s="38"/>
    </row>
    <row r="156">
      <c r="E156" s="38"/>
    </row>
    <row r="157">
      <c r="E157" s="38"/>
    </row>
    <row r="158">
      <c r="E158" s="38"/>
    </row>
    <row r="159">
      <c r="E159" s="38"/>
    </row>
    <row r="160">
      <c r="E160" s="38"/>
    </row>
    <row r="161">
      <c r="E161" s="38"/>
    </row>
    <row r="162">
      <c r="E162" s="38"/>
    </row>
    <row r="163">
      <c r="E163" s="38"/>
    </row>
    <row r="164">
      <c r="E164" s="38"/>
    </row>
    <row r="165">
      <c r="E165" s="38"/>
    </row>
    <row r="166">
      <c r="E166" s="38"/>
    </row>
    <row r="167">
      <c r="E167" s="38"/>
    </row>
    <row r="168">
      <c r="E168" s="38"/>
    </row>
    <row r="169">
      <c r="E169" s="38"/>
    </row>
    <row r="170">
      <c r="E170" s="38"/>
    </row>
    <row r="171">
      <c r="E171" s="38"/>
    </row>
    <row r="172">
      <c r="E172" s="38"/>
    </row>
    <row r="173">
      <c r="E173" s="38"/>
    </row>
    <row r="174">
      <c r="E174" s="38"/>
    </row>
    <row r="175">
      <c r="E175" s="38"/>
    </row>
    <row r="176">
      <c r="E176" s="38"/>
    </row>
    <row r="177">
      <c r="E177" s="38"/>
    </row>
    <row r="178">
      <c r="E178" s="38"/>
    </row>
    <row r="179">
      <c r="E179" s="38"/>
    </row>
    <row r="180">
      <c r="E180" s="38"/>
    </row>
    <row r="181">
      <c r="E181" s="38"/>
    </row>
    <row r="182">
      <c r="E182" s="38"/>
    </row>
    <row r="183">
      <c r="E183" s="38"/>
    </row>
    <row r="184">
      <c r="E184" s="38"/>
    </row>
    <row r="185">
      <c r="E185" s="38"/>
    </row>
    <row r="186">
      <c r="E186" s="38"/>
    </row>
    <row r="187">
      <c r="E187" s="38"/>
    </row>
    <row r="188">
      <c r="E188" s="38"/>
    </row>
    <row r="189">
      <c r="E189" s="38"/>
    </row>
    <row r="190">
      <c r="E190" s="38"/>
    </row>
    <row r="191">
      <c r="E191" s="38"/>
    </row>
    <row r="192">
      <c r="E192" s="38"/>
    </row>
    <row r="193">
      <c r="E193" s="38"/>
    </row>
    <row r="194">
      <c r="E194" s="38"/>
    </row>
    <row r="195">
      <c r="E195" s="38"/>
    </row>
    <row r="196">
      <c r="E196" s="38"/>
    </row>
    <row r="197">
      <c r="E197" s="38"/>
    </row>
    <row r="198">
      <c r="E198" s="38"/>
    </row>
    <row r="199">
      <c r="E199" s="38"/>
    </row>
    <row r="200">
      <c r="E200" s="38"/>
    </row>
    <row r="201">
      <c r="E201" s="38"/>
    </row>
    <row r="202">
      <c r="E202" s="38"/>
    </row>
    <row r="203">
      <c r="E203" s="38"/>
    </row>
    <row r="204">
      <c r="E204" s="38"/>
    </row>
    <row r="205">
      <c r="E205" s="38"/>
    </row>
    <row r="206">
      <c r="E206" s="38"/>
    </row>
    <row r="207">
      <c r="E207" s="38"/>
    </row>
    <row r="208">
      <c r="E208" s="38"/>
    </row>
    <row r="209">
      <c r="E209" s="38"/>
    </row>
    <row r="210">
      <c r="E210" s="38"/>
    </row>
    <row r="211">
      <c r="E211" s="38"/>
    </row>
    <row r="212">
      <c r="E212" s="38"/>
    </row>
    <row r="213">
      <c r="E213" s="38"/>
    </row>
    <row r="214">
      <c r="E214" s="38"/>
    </row>
    <row r="215">
      <c r="E215" s="38"/>
    </row>
    <row r="216">
      <c r="E216" s="38"/>
    </row>
    <row r="217">
      <c r="E217" s="38"/>
    </row>
    <row r="218">
      <c r="E218" s="38"/>
    </row>
    <row r="219">
      <c r="E219" s="38"/>
    </row>
    <row r="220">
      <c r="E220" s="38"/>
    </row>
    <row r="221">
      <c r="E221" s="38"/>
    </row>
    <row r="222">
      <c r="E222" s="38"/>
    </row>
    <row r="223">
      <c r="E223" s="38"/>
    </row>
    <row r="224">
      <c r="E224" s="38"/>
    </row>
    <row r="225">
      <c r="E225" s="38"/>
    </row>
    <row r="226">
      <c r="E226" s="38"/>
    </row>
    <row r="227">
      <c r="E227" s="38"/>
    </row>
    <row r="228">
      <c r="E228" s="38"/>
    </row>
    <row r="229">
      <c r="E229" s="38"/>
    </row>
    <row r="230">
      <c r="E230" s="38"/>
    </row>
    <row r="231">
      <c r="E231" s="38"/>
    </row>
    <row r="232">
      <c r="E232" s="38"/>
    </row>
    <row r="233">
      <c r="E233" s="38"/>
    </row>
    <row r="234">
      <c r="E234" s="38"/>
    </row>
    <row r="235">
      <c r="E235" s="38"/>
    </row>
    <row r="236">
      <c r="E236" s="38"/>
    </row>
    <row r="237">
      <c r="E237" s="38"/>
    </row>
    <row r="238">
      <c r="E238" s="38"/>
    </row>
    <row r="239">
      <c r="E239" s="38"/>
    </row>
    <row r="240">
      <c r="E240" s="38"/>
    </row>
    <row r="241">
      <c r="E241" s="38"/>
    </row>
    <row r="242">
      <c r="E242" s="38"/>
    </row>
    <row r="243">
      <c r="E243" s="38"/>
    </row>
    <row r="244">
      <c r="E244" s="38"/>
    </row>
    <row r="245">
      <c r="E245" s="38"/>
    </row>
    <row r="246">
      <c r="E246" s="38"/>
    </row>
    <row r="247">
      <c r="E247" s="38"/>
    </row>
    <row r="248">
      <c r="E248" s="38"/>
    </row>
    <row r="249">
      <c r="E249" s="38"/>
    </row>
    <row r="250">
      <c r="E250" s="38"/>
    </row>
    <row r="251">
      <c r="E251" s="38"/>
    </row>
    <row r="252">
      <c r="E252" s="38"/>
    </row>
    <row r="253">
      <c r="E253" s="38"/>
    </row>
    <row r="254">
      <c r="E254" s="38"/>
    </row>
    <row r="255">
      <c r="E255" s="38"/>
    </row>
    <row r="256">
      <c r="E256" s="38"/>
    </row>
    <row r="257">
      <c r="E257" s="38"/>
    </row>
    <row r="258">
      <c r="E258" s="38"/>
    </row>
    <row r="259">
      <c r="E259" s="38"/>
    </row>
    <row r="260">
      <c r="E260" s="38"/>
    </row>
    <row r="261">
      <c r="E261" s="38"/>
    </row>
    <row r="262">
      <c r="E262" s="38"/>
    </row>
    <row r="263">
      <c r="E263" s="38"/>
    </row>
    <row r="264">
      <c r="E264" s="38"/>
    </row>
    <row r="265">
      <c r="E265" s="38"/>
    </row>
    <row r="266">
      <c r="E266" s="38"/>
    </row>
    <row r="267">
      <c r="E267" s="38"/>
    </row>
    <row r="268">
      <c r="E268" s="38"/>
    </row>
    <row r="269">
      <c r="E269" s="38"/>
    </row>
    <row r="270">
      <c r="E270" s="38"/>
    </row>
    <row r="271">
      <c r="E271" s="38"/>
    </row>
    <row r="272">
      <c r="E272" s="38"/>
    </row>
    <row r="273">
      <c r="E273" s="38"/>
    </row>
    <row r="274">
      <c r="E274" s="38"/>
    </row>
    <row r="275">
      <c r="E275" s="38"/>
    </row>
    <row r="276">
      <c r="E276" s="38"/>
    </row>
    <row r="277">
      <c r="E277" s="38"/>
    </row>
    <row r="278">
      <c r="E278" s="38"/>
    </row>
    <row r="279">
      <c r="E279" s="38"/>
    </row>
    <row r="280">
      <c r="E280" s="38"/>
    </row>
    <row r="281">
      <c r="E281" s="38"/>
    </row>
    <row r="282">
      <c r="E282" s="38"/>
    </row>
    <row r="283">
      <c r="E283" s="38"/>
    </row>
    <row r="284">
      <c r="E284" s="38"/>
    </row>
    <row r="285">
      <c r="E285" s="38"/>
    </row>
    <row r="286">
      <c r="E286" s="38"/>
    </row>
    <row r="287">
      <c r="E287" s="38"/>
    </row>
    <row r="288">
      <c r="E288" s="38"/>
    </row>
    <row r="289">
      <c r="E289" s="38"/>
    </row>
    <row r="290">
      <c r="E290" s="38"/>
    </row>
    <row r="291">
      <c r="E291" s="38"/>
    </row>
    <row r="292">
      <c r="E292" s="38"/>
    </row>
    <row r="293">
      <c r="E293" s="38"/>
    </row>
    <row r="294">
      <c r="E294" s="38"/>
    </row>
    <row r="295">
      <c r="E295" s="38"/>
    </row>
    <row r="296">
      <c r="E296" s="38"/>
    </row>
    <row r="297">
      <c r="E297" s="38"/>
    </row>
    <row r="298">
      <c r="E298" s="38"/>
    </row>
    <row r="299">
      <c r="E299" s="38"/>
    </row>
    <row r="300">
      <c r="E300" s="38"/>
    </row>
    <row r="301">
      <c r="E301" s="38"/>
    </row>
    <row r="302">
      <c r="E302" s="38"/>
    </row>
    <row r="303">
      <c r="E303" s="38"/>
    </row>
    <row r="304">
      <c r="E304" s="38"/>
    </row>
    <row r="305">
      <c r="E305" s="38"/>
    </row>
    <row r="306">
      <c r="E306" s="38"/>
    </row>
    <row r="307">
      <c r="E307" s="38"/>
    </row>
    <row r="308">
      <c r="E308" s="38"/>
    </row>
    <row r="309">
      <c r="E309" s="38"/>
    </row>
    <row r="310">
      <c r="E310" s="38"/>
    </row>
    <row r="311">
      <c r="E311" s="38"/>
    </row>
    <row r="312">
      <c r="E312" s="38"/>
    </row>
    <row r="313">
      <c r="E313" s="38"/>
    </row>
    <row r="314">
      <c r="E314" s="38"/>
    </row>
    <row r="315">
      <c r="E315" s="38"/>
    </row>
    <row r="316">
      <c r="E316" s="38"/>
    </row>
    <row r="317">
      <c r="E317" s="38"/>
    </row>
    <row r="318">
      <c r="E318" s="38"/>
    </row>
    <row r="319">
      <c r="E319" s="38"/>
    </row>
    <row r="320">
      <c r="E320" s="38"/>
    </row>
    <row r="321">
      <c r="E321" s="38"/>
    </row>
    <row r="322">
      <c r="E322" s="38"/>
    </row>
    <row r="323">
      <c r="E323" s="38"/>
    </row>
    <row r="324">
      <c r="E324" s="38"/>
    </row>
    <row r="325">
      <c r="E325" s="38"/>
    </row>
    <row r="326">
      <c r="E326" s="38"/>
    </row>
    <row r="327">
      <c r="E327" s="38"/>
    </row>
    <row r="328">
      <c r="E328" s="38"/>
    </row>
    <row r="329">
      <c r="E329" s="38"/>
    </row>
    <row r="330">
      <c r="E330" s="38"/>
    </row>
    <row r="331">
      <c r="E331" s="38"/>
    </row>
    <row r="332">
      <c r="E332" s="38"/>
    </row>
    <row r="333">
      <c r="E333" s="38"/>
    </row>
    <row r="334">
      <c r="E334" s="38"/>
    </row>
    <row r="335">
      <c r="E335" s="38"/>
    </row>
    <row r="336">
      <c r="E336" s="38"/>
    </row>
    <row r="337">
      <c r="E337" s="38"/>
    </row>
    <row r="338">
      <c r="E338" s="38"/>
    </row>
    <row r="339">
      <c r="E339" s="38"/>
    </row>
    <row r="340">
      <c r="E340" s="38"/>
    </row>
    <row r="341">
      <c r="E341" s="38"/>
    </row>
    <row r="342">
      <c r="E342" s="38"/>
    </row>
    <row r="343">
      <c r="E343" s="38"/>
    </row>
    <row r="344">
      <c r="E344" s="38"/>
    </row>
    <row r="345">
      <c r="E345" s="38"/>
    </row>
    <row r="346">
      <c r="E346" s="38"/>
    </row>
    <row r="347">
      <c r="E347" s="38"/>
    </row>
    <row r="348">
      <c r="E348" s="38"/>
    </row>
    <row r="349">
      <c r="E349" s="38"/>
    </row>
    <row r="350">
      <c r="E350" s="38"/>
    </row>
    <row r="351">
      <c r="E351" s="38"/>
    </row>
    <row r="352">
      <c r="E352" s="38"/>
    </row>
    <row r="353">
      <c r="E353" s="38"/>
    </row>
    <row r="354">
      <c r="E354" s="38"/>
    </row>
    <row r="355">
      <c r="E355" s="38"/>
    </row>
    <row r="356">
      <c r="E356" s="38"/>
    </row>
    <row r="357">
      <c r="E357" s="38"/>
    </row>
    <row r="358">
      <c r="E358" s="38"/>
    </row>
    <row r="359">
      <c r="E359" s="38"/>
    </row>
    <row r="360">
      <c r="E360" s="38"/>
    </row>
    <row r="361">
      <c r="E361" s="38"/>
    </row>
    <row r="362">
      <c r="E362" s="38"/>
    </row>
    <row r="363">
      <c r="E363" s="38"/>
    </row>
    <row r="364">
      <c r="E364" s="38"/>
    </row>
    <row r="365">
      <c r="E365" s="38"/>
    </row>
    <row r="366">
      <c r="E366" s="38"/>
    </row>
    <row r="367">
      <c r="E367" s="38"/>
    </row>
    <row r="368">
      <c r="E368" s="38"/>
    </row>
    <row r="369">
      <c r="E369" s="38"/>
    </row>
    <row r="370">
      <c r="E370" s="38"/>
    </row>
    <row r="371">
      <c r="E371" s="38"/>
    </row>
    <row r="372">
      <c r="E372" s="38"/>
    </row>
    <row r="373">
      <c r="E373" s="38"/>
    </row>
    <row r="374">
      <c r="E374" s="38"/>
    </row>
    <row r="375">
      <c r="E375" s="38"/>
    </row>
    <row r="376">
      <c r="E376" s="38"/>
    </row>
    <row r="377">
      <c r="E377" s="38"/>
    </row>
    <row r="378">
      <c r="E378" s="38"/>
    </row>
    <row r="379">
      <c r="E379" s="38"/>
    </row>
    <row r="380">
      <c r="E380" s="38"/>
    </row>
    <row r="381">
      <c r="E381" s="38"/>
    </row>
    <row r="382">
      <c r="E382" s="38"/>
    </row>
    <row r="383">
      <c r="E383" s="38"/>
    </row>
    <row r="384">
      <c r="E384" s="38"/>
    </row>
    <row r="385">
      <c r="E385" s="38"/>
    </row>
    <row r="386">
      <c r="E386" s="38"/>
    </row>
    <row r="387">
      <c r="E387" s="38"/>
    </row>
    <row r="388">
      <c r="E388" s="38"/>
    </row>
    <row r="389">
      <c r="E389" s="38"/>
    </row>
    <row r="390">
      <c r="E390" s="38"/>
    </row>
    <row r="391">
      <c r="E391" s="38"/>
    </row>
    <row r="392">
      <c r="E392" s="38"/>
    </row>
    <row r="393">
      <c r="E393" s="38"/>
    </row>
    <row r="394">
      <c r="E394" s="38"/>
    </row>
    <row r="395">
      <c r="E395" s="38"/>
    </row>
    <row r="396">
      <c r="E396" s="38"/>
    </row>
    <row r="397">
      <c r="E397" s="38"/>
    </row>
    <row r="398">
      <c r="E398" s="38"/>
    </row>
    <row r="399">
      <c r="E399" s="38"/>
    </row>
    <row r="400">
      <c r="E400" s="38"/>
    </row>
    <row r="401">
      <c r="E401" s="38"/>
    </row>
    <row r="402">
      <c r="E402" s="38"/>
    </row>
    <row r="403">
      <c r="E403" s="38"/>
    </row>
    <row r="404">
      <c r="E404" s="38"/>
    </row>
    <row r="405">
      <c r="E405" s="38"/>
    </row>
    <row r="406">
      <c r="E406" s="38"/>
    </row>
    <row r="407">
      <c r="E407" s="38"/>
    </row>
    <row r="408">
      <c r="E408" s="38"/>
    </row>
    <row r="409">
      <c r="E409" s="38"/>
    </row>
    <row r="410">
      <c r="E410" s="38"/>
    </row>
    <row r="411">
      <c r="E411" s="38"/>
    </row>
    <row r="412">
      <c r="E412" s="38"/>
    </row>
    <row r="413">
      <c r="E413" s="38"/>
    </row>
    <row r="414">
      <c r="E414" s="38"/>
    </row>
    <row r="415">
      <c r="E415" s="38"/>
    </row>
    <row r="416">
      <c r="E416" s="38"/>
    </row>
    <row r="417">
      <c r="E417" s="38"/>
    </row>
    <row r="418">
      <c r="E418" s="38"/>
    </row>
    <row r="419">
      <c r="E419" s="38"/>
    </row>
    <row r="420">
      <c r="E420" s="38"/>
    </row>
    <row r="421">
      <c r="E421" s="38"/>
    </row>
    <row r="422">
      <c r="E422" s="38"/>
    </row>
    <row r="423">
      <c r="E423" s="38"/>
    </row>
    <row r="424">
      <c r="E424" s="38"/>
    </row>
    <row r="425">
      <c r="E425" s="38"/>
    </row>
    <row r="426">
      <c r="E426" s="38"/>
    </row>
    <row r="427">
      <c r="E427" s="38"/>
    </row>
    <row r="428">
      <c r="E428" s="38"/>
    </row>
    <row r="429">
      <c r="E429" s="38"/>
    </row>
    <row r="430">
      <c r="E430" s="38"/>
    </row>
    <row r="431">
      <c r="E431" s="38"/>
    </row>
    <row r="432">
      <c r="E432" s="38"/>
    </row>
    <row r="433">
      <c r="E433" s="38"/>
    </row>
    <row r="434">
      <c r="E434" s="38"/>
    </row>
    <row r="435">
      <c r="E435" s="38"/>
    </row>
    <row r="436">
      <c r="E436" s="38"/>
    </row>
    <row r="437">
      <c r="E437" s="38"/>
    </row>
    <row r="438">
      <c r="E438" s="38"/>
    </row>
    <row r="439">
      <c r="E439" s="38"/>
    </row>
    <row r="440">
      <c r="E440" s="38"/>
    </row>
    <row r="441">
      <c r="E441" s="38"/>
    </row>
    <row r="442">
      <c r="E442" s="38"/>
    </row>
    <row r="443">
      <c r="E443" s="38"/>
    </row>
    <row r="444">
      <c r="E444" s="38"/>
    </row>
    <row r="445">
      <c r="E445" s="38"/>
    </row>
    <row r="446">
      <c r="E446" s="38"/>
    </row>
    <row r="447">
      <c r="E447" s="38"/>
    </row>
    <row r="448">
      <c r="E448" s="38"/>
    </row>
    <row r="449">
      <c r="E449" s="38"/>
    </row>
    <row r="450">
      <c r="E450" s="38"/>
    </row>
    <row r="451">
      <c r="E451" s="38"/>
    </row>
    <row r="452">
      <c r="E452" s="38"/>
    </row>
    <row r="453">
      <c r="E453" s="38"/>
    </row>
    <row r="454">
      <c r="E454" s="38"/>
    </row>
    <row r="455">
      <c r="E455" s="38"/>
    </row>
    <row r="456">
      <c r="E456" s="38"/>
    </row>
    <row r="457">
      <c r="E457" s="38"/>
    </row>
    <row r="458">
      <c r="E458" s="38"/>
    </row>
    <row r="459">
      <c r="E459" s="38"/>
    </row>
    <row r="460">
      <c r="E460" s="38"/>
    </row>
    <row r="461">
      <c r="E461" s="38"/>
    </row>
    <row r="462">
      <c r="E462" s="38"/>
    </row>
    <row r="463">
      <c r="E463" s="38"/>
    </row>
    <row r="464">
      <c r="E464" s="38"/>
    </row>
    <row r="465">
      <c r="E465" s="38"/>
    </row>
    <row r="466">
      <c r="E466" s="38"/>
    </row>
    <row r="467">
      <c r="E467" s="38"/>
    </row>
    <row r="468">
      <c r="E468" s="38"/>
    </row>
    <row r="469">
      <c r="E469" s="38"/>
    </row>
    <row r="470">
      <c r="E470" s="38"/>
    </row>
    <row r="471">
      <c r="E471" s="38"/>
    </row>
    <row r="472">
      <c r="E472" s="38"/>
    </row>
    <row r="473">
      <c r="E473" s="38"/>
    </row>
    <row r="474">
      <c r="E474" s="38"/>
    </row>
    <row r="475">
      <c r="E475" s="38"/>
    </row>
    <row r="476">
      <c r="E476" s="38"/>
    </row>
    <row r="477">
      <c r="E477" s="38"/>
    </row>
    <row r="478">
      <c r="E478" s="38"/>
    </row>
    <row r="479">
      <c r="E479" s="38"/>
    </row>
    <row r="480">
      <c r="E480" s="38"/>
    </row>
    <row r="481">
      <c r="E481" s="38"/>
    </row>
    <row r="482">
      <c r="E482" s="38"/>
    </row>
    <row r="483">
      <c r="E483" s="38"/>
    </row>
    <row r="484">
      <c r="E484" s="38"/>
    </row>
    <row r="485">
      <c r="E485" s="38"/>
    </row>
    <row r="486">
      <c r="E486" s="38"/>
    </row>
    <row r="487">
      <c r="E487" s="38"/>
    </row>
    <row r="488">
      <c r="E488" s="38"/>
    </row>
    <row r="489">
      <c r="E489" s="38"/>
    </row>
    <row r="490">
      <c r="E490" s="38"/>
    </row>
    <row r="491">
      <c r="E491" s="38"/>
    </row>
    <row r="492">
      <c r="E492" s="38"/>
    </row>
    <row r="493">
      <c r="E493" s="38"/>
    </row>
    <row r="494">
      <c r="E494" s="38"/>
    </row>
    <row r="495">
      <c r="E495" s="38"/>
    </row>
    <row r="496">
      <c r="E496" s="38"/>
    </row>
    <row r="497">
      <c r="E497" s="38"/>
    </row>
    <row r="498">
      <c r="E498" s="38"/>
    </row>
    <row r="499">
      <c r="E499" s="38"/>
    </row>
    <row r="500">
      <c r="E500" s="38"/>
    </row>
    <row r="501">
      <c r="E501" s="38"/>
    </row>
    <row r="502">
      <c r="E502" s="38"/>
    </row>
    <row r="503">
      <c r="E503" s="38"/>
    </row>
    <row r="504">
      <c r="E504" s="38"/>
    </row>
    <row r="505">
      <c r="E505" s="38"/>
    </row>
    <row r="506">
      <c r="E506" s="38"/>
    </row>
    <row r="507">
      <c r="E507" s="38"/>
    </row>
    <row r="508">
      <c r="E508" s="38"/>
    </row>
    <row r="509">
      <c r="E509" s="38"/>
    </row>
    <row r="510">
      <c r="E510" s="38"/>
    </row>
    <row r="511">
      <c r="E511" s="38"/>
    </row>
    <row r="512">
      <c r="E512" s="38"/>
    </row>
    <row r="513">
      <c r="E513" s="38"/>
    </row>
    <row r="514">
      <c r="E514" s="38"/>
    </row>
    <row r="515">
      <c r="E515" s="38"/>
    </row>
    <row r="516">
      <c r="E516" s="38"/>
    </row>
    <row r="517">
      <c r="E517" s="38"/>
    </row>
    <row r="518">
      <c r="E518" s="38"/>
    </row>
    <row r="519">
      <c r="E519" s="38"/>
    </row>
    <row r="520">
      <c r="E520" s="38"/>
    </row>
    <row r="521">
      <c r="E521" s="38"/>
    </row>
    <row r="522">
      <c r="E522" s="38"/>
    </row>
    <row r="523">
      <c r="E523" s="38"/>
    </row>
    <row r="524">
      <c r="E524" s="38"/>
    </row>
    <row r="525">
      <c r="E525" s="38"/>
    </row>
    <row r="526">
      <c r="E526" s="38"/>
    </row>
    <row r="527">
      <c r="E527" s="38"/>
    </row>
    <row r="528">
      <c r="E528" s="38"/>
    </row>
    <row r="529">
      <c r="E529" s="38"/>
    </row>
    <row r="530">
      <c r="E530" s="38"/>
    </row>
    <row r="531">
      <c r="E531" s="38"/>
    </row>
    <row r="532">
      <c r="E532" s="38"/>
    </row>
    <row r="533">
      <c r="E533" s="38"/>
    </row>
    <row r="534">
      <c r="E534" s="38"/>
    </row>
    <row r="535">
      <c r="E535" s="38"/>
    </row>
    <row r="536">
      <c r="E536" s="38"/>
    </row>
    <row r="537">
      <c r="E537" s="38"/>
    </row>
    <row r="538">
      <c r="E538" s="38"/>
    </row>
    <row r="539">
      <c r="E539" s="38"/>
    </row>
    <row r="540">
      <c r="E540" s="38"/>
    </row>
    <row r="541">
      <c r="E541" s="38"/>
    </row>
    <row r="542">
      <c r="E542" s="38"/>
    </row>
    <row r="543">
      <c r="E543" s="38"/>
    </row>
    <row r="544">
      <c r="E544" s="38"/>
    </row>
    <row r="545">
      <c r="E545" s="38"/>
    </row>
    <row r="546">
      <c r="E546" s="38"/>
    </row>
    <row r="547">
      <c r="E547" s="38"/>
    </row>
    <row r="548">
      <c r="E548" s="38"/>
    </row>
    <row r="549">
      <c r="E549" s="38"/>
    </row>
    <row r="550">
      <c r="E550" s="38"/>
    </row>
    <row r="551">
      <c r="E551" s="38"/>
    </row>
    <row r="552">
      <c r="E552" s="38"/>
    </row>
    <row r="553">
      <c r="E553" s="38"/>
    </row>
    <row r="554">
      <c r="E554" s="38"/>
    </row>
    <row r="555">
      <c r="E555" s="38"/>
    </row>
    <row r="556">
      <c r="E556" s="38"/>
    </row>
    <row r="557">
      <c r="E557" s="38"/>
    </row>
    <row r="558">
      <c r="E558" s="38"/>
    </row>
    <row r="559">
      <c r="E559" s="38"/>
    </row>
    <row r="560">
      <c r="E560" s="38"/>
    </row>
    <row r="561">
      <c r="E561" s="38"/>
    </row>
    <row r="562">
      <c r="E562" s="38"/>
    </row>
    <row r="563">
      <c r="E563" s="38"/>
    </row>
    <row r="564">
      <c r="E564" s="38"/>
    </row>
    <row r="565">
      <c r="E565" s="38"/>
    </row>
    <row r="566">
      <c r="E566" s="38"/>
    </row>
    <row r="567">
      <c r="E567" s="38"/>
    </row>
    <row r="568">
      <c r="E568" s="38"/>
    </row>
    <row r="569">
      <c r="E569" s="38"/>
    </row>
    <row r="570">
      <c r="E570" s="38"/>
    </row>
    <row r="571">
      <c r="E571" s="38"/>
    </row>
    <row r="572">
      <c r="E572" s="38"/>
    </row>
    <row r="573">
      <c r="E573" s="38"/>
    </row>
    <row r="574">
      <c r="E574" s="38"/>
    </row>
    <row r="575">
      <c r="E575" s="38"/>
    </row>
    <row r="576">
      <c r="E576" s="38"/>
    </row>
    <row r="577">
      <c r="E577" s="38"/>
    </row>
    <row r="578">
      <c r="E578" s="38"/>
    </row>
    <row r="579">
      <c r="E579" s="38"/>
    </row>
    <row r="580">
      <c r="E580" s="38"/>
    </row>
    <row r="581">
      <c r="E581" s="38"/>
    </row>
    <row r="582">
      <c r="E582" s="38"/>
    </row>
    <row r="583">
      <c r="E583" s="38"/>
    </row>
    <row r="584">
      <c r="E584" s="38"/>
    </row>
    <row r="585">
      <c r="E585" s="38"/>
    </row>
    <row r="586">
      <c r="E586" s="38"/>
    </row>
    <row r="587">
      <c r="E587" s="38"/>
    </row>
    <row r="588">
      <c r="E588" s="38"/>
    </row>
    <row r="589">
      <c r="E589" s="38"/>
    </row>
    <row r="590">
      <c r="E590" s="38"/>
    </row>
    <row r="591">
      <c r="E591" s="38"/>
    </row>
    <row r="592">
      <c r="E592" s="38"/>
    </row>
    <row r="593">
      <c r="E593" s="38"/>
    </row>
    <row r="594">
      <c r="E594" s="38"/>
    </row>
    <row r="595">
      <c r="E595" s="38"/>
    </row>
    <row r="596">
      <c r="E596" s="38"/>
    </row>
    <row r="597">
      <c r="E597" s="38"/>
    </row>
    <row r="598">
      <c r="E598" s="38"/>
    </row>
    <row r="599">
      <c r="E599" s="38"/>
    </row>
    <row r="600">
      <c r="E600" s="38"/>
    </row>
    <row r="601">
      <c r="E601" s="38"/>
    </row>
    <row r="602">
      <c r="E602" s="38"/>
    </row>
    <row r="603">
      <c r="E603" s="38"/>
    </row>
    <row r="604">
      <c r="E604" s="38"/>
    </row>
    <row r="605">
      <c r="E605" s="38"/>
    </row>
    <row r="606">
      <c r="E606" s="38"/>
    </row>
    <row r="607">
      <c r="E607" s="38"/>
    </row>
    <row r="608">
      <c r="E608" s="38"/>
    </row>
    <row r="609">
      <c r="E609" s="38"/>
    </row>
    <row r="610">
      <c r="E610" s="38"/>
    </row>
    <row r="611">
      <c r="E611" s="38"/>
    </row>
    <row r="612">
      <c r="E612" s="38"/>
    </row>
    <row r="613">
      <c r="E613" s="38"/>
    </row>
    <row r="614">
      <c r="E614" s="38"/>
    </row>
    <row r="615">
      <c r="E615" s="38"/>
    </row>
    <row r="616">
      <c r="E616" s="38"/>
    </row>
    <row r="617">
      <c r="E617" s="38"/>
    </row>
    <row r="618">
      <c r="E618" s="38"/>
    </row>
    <row r="619">
      <c r="E619" s="38"/>
    </row>
    <row r="620">
      <c r="E620" s="38"/>
    </row>
    <row r="621">
      <c r="E621" s="38"/>
    </row>
    <row r="622">
      <c r="E622" s="38"/>
    </row>
    <row r="623">
      <c r="E623" s="38"/>
    </row>
    <row r="624">
      <c r="E624" s="38"/>
    </row>
    <row r="625">
      <c r="E625" s="38"/>
    </row>
    <row r="626">
      <c r="E626" s="38"/>
    </row>
    <row r="627">
      <c r="E627" s="38"/>
    </row>
    <row r="628">
      <c r="E628" s="38"/>
    </row>
    <row r="629">
      <c r="E629" s="38"/>
    </row>
    <row r="630">
      <c r="E630" s="38"/>
    </row>
    <row r="631">
      <c r="E631" s="38"/>
    </row>
    <row r="632">
      <c r="E632" s="38"/>
    </row>
    <row r="633">
      <c r="E633" s="38"/>
    </row>
    <row r="634">
      <c r="E634" s="38"/>
    </row>
    <row r="635">
      <c r="E635" s="38"/>
    </row>
    <row r="636">
      <c r="E636" s="38"/>
    </row>
    <row r="637">
      <c r="E637" s="38"/>
    </row>
    <row r="638">
      <c r="E638" s="38"/>
    </row>
    <row r="639">
      <c r="E639" s="38"/>
    </row>
    <row r="640">
      <c r="E640" s="38"/>
    </row>
    <row r="641">
      <c r="E641" s="38"/>
    </row>
    <row r="642">
      <c r="E642" s="38"/>
    </row>
    <row r="643">
      <c r="E643" s="38"/>
    </row>
    <row r="644">
      <c r="E644" s="38"/>
    </row>
    <row r="645">
      <c r="E645" s="38"/>
    </row>
    <row r="646">
      <c r="E646" s="38"/>
    </row>
    <row r="647">
      <c r="E647" s="38"/>
    </row>
    <row r="648">
      <c r="E648" s="38"/>
    </row>
    <row r="649">
      <c r="E649" s="38"/>
    </row>
    <row r="650">
      <c r="E650" s="38"/>
    </row>
    <row r="651">
      <c r="E651" s="38"/>
    </row>
    <row r="652">
      <c r="E652" s="38"/>
    </row>
    <row r="653">
      <c r="E653" s="38"/>
    </row>
    <row r="654">
      <c r="E654" s="38"/>
    </row>
    <row r="655">
      <c r="E655" s="38"/>
    </row>
    <row r="656">
      <c r="E656" s="38"/>
    </row>
    <row r="657">
      <c r="E657" s="38"/>
    </row>
    <row r="658">
      <c r="E658" s="38"/>
    </row>
    <row r="659">
      <c r="E659" s="38"/>
    </row>
    <row r="660">
      <c r="E660" s="38"/>
    </row>
    <row r="661">
      <c r="E661" s="38"/>
    </row>
    <row r="662">
      <c r="E662" s="38"/>
    </row>
    <row r="663">
      <c r="E663" s="38"/>
    </row>
    <row r="664">
      <c r="E664" s="38"/>
    </row>
    <row r="665">
      <c r="E665" s="38"/>
    </row>
    <row r="666">
      <c r="E666" s="38"/>
    </row>
    <row r="667">
      <c r="E667" s="38"/>
    </row>
    <row r="668">
      <c r="E668" s="38"/>
    </row>
    <row r="669">
      <c r="E669" s="38"/>
    </row>
    <row r="670">
      <c r="E670" s="38"/>
    </row>
    <row r="671">
      <c r="E671" s="38"/>
    </row>
    <row r="672">
      <c r="E672" s="38"/>
    </row>
    <row r="673">
      <c r="E673" s="38"/>
    </row>
    <row r="674">
      <c r="E674" s="38"/>
    </row>
    <row r="675">
      <c r="E675" s="38"/>
    </row>
    <row r="676">
      <c r="E676" s="38"/>
    </row>
    <row r="677">
      <c r="E677" s="38"/>
    </row>
    <row r="678">
      <c r="E678" s="38"/>
    </row>
    <row r="679">
      <c r="E679" s="38"/>
    </row>
    <row r="680">
      <c r="E680" s="38"/>
    </row>
    <row r="681">
      <c r="E681" s="38"/>
    </row>
    <row r="682">
      <c r="E682" s="38"/>
    </row>
    <row r="683">
      <c r="E683" s="38"/>
    </row>
    <row r="684">
      <c r="E684" s="38"/>
    </row>
    <row r="685">
      <c r="E685" s="38"/>
    </row>
    <row r="686">
      <c r="E686" s="38"/>
    </row>
    <row r="687">
      <c r="E687" s="38"/>
    </row>
    <row r="688">
      <c r="E688" s="38"/>
    </row>
    <row r="689">
      <c r="E689" s="38"/>
    </row>
    <row r="690">
      <c r="E690" s="38"/>
    </row>
    <row r="691">
      <c r="E691" s="38"/>
    </row>
    <row r="692">
      <c r="E692" s="38"/>
    </row>
    <row r="693">
      <c r="E693" s="38"/>
    </row>
    <row r="694">
      <c r="E694" s="38"/>
    </row>
    <row r="695">
      <c r="E695" s="38"/>
    </row>
    <row r="696">
      <c r="E696" s="38"/>
    </row>
    <row r="697">
      <c r="E697" s="38"/>
    </row>
    <row r="698">
      <c r="E698" s="38"/>
    </row>
    <row r="699">
      <c r="E699" s="38"/>
    </row>
    <row r="700">
      <c r="E700" s="38"/>
    </row>
    <row r="701">
      <c r="E701" s="38"/>
    </row>
    <row r="702">
      <c r="E702" s="38"/>
    </row>
    <row r="703">
      <c r="E703" s="38"/>
    </row>
    <row r="704">
      <c r="E704" s="38"/>
    </row>
    <row r="705">
      <c r="E705" s="38"/>
    </row>
    <row r="706">
      <c r="E706" s="38"/>
    </row>
    <row r="707">
      <c r="E707" s="38"/>
    </row>
    <row r="708">
      <c r="E708" s="38"/>
    </row>
    <row r="709">
      <c r="E709" s="38"/>
    </row>
    <row r="710">
      <c r="E710" s="38"/>
    </row>
    <row r="711">
      <c r="E711" s="38"/>
    </row>
    <row r="712">
      <c r="E712" s="38"/>
    </row>
    <row r="713">
      <c r="E713" s="38"/>
    </row>
    <row r="714">
      <c r="E714" s="38"/>
    </row>
    <row r="715">
      <c r="E715" s="38"/>
    </row>
    <row r="716">
      <c r="E716" s="38"/>
    </row>
    <row r="717">
      <c r="E717" s="38"/>
    </row>
    <row r="718">
      <c r="E718" s="38"/>
    </row>
    <row r="719">
      <c r="E719" s="38"/>
    </row>
    <row r="720">
      <c r="E720" s="38"/>
    </row>
    <row r="721">
      <c r="E721" s="38"/>
    </row>
    <row r="722">
      <c r="E722" s="38"/>
    </row>
    <row r="723">
      <c r="E723" s="38"/>
    </row>
    <row r="724">
      <c r="E724" s="38"/>
    </row>
    <row r="725">
      <c r="E725" s="38"/>
    </row>
    <row r="726">
      <c r="E726" s="38"/>
    </row>
    <row r="727">
      <c r="E727" s="38"/>
    </row>
    <row r="728">
      <c r="E728" s="38"/>
    </row>
    <row r="729">
      <c r="E729" s="38"/>
    </row>
    <row r="730">
      <c r="E730" s="38"/>
    </row>
    <row r="731">
      <c r="E731" s="38"/>
    </row>
    <row r="732">
      <c r="E732" s="38"/>
    </row>
    <row r="733">
      <c r="E733" s="38"/>
    </row>
    <row r="734">
      <c r="E734" s="38"/>
    </row>
    <row r="735">
      <c r="E735" s="38"/>
    </row>
    <row r="736">
      <c r="E736" s="38"/>
    </row>
    <row r="737">
      <c r="E737" s="38"/>
    </row>
    <row r="738">
      <c r="E738" s="38"/>
    </row>
    <row r="739">
      <c r="E739" s="38"/>
    </row>
    <row r="740">
      <c r="E740" s="38"/>
    </row>
    <row r="741">
      <c r="E741" s="38"/>
    </row>
    <row r="742">
      <c r="E742" s="38"/>
    </row>
    <row r="743">
      <c r="E743" s="38"/>
    </row>
    <row r="744">
      <c r="E744" s="38"/>
    </row>
    <row r="745">
      <c r="E745" s="38"/>
    </row>
    <row r="746">
      <c r="E746" s="38"/>
    </row>
    <row r="747">
      <c r="E747" s="38"/>
    </row>
    <row r="748">
      <c r="E748" s="38"/>
    </row>
    <row r="749">
      <c r="E749" s="38"/>
    </row>
    <row r="750">
      <c r="E750" s="38"/>
    </row>
    <row r="751">
      <c r="E751" s="38"/>
    </row>
    <row r="752">
      <c r="E752" s="38"/>
    </row>
    <row r="753">
      <c r="E753" s="38"/>
    </row>
    <row r="754">
      <c r="E754" s="38"/>
    </row>
    <row r="755">
      <c r="E755" s="38"/>
    </row>
    <row r="756">
      <c r="E756" s="38"/>
    </row>
    <row r="757">
      <c r="E757" s="38"/>
    </row>
    <row r="758">
      <c r="E758" s="38"/>
    </row>
    <row r="759">
      <c r="E759" s="38"/>
    </row>
    <row r="760">
      <c r="E760" s="38"/>
    </row>
    <row r="761">
      <c r="E761" s="38"/>
    </row>
    <row r="762">
      <c r="E762" s="38"/>
    </row>
    <row r="763">
      <c r="E763" s="38"/>
    </row>
    <row r="764">
      <c r="E764" s="38"/>
    </row>
    <row r="765">
      <c r="E765" s="38"/>
    </row>
    <row r="766">
      <c r="E766" s="38"/>
    </row>
    <row r="767">
      <c r="E767" s="38"/>
    </row>
    <row r="768">
      <c r="E768" s="38"/>
    </row>
    <row r="769">
      <c r="E769" s="38"/>
    </row>
    <row r="770">
      <c r="E770" s="38"/>
    </row>
    <row r="771">
      <c r="E771" s="38"/>
    </row>
    <row r="772">
      <c r="E772" s="38"/>
    </row>
    <row r="773">
      <c r="E773" s="38"/>
    </row>
    <row r="774">
      <c r="E774" s="38"/>
    </row>
    <row r="775">
      <c r="E775" s="38"/>
    </row>
    <row r="776">
      <c r="E776" s="38"/>
    </row>
    <row r="777">
      <c r="E777" s="38"/>
    </row>
    <row r="778">
      <c r="E778" s="38"/>
    </row>
    <row r="779">
      <c r="E779" s="38"/>
    </row>
    <row r="780">
      <c r="E780" s="38"/>
    </row>
    <row r="781">
      <c r="E781" s="38"/>
    </row>
    <row r="782">
      <c r="E782" s="38"/>
    </row>
    <row r="783">
      <c r="E783" s="38"/>
    </row>
    <row r="784">
      <c r="E784" s="38"/>
    </row>
    <row r="785">
      <c r="E785" s="38"/>
    </row>
    <row r="786">
      <c r="E786" s="38"/>
    </row>
    <row r="787">
      <c r="E787" s="38"/>
    </row>
    <row r="788">
      <c r="E788" s="38"/>
    </row>
    <row r="789">
      <c r="E789" s="38"/>
    </row>
    <row r="790">
      <c r="E790" s="38"/>
    </row>
    <row r="791">
      <c r="E791" s="38"/>
    </row>
    <row r="792">
      <c r="E792" s="38"/>
    </row>
    <row r="793">
      <c r="E793" s="38"/>
    </row>
    <row r="794">
      <c r="E794" s="38"/>
    </row>
    <row r="795">
      <c r="E795" s="38"/>
    </row>
    <row r="796">
      <c r="E796" s="38"/>
    </row>
    <row r="797">
      <c r="E797" s="38"/>
    </row>
    <row r="798">
      <c r="E798" s="38"/>
    </row>
    <row r="799">
      <c r="E799" s="38"/>
    </row>
    <row r="800">
      <c r="E800" s="38"/>
    </row>
    <row r="801">
      <c r="E801" s="38"/>
    </row>
    <row r="802">
      <c r="E802" s="38"/>
    </row>
    <row r="803">
      <c r="E803" s="38"/>
    </row>
    <row r="804">
      <c r="E804" s="38"/>
    </row>
    <row r="805">
      <c r="E805" s="38"/>
    </row>
    <row r="806">
      <c r="E806" s="38"/>
    </row>
    <row r="807">
      <c r="E807" s="38"/>
    </row>
    <row r="808">
      <c r="E808" s="38"/>
    </row>
    <row r="809">
      <c r="E809" s="38"/>
    </row>
    <row r="810">
      <c r="E810" s="38"/>
    </row>
    <row r="811">
      <c r="E811" s="38"/>
    </row>
    <row r="812">
      <c r="E812" s="38"/>
    </row>
    <row r="813">
      <c r="E813" s="38"/>
    </row>
    <row r="814">
      <c r="E814" s="38"/>
    </row>
    <row r="815">
      <c r="E815" s="38"/>
    </row>
    <row r="816">
      <c r="E816" s="38"/>
    </row>
    <row r="817">
      <c r="E817" s="38"/>
    </row>
    <row r="818">
      <c r="E818" s="38"/>
    </row>
    <row r="819">
      <c r="E819" s="38"/>
    </row>
    <row r="820">
      <c r="E820" s="38"/>
    </row>
    <row r="821">
      <c r="E821" s="38"/>
    </row>
    <row r="822">
      <c r="E822" s="38"/>
    </row>
    <row r="823">
      <c r="E823" s="38"/>
    </row>
    <row r="824">
      <c r="E824" s="38"/>
    </row>
    <row r="825">
      <c r="E825" s="38"/>
    </row>
    <row r="826">
      <c r="E826" s="38"/>
    </row>
    <row r="827">
      <c r="E827" s="38"/>
    </row>
    <row r="828">
      <c r="E828" s="38"/>
    </row>
    <row r="829">
      <c r="E829" s="38"/>
    </row>
    <row r="830">
      <c r="E830" s="38"/>
    </row>
    <row r="831">
      <c r="E831" s="38"/>
    </row>
    <row r="832">
      <c r="E832" s="38"/>
    </row>
    <row r="833">
      <c r="E833" s="38"/>
    </row>
    <row r="834">
      <c r="E834" s="38"/>
    </row>
    <row r="835">
      <c r="E835" s="38"/>
    </row>
    <row r="836">
      <c r="E836" s="38"/>
    </row>
    <row r="837">
      <c r="E837" s="38"/>
    </row>
    <row r="838">
      <c r="E838" s="38"/>
    </row>
    <row r="839">
      <c r="E839" s="38"/>
    </row>
    <row r="840">
      <c r="E840" s="38"/>
    </row>
    <row r="841">
      <c r="E841" s="38"/>
    </row>
    <row r="842">
      <c r="E842" s="38"/>
    </row>
    <row r="843">
      <c r="E843" s="38"/>
    </row>
    <row r="844">
      <c r="E844" s="38"/>
    </row>
    <row r="845">
      <c r="E845" s="38"/>
    </row>
    <row r="846">
      <c r="E846" s="38"/>
    </row>
    <row r="847">
      <c r="E847" s="38"/>
    </row>
    <row r="848">
      <c r="E848" s="38"/>
    </row>
    <row r="849">
      <c r="E849" s="38"/>
    </row>
    <row r="850">
      <c r="E850" s="38"/>
    </row>
    <row r="851">
      <c r="E851" s="38"/>
    </row>
    <row r="852">
      <c r="E852" s="38"/>
    </row>
    <row r="853">
      <c r="E853" s="38"/>
    </row>
    <row r="854">
      <c r="E854" s="38"/>
    </row>
    <row r="855">
      <c r="E855" s="38"/>
    </row>
    <row r="856">
      <c r="E856" s="38"/>
    </row>
    <row r="857">
      <c r="E857" s="38"/>
    </row>
    <row r="858">
      <c r="E858" s="38"/>
    </row>
    <row r="859">
      <c r="E859" s="38"/>
    </row>
    <row r="860">
      <c r="E860" s="38"/>
    </row>
    <row r="861">
      <c r="E861" s="38"/>
    </row>
    <row r="862">
      <c r="E862" s="38"/>
    </row>
    <row r="863">
      <c r="E863" s="38"/>
    </row>
    <row r="864">
      <c r="E864" s="38"/>
    </row>
    <row r="865">
      <c r="E865" s="38"/>
    </row>
    <row r="866">
      <c r="E866" s="38"/>
    </row>
    <row r="867">
      <c r="E867" s="38"/>
    </row>
    <row r="868">
      <c r="E868" s="38"/>
    </row>
    <row r="869">
      <c r="E869" s="38"/>
    </row>
    <row r="870">
      <c r="E870" s="38"/>
    </row>
    <row r="871">
      <c r="E871" s="38"/>
    </row>
    <row r="872">
      <c r="E872" s="38"/>
    </row>
    <row r="873">
      <c r="E873" s="38"/>
    </row>
    <row r="874">
      <c r="E874" s="38"/>
    </row>
    <row r="875">
      <c r="E875" s="38"/>
    </row>
    <row r="876">
      <c r="E876" s="38"/>
    </row>
    <row r="877">
      <c r="E877" s="38"/>
    </row>
    <row r="878">
      <c r="E878" s="38"/>
    </row>
    <row r="879">
      <c r="E879" s="38"/>
    </row>
    <row r="880">
      <c r="E880" s="38"/>
    </row>
    <row r="881">
      <c r="E881" s="38"/>
    </row>
    <row r="882">
      <c r="E882" s="38"/>
    </row>
    <row r="883">
      <c r="E883" s="38"/>
    </row>
    <row r="884">
      <c r="E884" s="38"/>
    </row>
    <row r="885">
      <c r="E885" s="38"/>
    </row>
    <row r="886">
      <c r="E886" s="38"/>
    </row>
    <row r="887">
      <c r="E887" s="38"/>
    </row>
    <row r="888">
      <c r="E888" s="38"/>
    </row>
    <row r="889">
      <c r="E889" s="38"/>
    </row>
    <row r="890">
      <c r="E890" s="38"/>
    </row>
    <row r="891">
      <c r="E891" s="38"/>
    </row>
    <row r="892">
      <c r="E892" s="38"/>
    </row>
    <row r="893">
      <c r="E893" s="38"/>
    </row>
    <row r="894">
      <c r="E894" s="38"/>
    </row>
    <row r="895">
      <c r="E895" s="38"/>
    </row>
    <row r="896">
      <c r="E896" s="38"/>
    </row>
    <row r="897">
      <c r="E897" s="38"/>
    </row>
    <row r="898">
      <c r="E898" s="38"/>
    </row>
    <row r="899">
      <c r="E899" s="38"/>
    </row>
    <row r="900">
      <c r="E900" s="38"/>
    </row>
    <row r="901">
      <c r="E901" s="38"/>
    </row>
    <row r="902">
      <c r="E902" s="38"/>
    </row>
    <row r="903">
      <c r="E903" s="38"/>
    </row>
    <row r="904">
      <c r="E904" s="38"/>
    </row>
    <row r="905">
      <c r="E905" s="38"/>
    </row>
    <row r="906">
      <c r="E906" s="38"/>
    </row>
    <row r="907">
      <c r="E907" s="38"/>
    </row>
    <row r="908">
      <c r="E908" s="38"/>
    </row>
    <row r="909">
      <c r="E909" s="38"/>
    </row>
    <row r="910">
      <c r="E910" s="38"/>
    </row>
    <row r="911">
      <c r="E911" s="38"/>
    </row>
    <row r="912">
      <c r="E912" s="38"/>
    </row>
    <row r="913">
      <c r="E913" s="38"/>
    </row>
    <row r="914">
      <c r="E914" s="38"/>
    </row>
    <row r="915">
      <c r="E915" s="38"/>
    </row>
    <row r="916">
      <c r="E916" s="38"/>
    </row>
    <row r="917">
      <c r="E917" s="38"/>
    </row>
    <row r="918">
      <c r="E918" s="38"/>
    </row>
    <row r="919">
      <c r="E919" s="38"/>
    </row>
    <row r="920">
      <c r="E920" s="38"/>
    </row>
    <row r="921">
      <c r="E921" s="38"/>
    </row>
    <row r="922">
      <c r="E922" s="38"/>
    </row>
    <row r="923">
      <c r="E923" s="38"/>
    </row>
    <row r="924">
      <c r="E924" s="38"/>
    </row>
    <row r="925">
      <c r="E925" s="38"/>
    </row>
    <row r="926">
      <c r="E926" s="38"/>
    </row>
    <row r="927">
      <c r="E927" s="38"/>
    </row>
    <row r="928">
      <c r="E928" s="38"/>
    </row>
    <row r="929">
      <c r="E929" s="38"/>
    </row>
    <row r="930">
      <c r="E930" s="38"/>
    </row>
    <row r="931">
      <c r="E931" s="38"/>
    </row>
    <row r="932">
      <c r="E932" s="38"/>
    </row>
    <row r="933">
      <c r="E933" s="38"/>
    </row>
    <row r="934">
      <c r="E934" s="38"/>
    </row>
    <row r="935">
      <c r="E935" s="38"/>
    </row>
    <row r="936">
      <c r="E936" s="38"/>
    </row>
    <row r="937">
      <c r="E937" s="38"/>
    </row>
    <row r="938">
      <c r="E938" s="38"/>
    </row>
    <row r="939">
      <c r="E939" s="38"/>
    </row>
    <row r="940">
      <c r="E940" s="38"/>
    </row>
    <row r="941">
      <c r="E941" s="38"/>
    </row>
    <row r="942">
      <c r="E942" s="38"/>
    </row>
    <row r="943">
      <c r="E943" s="38"/>
    </row>
    <row r="944">
      <c r="E944" s="38"/>
    </row>
    <row r="945">
      <c r="E945" s="38"/>
    </row>
    <row r="946">
      <c r="E946" s="38"/>
    </row>
    <row r="947">
      <c r="E947" s="38"/>
    </row>
    <row r="948">
      <c r="E948" s="38"/>
    </row>
    <row r="949">
      <c r="E949" s="38"/>
    </row>
    <row r="950">
      <c r="E950" s="38"/>
    </row>
    <row r="951">
      <c r="E951" s="38"/>
    </row>
    <row r="952">
      <c r="E952" s="38"/>
    </row>
    <row r="953">
      <c r="E953" s="38"/>
    </row>
    <row r="954">
      <c r="E954" s="38"/>
    </row>
    <row r="955">
      <c r="E955" s="38"/>
    </row>
    <row r="956">
      <c r="E956" s="38"/>
    </row>
    <row r="957">
      <c r="E957" s="38"/>
    </row>
    <row r="958">
      <c r="E958" s="38"/>
    </row>
    <row r="959">
      <c r="E959" s="38"/>
    </row>
    <row r="960">
      <c r="E960" s="38"/>
    </row>
    <row r="961">
      <c r="E961" s="38"/>
    </row>
    <row r="962">
      <c r="E962" s="38"/>
    </row>
    <row r="963">
      <c r="E963" s="38"/>
    </row>
    <row r="964">
      <c r="E964" s="38"/>
    </row>
    <row r="965">
      <c r="E965" s="38"/>
    </row>
    <row r="966">
      <c r="E966" s="38"/>
    </row>
    <row r="967">
      <c r="E967" s="38"/>
    </row>
    <row r="968">
      <c r="E968" s="38"/>
    </row>
    <row r="969">
      <c r="E969" s="38"/>
    </row>
    <row r="970">
      <c r="E970" s="38"/>
    </row>
    <row r="971">
      <c r="E971" s="38"/>
    </row>
    <row r="972">
      <c r="E972" s="38"/>
    </row>
    <row r="973">
      <c r="E973" s="38"/>
    </row>
    <row r="974">
      <c r="E974" s="38"/>
    </row>
    <row r="975">
      <c r="E975" s="38"/>
    </row>
    <row r="976">
      <c r="E976" s="38"/>
    </row>
    <row r="977">
      <c r="E977" s="38"/>
    </row>
    <row r="978">
      <c r="E978" s="38"/>
    </row>
    <row r="979">
      <c r="E979" s="38"/>
    </row>
    <row r="980">
      <c r="E980" s="38"/>
    </row>
    <row r="981">
      <c r="E981" s="38"/>
    </row>
    <row r="982">
      <c r="E982" s="38"/>
    </row>
    <row r="983">
      <c r="E983" s="38"/>
    </row>
    <row r="984">
      <c r="E984" s="38"/>
    </row>
    <row r="985">
      <c r="E985" s="38"/>
    </row>
    <row r="986">
      <c r="E986" s="38"/>
    </row>
    <row r="987">
      <c r="E987" s="38"/>
    </row>
    <row r="988">
      <c r="E988" s="38"/>
    </row>
    <row r="989">
      <c r="E989" s="38"/>
    </row>
    <row r="990">
      <c r="E990" s="38"/>
    </row>
    <row r="991">
      <c r="E991" s="38"/>
    </row>
    <row r="992">
      <c r="E992" s="38"/>
    </row>
    <row r="993">
      <c r="E993" s="38"/>
    </row>
    <row r="994">
      <c r="E994" s="38"/>
    </row>
    <row r="995">
      <c r="E995" s="38"/>
    </row>
    <row r="996">
      <c r="E996" s="38"/>
    </row>
    <row r="997">
      <c r="E997" s="38"/>
    </row>
    <row r="998">
      <c r="E998" s="38"/>
    </row>
    <row r="999">
      <c r="E999" s="38"/>
    </row>
    <row r="1000">
      <c r="E1000" s="38"/>
    </row>
    <row r="1001">
      <c r="E1001" s="38"/>
    </row>
    <row r="1002">
      <c r="E1002" s="38"/>
    </row>
    <row r="1003">
      <c r="E1003" s="38"/>
    </row>
    <row r="1004">
      <c r="E1004" s="38"/>
    </row>
    <row r="1005">
      <c r="E1005" s="38"/>
    </row>
    <row r="1006">
      <c r="E1006" s="38"/>
    </row>
    <row r="1007">
      <c r="E1007" s="38"/>
    </row>
    <row r="1008">
      <c r="E1008" s="38"/>
    </row>
    <row r="1009">
      <c r="E1009" s="38"/>
    </row>
    <row r="1010">
      <c r="E1010" s="38"/>
    </row>
    <row r="1011">
      <c r="E1011" s="38"/>
    </row>
    <row r="1012">
      <c r="E1012" s="38"/>
    </row>
    <row r="1013">
      <c r="E1013" s="38"/>
    </row>
    <row r="1014">
      <c r="E1014" s="38"/>
    </row>
    <row r="1015">
      <c r="E1015" s="38"/>
    </row>
    <row r="1016">
      <c r="E1016" s="38"/>
    </row>
    <row r="1017">
      <c r="E1017" s="38"/>
    </row>
    <row r="1018">
      <c r="E1018" s="38"/>
    </row>
    <row r="1019">
      <c r="E1019" s="38"/>
    </row>
    <row r="1020">
      <c r="E1020" s="38"/>
    </row>
    <row r="1021">
      <c r="E1021" s="38"/>
    </row>
    <row r="1022">
      <c r="E1022" s="38"/>
    </row>
    <row r="1023">
      <c r="E1023" s="38"/>
    </row>
    <row r="1024">
      <c r="E1024" s="38"/>
    </row>
    <row r="1025">
      <c r="E1025" s="38"/>
    </row>
    <row r="1026">
      <c r="E1026" s="38"/>
    </row>
    <row r="1027">
      <c r="E1027" s="38"/>
    </row>
    <row r="1028">
      <c r="E1028" s="38"/>
    </row>
    <row r="1029">
      <c r="E1029" s="38"/>
    </row>
    <row r="1030">
      <c r="E1030" s="38"/>
    </row>
    <row r="1031">
      <c r="E1031" s="38"/>
    </row>
    <row r="1032">
      <c r="E1032" s="38"/>
    </row>
    <row r="1033">
      <c r="E1033" s="38"/>
    </row>
    <row r="1034">
      <c r="E1034" s="38"/>
    </row>
    <row r="1035">
      <c r="E1035" s="38"/>
    </row>
    <row r="1036">
      <c r="E1036" s="38"/>
    </row>
    <row r="1037">
      <c r="E1037" s="38"/>
    </row>
    <row r="1038">
      <c r="E1038" s="38"/>
    </row>
    <row r="1039">
      <c r="E1039" s="38"/>
    </row>
  </sheetData>
  <mergeCells count="1">
    <mergeCell ref="K13:L13"/>
  </mergeCells>
  <dataValidations>
    <dataValidation type="decimal" allowBlank="1" showDropDown="1" sqref="A31">
      <formula1>1.0</formula1>
      <formula2>99.0</formula2>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71"/>
    <col customWidth="1" min="2" max="2" width="17.29"/>
    <col customWidth="1" min="3" max="3" width="18.14"/>
    <col customWidth="1" min="4" max="4" width="14.71"/>
    <col customWidth="1" min="5" max="5" width="15.86"/>
    <col customWidth="1" min="6" max="6" width="13.71"/>
    <col customWidth="1" min="8" max="8" width="14.57"/>
    <col customWidth="1" min="9" max="9" width="8.29"/>
    <col customWidth="1" min="10" max="10" width="15.14"/>
    <col customWidth="1" min="13" max="14" width="18.14"/>
    <col customWidth="1" min="16" max="16" width="16.86"/>
    <col customWidth="1" min="17" max="17" width="15.29"/>
    <col customWidth="1" min="20" max="20" width="16.86"/>
  </cols>
  <sheetData>
    <row r="1">
      <c r="A1" s="101"/>
      <c r="C1" s="102">
        <v>0.9</v>
      </c>
      <c r="D1" s="103"/>
      <c r="E1" s="103"/>
      <c r="G1" s="104"/>
      <c r="I1" s="103"/>
      <c r="J1" s="167">
        <v>0.1</v>
      </c>
      <c r="K1" s="8"/>
      <c r="L1" s="8"/>
      <c r="M1" s="8"/>
    </row>
    <row r="2">
      <c r="A2" s="106"/>
      <c r="C2" s="106" t="s">
        <v>461</v>
      </c>
      <c r="D2" s="103"/>
      <c r="E2" s="103"/>
      <c r="G2" s="104"/>
      <c r="I2" s="103"/>
      <c r="J2" s="103"/>
      <c r="K2" s="8"/>
      <c r="L2" s="8"/>
      <c r="M2" s="8"/>
      <c r="O2" s="1" t="s">
        <v>462</v>
      </c>
      <c r="P2" s="1" t="s">
        <v>463</v>
      </c>
    </row>
    <row r="3">
      <c r="A3" s="107" t="s">
        <v>387</v>
      </c>
      <c r="B3" s="108" t="s">
        <v>388</v>
      </c>
      <c r="C3" s="109" t="s">
        <v>389</v>
      </c>
      <c r="D3" s="107" t="s">
        <v>394</v>
      </c>
      <c r="E3" s="107" t="s">
        <v>391</v>
      </c>
      <c r="F3" s="108"/>
      <c r="G3" s="110" t="s">
        <v>392</v>
      </c>
      <c r="H3" s="108" t="s">
        <v>388</v>
      </c>
      <c r="I3" s="111" t="s">
        <v>393</v>
      </c>
      <c r="J3" s="110" t="s">
        <v>394</v>
      </c>
      <c r="K3" s="110" t="s">
        <v>395</v>
      </c>
      <c r="L3" s="6"/>
      <c r="M3" s="6"/>
      <c r="N3" s="4">
        <v>0.0</v>
      </c>
      <c r="O3" s="51">
        <v>-30.0</v>
      </c>
      <c r="P3" s="6" t="s">
        <v>464</v>
      </c>
      <c r="Q3" s="4" t="s">
        <v>465</v>
      </c>
    </row>
    <row r="4">
      <c r="A4" s="25" t="s">
        <v>466</v>
      </c>
      <c r="B4" s="4">
        <v>0.0</v>
      </c>
      <c r="C4" s="114">
        <v>20.0</v>
      </c>
      <c r="D4" s="113">
        <f>C4/SUM(C4,C5,C6,C7,C8,C9,C10)</f>
        <v>0.2</v>
      </c>
      <c r="E4" s="114">
        <v>-15.0</v>
      </c>
      <c r="G4" s="115" t="s">
        <v>467</v>
      </c>
      <c r="H4" s="4">
        <v>0.0</v>
      </c>
      <c r="I4" s="117"/>
      <c r="J4" s="116" t="str">
        <f t="shared" ref="J4:J10" si="1">I4/SUM($I$4:$I$10)</f>
        <v>#DIV/0!</v>
      </c>
      <c r="K4" s="117">
        <v>0.0</v>
      </c>
      <c r="L4" s="6"/>
      <c r="M4" s="6"/>
      <c r="N4" s="4"/>
      <c r="O4" s="51">
        <v>-15.0</v>
      </c>
      <c r="P4" s="6" t="s">
        <v>468</v>
      </c>
      <c r="Q4" s="4" t="s">
        <v>469</v>
      </c>
    </row>
    <row r="5">
      <c r="A5" s="25" t="s">
        <v>39</v>
      </c>
      <c r="C5" s="114">
        <v>10.0</v>
      </c>
      <c r="D5" s="113">
        <f>C5/SUM(C4,C5,C6,C7,C8,C9,C10)</f>
        <v>0.1</v>
      </c>
      <c r="E5" s="114">
        <v>-15.0</v>
      </c>
      <c r="G5" s="115" t="s">
        <v>70</v>
      </c>
      <c r="I5" s="117"/>
      <c r="J5" s="116" t="str">
        <f t="shared" si="1"/>
        <v>#DIV/0!</v>
      </c>
      <c r="K5" s="117">
        <v>0.0</v>
      </c>
      <c r="L5" s="6"/>
      <c r="M5" s="6"/>
      <c r="N5" s="4"/>
      <c r="O5" s="6">
        <v>0.0</v>
      </c>
      <c r="P5" s="6" t="s">
        <v>470</v>
      </c>
      <c r="Q5" s="4" t="s">
        <v>471</v>
      </c>
    </row>
    <row r="6">
      <c r="A6" s="25" t="s">
        <v>45</v>
      </c>
      <c r="C6" s="114">
        <v>20.0</v>
      </c>
      <c r="D6" s="113">
        <f>C6/SUM(C4,C5,C6,C7,C8,C9,C10)</f>
        <v>0.2</v>
      </c>
      <c r="E6" s="114">
        <v>-15.0</v>
      </c>
      <c r="G6" s="115" t="s">
        <v>72</v>
      </c>
      <c r="I6" s="117"/>
      <c r="J6" s="116" t="str">
        <f t="shared" si="1"/>
        <v>#DIV/0!</v>
      </c>
      <c r="K6" s="117">
        <v>0.0</v>
      </c>
      <c r="L6" s="6"/>
      <c r="M6" s="6"/>
      <c r="N6" s="4"/>
      <c r="O6" s="58">
        <v>15.0</v>
      </c>
      <c r="P6" s="6" t="s">
        <v>472</v>
      </c>
      <c r="Q6" s="4" t="s">
        <v>473</v>
      </c>
    </row>
    <row r="7">
      <c r="A7" s="25" t="s">
        <v>51</v>
      </c>
      <c r="B7" s="4">
        <v>0.0</v>
      </c>
      <c r="C7" s="114">
        <v>20.0</v>
      </c>
      <c r="D7" s="113">
        <f>C7/SUM(C4,C5,C6,C7,C8,C9,C10)</f>
        <v>0.2</v>
      </c>
      <c r="E7" s="114">
        <v>0.0</v>
      </c>
      <c r="G7" s="115" t="s">
        <v>73</v>
      </c>
      <c r="I7" s="117"/>
      <c r="J7" s="116" t="str">
        <f t="shared" si="1"/>
        <v>#DIV/0!</v>
      </c>
      <c r="K7" s="117">
        <v>0.0</v>
      </c>
      <c r="L7" s="6"/>
      <c r="M7" s="6"/>
      <c r="N7" s="4"/>
      <c r="O7" s="58">
        <v>30.0</v>
      </c>
      <c r="P7" s="6"/>
    </row>
    <row r="8">
      <c r="A8" s="25" t="s">
        <v>55</v>
      </c>
      <c r="C8" s="114">
        <v>10.0</v>
      </c>
      <c r="D8" s="113">
        <f>C8/SUM(C4,C5,C6,C7,C8,C9,C10)</f>
        <v>0.1</v>
      </c>
      <c r="E8" s="114">
        <v>30.0</v>
      </c>
      <c r="G8" s="115" t="s">
        <v>75</v>
      </c>
      <c r="I8" s="175"/>
      <c r="J8" s="116" t="str">
        <f t="shared" si="1"/>
        <v>#DIV/0!</v>
      </c>
      <c r="K8" s="117">
        <v>0.0</v>
      </c>
      <c r="L8" s="8"/>
      <c r="M8" s="8"/>
      <c r="N8" s="4">
        <v>100.0</v>
      </c>
      <c r="O8" s="176">
        <v>30.0</v>
      </c>
      <c r="P8" s="8"/>
    </row>
    <row r="9">
      <c r="A9" s="25" t="s">
        <v>59</v>
      </c>
      <c r="C9" s="128">
        <v>10.0</v>
      </c>
      <c r="D9" s="177">
        <f>C9/SUM(C4,C5,C6,C7,C8,C9,C10)</f>
        <v>0.1</v>
      </c>
      <c r="E9" s="114">
        <v>-30.0</v>
      </c>
      <c r="G9" s="115" t="s">
        <v>80</v>
      </c>
      <c r="I9" s="175"/>
      <c r="J9" s="116" t="str">
        <f t="shared" si="1"/>
        <v>#DIV/0!</v>
      </c>
      <c r="K9" s="170">
        <v>0.0</v>
      </c>
      <c r="L9" s="8"/>
      <c r="M9" s="8"/>
    </row>
    <row r="10">
      <c r="A10" s="25" t="s">
        <v>64</v>
      </c>
      <c r="C10" s="128">
        <v>10.0</v>
      </c>
      <c r="D10" s="177">
        <f>C10/SUM(C4,C5,C6,C7,C8,C9,C10)</f>
        <v>0.1</v>
      </c>
      <c r="E10" s="114">
        <v>-30.0</v>
      </c>
      <c r="G10" s="115" t="s">
        <v>81</v>
      </c>
      <c r="I10" s="175"/>
      <c r="J10" s="116" t="str">
        <f t="shared" si="1"/>
        <v>#DIV/0!</v>
      </c>
      <c r="K10" s="170">
        <v>0.0</v>
      </c>
      <c r="L10" s="8"/>
      <c r="M10" s="8"/>
    </row>
    <row r="11">
      <c r="A11" s="122"/>
      <c r="C11" s="122">
        <f t="shared" ref="C11:D11" si="2">sum(C4:C10)</f>
        <v>100</v>
      </c>
      <c r="D11" s="125">
        <f t="shared" si="2"/>
        <v>1</v>
      </c>
      <c r="E11" s="126"/>
      <c r="G11" s="127"/>
      <c r="I11" s="122">
        <f t="shared" ref="I11:J11" si="3">sum(I4:I10)</f>
        <v>0</v>
      </c>
      <c r="J11" s="122" t="str">
        <f t="shared" si="3"/>
        <v>#DIV/0!</v>
      </c>
      <c r="K11" s="124"/>
      <c r="L11" s="8"/>
      <c r="M11" s="8"/>
      <c r="R11" s="4">
        <v>1.0</v>
      </c>
      <c r="S11" s="4">
        <v>2.0</v>
      </c>
      <c r="T11" s="4">
        <v>3.0</v>
      </c>
      <c r="U11" s="4">
        <v>4.0</v>
      </c>
    </row>
    <row r="12">
      <c r="A12" s="122"/>
      <c r="C12" s="122"/>
      <c r="D12" s="128" t="s">
        <v>399</v>
      </c>
      <c r="E12" s="128">
        <f>SUMPRODUCT(D4:D10,E4:E10)</f>
        <v>-10.5</v>
      </c>
      <c r="G12" s="129"/>
      <c r="I12" s="124"/>
      <c r="J12" s="121"/>
      <c r="K12" s="128" t="str">
        <f>SUMPRODUCT(J4:J10,K4:K10)</f>
        <v>#DIV/0!</v>
      </c>
      <c r="L12" s="131">
        <f>E12*C1</f>
        <v>-9.45</v>
      </c>
      <c r="M12" s="132" t="str">
        <f>VLOOKUP(L12,$O$3:$P$8,2,true)</f>
        <v>bad</v>
      </c>
    </row>
    <row r="13">
      <c r="A13" s="133"/>
      <c r="C13" s="133"/>
      <c r="D13" s="133"/>
      <c r="E13" s="134"/>
      <c r="F13" s="135"/>
      <c r="G13" s="133"/>
      <c r="H13" s="133"/>
    </row>
    <row r="14">
      <c r="D14" s="133"/>
      <c r="E14" s="2" t="s">
        <v>14</v>
      </c>
      <c r="F14" s="1" t="s">
        <v>474</v>
      </c>
      <c r="J14" s="136" t="s">
        <v>400</v>
      </c>
      <c r="K14" s="137"/>
      <c r="L14" s="4" t="s">
        <v>401</v>
      </c>
    </row>
    <row r="15">
      <c r="D15" s="133"/>
      <c r="E15" s="6" t="s">
        <v>459</v>
      </c>
      <c r="F15" s="6">
        <v>10.0</v>
      </c>
      <c r="J15" s="138">
        <v>0.0</v>
      </c>
      <c r="K15" s="139" t="s">
        <v>402</v>
      </c>
      <c r="L15" s="140">
        <f t="shared" ref="L15:L21" si="4">J16-J15</f>
        <v>3</v>
      </c>
    </row>
    <row r="16">
      <c r="D16" s="133"/>
      <c r="E16" s="172">
        <v>44624.0</v>
      </c>
      <c r="F16" s="6">
        <v>20.0</v>
      </c>
      <c r="J16" s="138">
        <v>3.0</v>
      </c>
      <c r="K16" s="139" t="s">
        <v>403</v>
      </c>
      <c r="L16" s="140">
        <f t="shared" si="4"/>
        <v>6</v>
      </c>
    </row>
    <row r="17">
      <c r="D17" s="133"/>
      <c r="E17" s="6" t="s">
        <v>24</v>
      </c>
      <c r="F17" s="6">
        <v>30.0</v>
      </c>
      <c r="J17" s="141">
        <v>9.0</v>
      </c>
      <c r="K17" s="139" t="s">
        <v>164</v>
      </c>
      <c r="L17" s="140">
        <f t="shared" si="4"/>
        <v>36</v>
      </c>
    </row>
    <row r="18">
      <c r="D18" s="133"/>
      <c r="E18" s="38"/>
      <c r="J18" s="138">
        <v>45.0</v>
      </c>
      <c r="K18" s="139" t="s">
        <v>404</v>
      </c>
      <c r="L18" s="140">
        <f t="shared" si="4"/>
        <v>36</v>
      </c>
      <c r="R18" s="4">
        <v>3.0</v>
      </c>
    </row>
    <row r="19">
      <c r="E19" s="38"/>
      <c r="J19" s="141">
        <v>81.0</v>
      </c>
      <c r="K19" s="139" t="s">
        <v>405</v>
      </c>
      <c r="L19" s="140">
        <f t="shared" si="4"/>
        <v>11</v>
      </c>
    </row>
    <row r="20">
      <c r="E20" s="38"/>
      <c r="J20" s="138">
        <v>92.0</v>
      </c>
      <c r="K20" s="139" t="s">
        <v>406</v>
      </c>
      <c r="L20" s="140">
        <f t="shared" si="4"/>
        <v>4</v>
      </c>
    </row>
    <row r="21">
      <c r="A21" s="1" t="s">
        <v>475</v>
      </c>
      <c r="B21" s="2" t="s">
        <v>476</v>
      </c>
      <c r="C21" s="1" t="s">
        <v>477</v>
      </c>
      <c r="D21" s="1" t="s">
        <v>478</v>
      </c>
      <c r="E21" s="1" t="s">
        <v>479</v>
      </c>
      <c r="F21" s="1" t="s">
        <v>124</v>
      </c>
      <c r="G21" s="2" t="s">
        <v>480</v>
      </c>
      <c r="J21" s="138">
        <v>96.0</v>
      </c>
      <c r="K21" s="139" t="s">
        <v>407</v>
      </c>
      <c r="L21" s="140">
        <f t="shared" si="4"/>
        <v>4</v>
      </c>
    </row>
    <row r="22">
      <c r="A22" s="6" t="s">
        <v>481</v>
      </c>
      <c r="B22" s="8">
        <f t="shared" ref="B22:B26" si="5">C22</f>
        <v>50</v>
      </c>
      <c r="C22" s="6">
        <v>50.0</v>
      </c>
      <c r="D22" s="6">
        <f t="shared" ref="D22:D25" si="6">C22+5</f>
        <v>55</v>
      </c>
      <c r="E22" s="6">
        <v>60.0</v>
      </c>
      <c r="F22" s="6">
        <f t="shared" ref="F22:F25" si="7">C22+20</f>
        <v>70</v>
      </c>
      <c r="G22" s="6">
        <f t="shared" ref="G22:G25" si="8">B22/2</f>
        <v>25</v>
      </c>
      <c r="J22" s="142">
        <v>100.0</v>
      </c>
      <c r="K22" s="143"/>
    </row>
    <row r="23">
      <c r="A23" s="6" t="s">
        <v>482</v>
      </c>
      <c r="B23" s="8">
        <f t="shared" si="5"/>
        <v>40</v>
      </c>
      <c r="C23" s="6">
        <v>40.0</v>
      </c>
      <c r="D23" s="6">
        <f t="shared" si="6"/>
        <v>45</v>
      </c>
      <c r="E23" s="6">
        <v>50.0</v>
      </c>
      <c r="F23" s="6">
        <f t="shared" si="7"/>
        <v>60</v>
      </c>
      <c r="G23" s="6">
        <f t="shared" si="8"/>
        <v>20</v>
      </c>
    </row>
    <row r="24">
      <c r="A24" s="6" t="s">
        <v>483</v>
      </c>
      <c r="B24" s="8">
        <f t="shared" si="5"/>
        <v>-30</v>
      </c>
      <c r="C24" s="6">
        <f>-C23+10</f>
        <v>-30</v>
      </c>
      <c r="D24" s="6">
        <f t="shared" si="6"/>
        <v>-25</v>
      </c>
      <c r="E24" s="6">
        <f>-E23+10</f>
        <v>-40</v>
      </c>
      <c r="F24" s="6">
        <f t="shared" si="7"/>
        <v>-10</v>
      </c>
      <c r="G24" s="6">
        <f t="shared" si="8"/>
        <v>-15</v>
      </c>
    </row>
    <row r="25">
      <c r="A25" s="6" t="s">
        <v>484</v>
      </c>
      <c r="B25" s="8">
        <f t="shared" si="5"/>
        <v>-40</v>
      </c>
      <c r="C25" s="6">
        <f>-C22+10</f>
        <v>-40</v>
      </c>
      <c r="D25" s="6">
        <f t="shared" si="6"/>
        <v>-35</v>
      </c>
      <c r="E25" s="6">
        <f>-E22+10</f>
        <v>-50</v>
      </c>
      <c r="F25" s="6">
        <f t="shared" si="7"/>
        <v>-20</v>
      </c>
      <c r="G25" s="6">
        <f t="shared" si="8"/>
        <v>-20</v>
      </c>
    </row>
    <row r="26">
      <c r="A26" s="6" t="s">
        <v>485</v>
      </c>
      <c r="B26" s="8">
        <f t="shared" si="5"/>
        <v>20</v>
      </c>
      <c r="C26" s="8">
        <f t="shared" ref="C26:G26" si="9">C23/2</f>
        <v>20</v>
      </c>
      <c r="D26" s="8">
        <f t="shared" si="9"/>
        <v>22.5</v>
      </c>
      <c r="E26" s="8">
        <f t="shared" si="9"/>
        <v>25</v>
      </c>
      <c r="F26" s="8">
        <f t="shared" si="9"/>
        <v>30</v>
      </c>
      <c r="G26" s="8">
        <f t="shared" si="9"/>
        <v>10</v>
      </c>
    </row>
    <row r="30">
      <c r="A30" s="4" t="s">
        <v>486</v>
      </c>
      <c r="G30" s="4"/>
      <c r="H30" s="4" t="s">
        <v>487</v>
      </c>
      <c r="J30" s="4" t="s">
        <v>488</v>
      </c>
      <c r="N30" s="4" t="s">
        <v>489</v>
      </c>
    </row>
    <row r="31">
      <c r="A31" s="1" t="s">
        <v>490</v>
      </c>
      <c r="B31" s="1" t="s">
        <v>491</v>
      </c>
      <c r="C31" s="1" t="s">
        <v>124</v>
      </c>
      <c r="D31" s="1" t="s">
        <v>492</v>
      </c>
      <c r="E31" s="108" t="s">
        <v>493</v>
      </c>
      <c r="F31" s="1" t="s">
        <v>494</v>
      </c>
      <c r="G31" s="4"/>
      <c r="H31" s="1" t="s">
        <v>490</v>
      </c>
      <c r="I31" s="1" t="s">
        <v>491</v>
      </c>
      <c r="J31" s="1" t="s">
        <v>124</v>
      </c>
      <c r="K31" s="1" t="s">
        <v>492</v>
      </c>
      <c r="L31" s="1"/>
      <c r="M31" s="1" t="s">
        <v>495</v>
      </c>
      <c r="O31" s="1" t="s">
        <v>490</v>
      </c>
      <c r="P31" s="1" t="s">
        <v>491</v>
      </c>
      <c r="Q31" s="1" t="s">
        <v>124</v>
      </c>
      <c r="R31" s="1" t="s">
        <v>492</v>
      </c>
      <c r="S31" s="1"/>
      <c r="T31" s="1" t="s">
        <v>495</v>
      </c>
    </row>
    <row r="32">
      <c r="A32" s="8"/>
      <c r="B32" s="6">
        <v>0.35</v>
      </c>
      <c r="C32" s="6">
        <v>2.0</v>
      </c>
      <c r="D32" s="6">
        <v>2.0</v>
      </c>
      <c r="F32" s="6">
        <v>0.46</v>
      </c>
      <c r="G32" s="4"/>
      <c r="H32" s="8"/>
      <c r="I32" s="6">
        <v>0.35</v>
      </c>
      <c r="J32" s="6">
        <v>2.0</v>
      </c>
      <c r="K32" s="6">
        <v>2.0</v>
      </c>
      <c r="L32" s="6"/>
      <c r="M32" s="6">
        <v>0.46</v>
      </c>
      <c r="O32" s="8"/>
      <c r="P32" s="6">
        <v>0.35</v>
      </c>
      <c r="Q32" s="6">
        <v>2.0</v>
      </c>
      <c r="R32" s="6">
        <v>2.0</v>
      </c>
      <c r="S32" s="6"/>
      <c r="T32" s="6">
        <v>0.46</v>
      </c>
    </row>
    <row r="33">
      <c r="A33" s="6" t="s">
        <v>496</v>
      </c>
      <c r="B33" s="6">
        <v>0.749</v>
      </c>
      <c r="C33" s="6">
        <v>2.0</v>
      </c>
      <c r="D33" s="6">
        <v>2.0</v>
      </c>
      <c r="E33" s="4">
        <v>0.818</v>
      </c>
      <c r="F33" s="11">
        <v>0.946</v>
      </c>
      <c r="G33" s="4"/>
      <c r="H33" s="6" t="s">
        <v>496</v>
      </c>
      <c r="I33" s="6">
        <v>0.692</v>
      </c>
      <c r="J33" s="6">
        <v>2.0</v>
      </c>
      <c r="K33" s="6">
        <v>2.0</v>
      </c>
      <c r="L33" s="6">
        <v>0.781</v>
      </c>
      <c r="M33" s="6">
        <v>0.888</v>
      </c>
      <c r="O33" s="6" t="s">
        <v>496</v>
      </c>
      <c r="P33" s="6">
        <v>0.635</v>
      </c>
      <c r="Q33" s="6">
        <v>2.0</v>
      </c>
      <c r="R33" s="6">
        <v>2.0</v>
      </c>
      <c r="S33" s="6">
        <v>0.737</v>
      </c>
      <c r="T33" s="6">
        <v>0.8485</v>
      </c>
    </row>
    <row r="34">
      <c r="A34" s="6" t="s">
        <v>470</v>
      </c>
      <c r="B34" s="6">
        <v>0.692</v>
      </c>
      <c r="C34" s="6">
        <v>2.0</v>
      </c>
      <c r="D34" s="6">
        <v>2.0</v>
      </c>
      <c r="E34" s="4">
        <v>0.781</v>
      </c>
      <c r="F34" s="11">
        <v>0.888</v>
      </c>
      <c r="G34" s="4"/>
      <c r="H34" s="6" t="s">
        <v>470</v>
      </c>
      <c r="I34" s="6">
        <v>0.635</v>
      </c>
      <c r="J34" s="6">
        <v>2.0</v>
      </c>
      <c r="K34" s="6">
        <v>2.0</v>
      </c>
      <c r="L34" s="6">
        <v>0.737</v>
      </c>
      <c r="M34" s="6">
        <v>0.848</v>
      </c>
      <c r="O34" s="6" t="s">
        <v>470</v>
      </c>
      <c r="P34" s="6">
        <v>0.578</v>
      </c>
      <c r="Q34" s="6">
        <v>2.0</v>
      </c>
      <c r="R34" s="6">
        <v>2.0</v>
      </c>
      <c r="S34" s="6">
        <v>0.689</v>
      </c>
      <c r="T34" s="6">
        <v>0.797</v>
      </c>
    </row>
    <row r="35">
      <c r="A35" s="6" t="s">
        <v>497</v>
      </c>
      <c r="B35" s="6">
        <v>0.521</v>
      </c>
      <c r="C35" s="6">
        <v>2.0</v>
      </c>
      <c r="D35" s="6">
        <v>2.0</v>
      </c>
      <c r="E35" s="4">
        <v>0.636</v>
      </c>
      <c r="F35" s="8"/>
      <c r="G35" s="4"/>
      <c r="H35" s="6" t="s">
        <v>497</v>
      </c>
      <c r="I35" s="6">
        <v>0.4925</v>
      </c>
      <c r="J35" s="6">
        <v>2.0</v>
      </c>
      <c r="K35" s="6">
        <v>2.0</v>
      </c>
      <c r="L35" s="6">
        <v>0.608</v>
      </c>
      <c r="M35" s="8"/>
      <c r="O35" s="6" t="s">
        <v>497</v>
      </c>
      <c r="P35" s="6">
        <v>0.464</v>
      </c>
      <c r="Q35" s="6">
        <v>2.0</v>
      </c>
      <c r="R35" s="6">
        <v>2.0</v>
      </c>
      <c r="S35" s="6">
        <v>0.58</v>
      </c>
      <c r="T35" s="8"/>
    </row>
    <row r="36">
      <c r="A36" s="6" t="s">
        <v>468</v>
      </c>
      <c r="B36" s="6">
        <v>0.175</v>
      </c>
      <c r="C36" s="6">
        <v>2.0</v>
      </c>
      <c r="D36" s="6">
        <v>2.0</v>
      </c>
      <c r="E36" s="4">
        <v>0.294</v>
      </c>
      <c r="F36" s="6">
        <v>0.147</v>
      </c>
      <c r="G36" s="4"/>
      <c r="H36" s="6" t="s">
        <v>468</v>
      </c>
      <c r="I36" s="6">
        <v>0.21</v>
      </c>
      <c r="J36" s="6">
        <v>2.0</v>
      </c>
      <c r="K36" s="6">
        <v>2.0</v>
      </c>
      <c r="L36" s="6">
        <v>0.326</v>
      </c>
      <c r="M36" s="6">
        <v>0.195</v>
      </c>
      <c r="O36" s="6" t="s">
        <v>468</v>
      </c>
      <c r="P36" s="6">
        <v>0.245</v>
      </c>
      <c r="Q36" s="6">
        <v>2.0</v>
      </c>
      <c r="R36" s="6">
        <v>2.0</v>
      </c>
      <c r="S36" s="6">
        <v>0.35</v>
      </c>
      <c r="T36" s="6">
        <v>0.245</v>
      </c>
    </row>
    <row r="37">
      <c r="A37" s="6" t="s">
        <v>498</v>
      </c>
      <c r="B37" s="6">
        <v>0.14</v>
      </c>
      <c r="C37" s="6">
        <v>2.0</v>
      </c>
      <c r="D37" s="6">
        <v>2.0</v>
      </c>
      <c r="E37" s="4">
        <v>0.265</v>
      </c>
      <c r="F37" s="6">
        <v>0.106</v>
      </c>
      <c r="G37" s="4"/>
      <c r="H37" s="6" t="s">
        <v>498</v>
      </c>
      <c r="I37" s="6">
        <v>0.175</v>
      </c>
      <c r="J37" s="6">
        <v>2.0</v>
      </c>
      <c r="K37" s="6">
        <v>2.0</v>
      </c>
      <c r="L37" s="6">
        <v>0.294</v>
      </c>
      <c r="M37" s="6">
        <v>0.875</v>
      </c>
      <c r="O37" s="6" t="s">
        <v>498</v>
      </c>
      <c r="P37" s="6">
        <v>0.21</v>
      </c>
      <c r="Q37" s="6">
        <v>2.0</v>
      </c>
      <c r="R37" s="6">
        <v>2.0</v>
      </c>
      <c r="S37" s="6">
        <v>0.326</v>
      </c>
      <c r="T37" s="6">
        <v>0.195</v>
      </c>
    </row>
    <row r="38">
      <c r="A38" s="4"/>
    </row>
    <row r="39">
      <c r="A39" s="4" t="str">
        <f>VLOOKUP(A41,J15:K22,2,true)</f>
        <v>BB</v>
      </c>
      <c r="C39" s="8"/>
    </row>
    <row r="40">
      <c r="A40" s="144" t="s">
        <v>499</v>
      </c>
      <c r="B40" s="2" t="s">
        <v>409</v>
      </c>
      <c r="C40" s="2" t="s">
        <v>410</v>
      </c>
      <c r="D40" s="1" t="s">
        <v>411</v>
      </c>
      <c r="E40" s="1" t="s">
        <v>412</v>
      </c>
      <c r="F40" s="1" t="s">
        <v>500</v>
      </c>
      <c r="G40" s="2" t="s">
        <v>413</v>
      </c>
      <c r="H40" s="2" t="s">
        <v>414</v>
      </c>
      <c r="I40" s="1" t="s">
        <v>415</v>
      </c>
      <c r="J40" s="1" t="s">
        <v>416</v>
      </c>
    </row>
    <row r="41">
      <c r="A41" s="145">
        <v>21.0</v>
      </c>
      <c r="B41" s="146">
        <f>if($A$39=$K$15,J16,if($A$39=$K$16,J17,if($A$39=$K$17,J18,if($A$39=$K$18,J19,if($A$39=$K$19,J20,if($A$39=$K$20,J21,100))))))</f>
        <v>45</v>
      </c>
      <c r="C41" s="147">
        <f>B41-A41</f>
        <v>24</v>
      </c>
      <c r="D41" s="8">
        <f t="shared" ref="D41:D43" si="10">C41*$B$22%</f>
        <v>12</v>
      </c>
      <c r="E41" s="8">
        <f t="shared" ref="E41:E43" si="11">C41*$B$23%</f>
        <v>9.6</v>
      </c>
      <c r="F41" s="8">
        <f t="shared" ref="F41:F43" si="12">C41*$B$26%</f>
        <v>4.8</v>
      </c>
      <c r="G41" s="148">
        <f>if($A$39=$K$15,0,if($A$39=$K$16,J16,if($A$39=$K$17,J17,if($A$39=$K$18,J18,if($A$39=$K$19,J19,if($A$39=$K$20,J20,J21))))))</f>
        <v>9</v>
      </c>
      <c r="H41" s="149">
        <f>A41-G41</f>
        <v>12</v>
      </c>
      <c r="I41" s="8">
        <f t="shared" ref="I41:I43" si="13">H41*$B$24%</f>
        <v>-3.6</v>
      </c>
      <c r="J41" s="8">
        <f t="shared" ref="J41:J43" si="14">H41*$B$25%</f>
        <v>-4.8</v>
      </c>
    </row>
    <row r="42">
      <c r="A42" s="8"/>
      <c r="B42" s="146">
        <f>if($A$39=$K$15,J17,if($A$39=$K$16,J18,if($A$39=$K$17,J19,if($A$39=$K$18,J20,if($A$39=$K$19,J21,if($A$39=$K$20,J22,if($A$39=$K$21,0,100)))))))</f>
        <v>81</v>
      </c>
      <c r="C42" s="150">
        <f t="shared" ref="C42:C43" si="15">if(B42-B41&lt;0,0,B42-B41)</f>
        <v>36</v>
      </c>
      <c r="D42" s="8">
        <f t="shared" si="10"/>
        <v>18</v>
      </c>
      <c r="E42" s="8">
        <f t="shared" si="11"/>
        <v>14.4</v>
      </c>
      <c r="F42" s="8">
        <f t="shared" si="12"/>
        <v>7.2</v>
      </c>
      <c r="G42" s="148">
        <f>if($A$39=$K$15,0,if($A$39=$K$16,0,if($A$39=$K$17,J16,if($A$39=$K$18,J17,if($A$39=$K$19,J18,if($A$39=$K$20,J19,J20))))))</f>
        <v>3</v>
      </c>
      <c r="H42" s="149">
        <f t="shared" ref="H42:H43" si="16">if(G41-G42&lt;0,0,G41-G42)</f>
        <v>6</v>
      </c>
      <c r="I42" s="8">
        <f t="shared" si="13"/>
        <v>-1.8</v>
      </c>
      <c r="J42" s="8">
        <f t="shared" si="14"/>
        <v>-2.4</v>
      </c>
    </row>
    <row r="43">
      <c r="A43" s="8"/>
      <c r="B43" s="146">
        <f>if($A$39=$K$15,J18,if($A$39=$K$16,J19,if($A$39=$K$17,J20,if($A$39=$K$18,J21,if($A$39=$K$19,J22,if($A$39=$K$20,0,if($A$39=$K$21,0,100)))))))</f>
        <v>92</v>
      </c>
      <c r="C43" s="150">
        <f t="shared" si="15"/>
        <v>11</v>
      </c>
      <c r="D43" s="8">
        <f t="shared" si="10"/>
        <v>5.5</v>
      </c>
      <c r="E43" s="8">
        <f t="shared" si="11"/>
        <v>4.4</v>
      </c>
      <c r="F43" s="8">
        <f t="shared" si="12"/>
        <v>2.2</v>
      </c>
      <c r="G43" s="6">
        <f>if($A$39=$K$15,0,if($A$39=$K$16,0,if($A$39=$K$17,0,if($A$39=$K$18,J16,if($A$39=$K$19,J17,if($A$39=$K$20,J18,J19))))))</f>
        <v>0</v>
      </c>
      <c r="H43" s="149">
        <f t="shared" si="16"/>
        <v>3</v>
      </c>
      <c r="I43" s="8">
        <f t="shared" si="13"/>
        <v>-0.9</v>
      </c>
      <c r="J43" s="8">
        <f t="shared" si="14"/>
        <v>-1.2</v>
      </c>
    </row>
    <row r="44">
      <c r="A44" s="8"/>
      <c r="B44" s="8"/>
      <c r="C44" s="8"/>
      <c r="D44" s="8">
        <f t="shared" ref="D44:F44" si="17">sum(D41:D43)</f>
        <v>35.5</v>
      </c>
      <c r="E44" s="8">
        <f t="shared" si="17"/>
        <v>28.4</v>
      </c>
      <c r="F44" s="8">
        <f t="shared" si="17"/>
        <v>14.2</v>
      </c>
      <c r="G44" s="8"/>
      <c r="H44" s="8"/>
      <c r="I44" s="8">
        <f t="shared" ref="I44:J44" si="18">sum(I41:I43)</f>
        <v>-6.3</v>
      </c>
      <c r="J44" s="8">
        <f t="shared" si="18"/>
        <v>-8.4</v>
      </c>
    </row>
    <row r="45">
      <c r="A45" s="8"/>
      <c r="B45" s="8"/>
      <c r="C45" s="151" t="s">
        <v>417</v>
      </c>
      <c r="D45" s="152">
        <f t="shared" ref="D45:F45" si="19">D44+$A$41</f>
        <v>56.5</v>
      </c>
      <c r="E45" s="152">
        <f t="shared" si="19"/>
        <v>49.4</v>
      </c>
      <c r="F45" s="152">
        <f t="shared" si="19"/>
        <v>35.2</v>
      </c>
      <c r="G45" s="8"/>
      <c r="H45" s="8"/>
      <c r="I45" s="152">
        <f t="shared" ref="I45:J45" si="20">I44+$A$41</f>
        <v>14.7</v>
      </c>
      <c r="J45" s="152">
        <f t="shared" si="20"/>
        <v>12.6</v>
      </c>
    </row>
    <row r="46">
      <c r="A46" s="8"/>
      <c r="B46" s="8"/>
      <c r="C46" s="151" t="s">
        <v>418</v>
      </c>
      <c r="D46" s="152" t="str">
        <f t="shared" ref="D46:F46" si="21">VLOOKUP(D45,$J$15:$K$22,2,true)</f>
        <v>BBB</v>
      </c>
      <c r="E46" s="152" t="str">
        <f t="shared" si="21"/>
        <v>BBB</v>
      </c>
      <c r="F46" s="152" t="str">
        <f t="shared" si="21"/>
        <v>BB</v>
      </c>
      <c r="G46" s="8"/>
      <c r="H46" s="8"/>
      <c r="I46" s="152" t="str">
        <f t="shared" ref="I46:J46" si="22">VLOOKUP(I45,$J$15:$K$22,2,true)</f>
        <v>BB</v>
      </c>
      <c r="J46" s="152" t="str">
        <f t="shared" si="22"/>
        <v>BB</v>
      </c>
    </row>
    <row r="47">
      <c r="A47" s="8"/>
      <c r="B47" s="8"/>
      <c r="C47" s="6" t="s">
        <v>419</v>
      </c>
      <c r="D47" s="8">
        <f t="shared" ref="D47:F47" si="23">D45-$A$41</f>
        <v>35.5</v>
      </c>
      <c r="E47" s="8">
        <f t="shared" si="23"/>
        <v>28.4</v>
      </c>
      <c r="F47" s="8">
        <f t="shared" si="23"/>
        <v>14.2</v>
      </c>
      <c r="G47" s="8"/>
      <c r="H47" s="8"/>
      <c r="I47" s="8">
        <f t="shared" ref="I47:J47" si="24">I45-$A$41</f>
        <v>-6.3</v>
      </c>
      <c r="J47" s="8">
        <f t="shared" si="24"/>
        <v>-8.4</v>
      </c>
    </row>
    <row r="48">
      <c r="A48" s="8"/>
      <c r="B48" s="8"/>
      <c r="C48" s="6" t="s">
        <v>420</v>
      </c>
      <c r="D48" s="153">
        <f t="shared" ref="D48:F48" si="25">D47/$A$41</f>
        <v>1.69047619</v>
      </c>
      <c r="E48" s="153">
        <f t="shared" si="25"/>
        <v>1.352380952</v>
      </c>
      <c r="F48" s="153">
        <f t="shared" si="25"/>
        <v>0.6761904762</v>
      </c>
      <c r="G48" s="8"/>
      <c r="H48" s="8"/>
      <c r="I48" s="153">
        <f t="shared" ref="I48:J48" si="26">I47/$A$41</f>
        <v>-0.3</v>
      </c>
      <c r="J48" s="153">
        <f t="shared" si="26"/>
        <v>-0.4</v>
      </c>
    </row>
    <row r="49">
      <c r="E49" s="38"/>
    </row>
    <row r="50">
      <c r="E50" s="38"/>
    </row>
    <row r="51">
      <c r="E51" s="38"/>
    </row>
    <row r="52">
      <c r="E52" s="38"/>
    </row>
    <row r="53">
      <c r="E53" s="38"/>
    </row>
    <row r="54">
      <c r="E54" s="38"/>
    </row>
    <row r="55">
      <c r="E55" s="38"/>
    </row>
    <row r="56">
      <c r="E56" s="38"/>
    </row>
    <row r="57">
      <c r="E57" s="38"/>
    </row>
    <row r="58">
      <c r="E58" s="38"/>
    </row>
    <row r="59">
      <c r="E59" s="38"/>
    </row>
    <row r="60">
      <c r="E60" s="38"/>
    </row>
    <row r="61">
      <c r="E61" s="38"/>
    </row>
    <row r="62">
      <c r="E62" s="38"/>
    </row>
    <row r="63">
      <c r="E63" s="38"/>
    </row>
    <row r="64">
      <c r="E64" s="38"/>
    </row>
    <row r="65">
      <c r="E65" s="38"/>
    </row>
    <row r="66">
      <c r="E66" s="38"/>
    </row>
    <row r="67">
      <c r="E67" s="38"/>
    </row>
    <row r="68">
      <c r="E68" s="38"/>
    </row>
    <row r="69">
      <c r="E69" s="38"/>
    </row>
    <row r="70">
      <c r="E70" s="38"/>
    </row>
    <row r="71">
      <c r="E71" s="38"/>
    </row>
    <row r="72">
      <c r="E72" s="38"/>
    </row>
    <row r="73">
      <c r="E73" s="38"/>
    </row>
    <row r="74">
      <c r="E74" s="38"/>
    </row>
    <row r="75">
      <c r="E75" s="38"/>
    </row>
    <row r="76">
      <c r="E76" s="38"/>
    </row>
    <row r="77">
      <c r="E77" s="38"/>
    </row>
    <row r="78">
      <c r="E78" s="38"/>
    </row>
    <row r="79">
      <c r="E79" s="38"/>
    </row>
    <row r="80">
      <c r="E80" s="38"/>
    </row>
    <row r="81">
      <c r="E81" s="38"/>
    </row>
    <row r="82">
      <c r="E82" s="38"/>
    </row>
    <row r="83">
      <c r="E83" s="38"/>
    </row>
    <row r="84">
      <c r="E84" s="38"/>
    </row>
    <row r="85">
      <c r="E85" s="38"/>
    </row>
    <row r="86">
      <c r="E86" s="38"/>
    </row>
    <row r="87">
      <c r="E87" s="38"/>
    </row>
    <row r="88">
      <c r="E88" s="38"/>
    </row>
    <row r="89">
      <c r="E89" s="38"/>
    </row>
    <row r="90">
      <c r="E90" s="38"/>
    </row>
    <row r="91">
      <c r="E91" s="38"/>
    </row>
    <row r="92">
      <c r="E92" s="38"/>
    </row>
    <row r="93">
      <c r="E93" s="38"/>
    </row>
    <row r="94">
      <c r="E94" s="38"/>
    </row>
    <row r="95">
      <c r="E95" s="38"/>
    </row>
    <row r="96">
      <c r="E96" s="38"/>
    </row>
    <row r="97">
      <c r="E97" s="38"/>
    </row>
    <row r="98">
      <c r="E98" s="38"/>
    </row>
    <row r="99">
      <c r="E99" s="38"/>
    </row>
    <row r="100">
      <c r="E100" s="38"/>
    </row>
    <row r="101">
      <c r="E101" s="38"/>
    </row>
    <row r="102">
      <c r="E102" s="38"/>
    </row>
    <row r="103">
      <c r="E103" s="38"/>
    </row>
    <row r="104">
      <c r="E104" s="38"/>
    </row>
    <row r="105">
      <c r="E105" s="38"/>
    </row>
    <row r="106">
      <c r="E106" s="38"/>
    </row>
    <row r="107">
      <c r="E107" s="38"/>
    </row>
    <row r="108">
      <c r="E108" s="38"/>
    </row>
    <row r="109">
      <c r="E109" s="38"/>
    </row>
    <row r="110">
      <c r="E110" s="38"/>
    </row>
    <row r="111">
      <c r="E111" s="38"/>
    </row>
    <row r="112">
      <c r="E112" s="38"/>
    </row>
    <row r="113">
      <c r="E113" s="38"/>
    </row>
    <row r="114">
      <c r="E114" s="38"/>
    </row>
    <row r="115">
      <c r="E115" s="38"/>
    </row>
    <row r="116">
      <c r="E116" s="38"/>
    </row>
    <row r="117">
      <c r="E117" s="38"/>
    </row>
    <row r="118">
      <c r="E118" s="38"/>
    </row>
    <row r="119">
      <c r="E119" s="38"/>
    </row>
    <row r="120">
      <c r="E120" s="38"/>
    </row>
    <row r="121">
      <c r="E121" s="38"/>
    </row>
    <row r="122">
      <c r="E122" s="38"/>
    </row>
    <row r="123">
      <c r="E123" s="38"/>
    </row>
    <row r="124">
      <c r="E124" s="38"/>
    </row>
    <row r="125">
      <c r="E125" s="38"/>
    </row>
    <row r="126">
      <c r="E126" s="38"/>
    </row>
    <row r="127">
      <c r="E127" s="38"/>
    </row>
    <row r="128">
      <c r="E128" s="38"/>
    </row>
    <row r="129">
      <c r="E129" s="38"/>
    </row>
    <row r="130">
      <c r="E130" s="38"/>
    </row>
    <row r="131">
      <c r="E131" s="38"/>
    </row>
    <row r="132">
      <c r="E132" s="38"/>
    </row>
    <row r="133">
      <c r="E133" s="38"/>
    </row>
    <row r="134">
      <c r="E134" s="38"/>
    </row>
    <row r="135">
      <c r="E135" s="38"/>
    </row>
    <row r="136">
      <c r="E136" s="38"/>
    </row>
    <row r="137">
      <c r="E137" s="38"/>
    </row>
    <row r="138">
      <c r="E138" s="38"/>
    </row>
    <row r="139">
      <c r="E139" s="38"/>
    </row>
    <row r="140">
      <c r="E140" s="38"/>
    </row>
    <row r="141">
      <c r="E141" s="38"/>
    </row>
    <row r="142">
      <c r="E142" s="38"/>
    </row>
    <row r="143">
      <c r="E143" s="38"/>
    </row>
    <row r="144">
      <c r="E144" s="38"/>
    </row>
    <row r="145">
      <c r="E145" s="38"/>
    </row>
    <row r="146">
      <c r="E146" s="38"/>
    </row>
    <row r="147">
      <c r="E147" s="38"/>
    </row>
    <row r="148">
      <c r="E148" s="38"/>
    </row>
    <row r="149">
      <c r="E149" s="38"/>
    </row>
    <row r="150">
      <c r="E150" s="38"/>
    </row>
    <row r="151">
      <c r="E151" s="38"/>
    </row>
    <row r="152">
      <c r="E152" s="38"/>
    </row>
    <row r="153">
      <c r="E153" s="38"/>
    </row>
    <row r="154">
      <c r="E154" s="38"/>
    </row>
    <row r="155">
      <c r="E155" s="38"/>
    </row>
    <row r="156">
      <c r="E156" s="38"/>
    </row>
    <row r="157">
      <c r="E157" s="38"/>
    </row>
    <row r="158">
      <c r="E158" s="38"/>
    </row>
    <row r="159">
      <c r="E159" s="38"/>
    </row>
    <row r="160">
      <c r="E160" s="38"/>
    </row>
    <row r="161">
      <c r="E161" s="38"/>
    </row>
    <row r="162">
      <c r="E162" s="38"/>
    </row>
    <row r="163">
      <c r="E163" s="38"/>
    </row>
    <row r="164">
      <c r="E164" s="38"/>
    </row>
    <row r="165">
      <c r="E165" s="38"/>
    </row>
    <row r="166">
      <c r="E166" s="38"/>
    </row>
    <row r="167">
      <c r="E167" s="38"/>
    </row>
    <row r="168">
      <c r="E168" s="38"/>
    </row>
    <row r="169">
      <c r="E169" s="38"/>
    </row>
    <row r="170">
      <c r="E170" s="38"/>
    </row>
    <row r="171">
      <c r="E171" s="38"/>
    </row>
    <row r="172">
      <c r="E172" s="38"/>
    </row>
    <row r="173">
      <c r="E173" s="38"/>
    </row>
    <row r="174">
      <c r="E174" s="38"/>
    </row>
    <row r="175">
      <c r="E175" s="38"/>
    </row>
    <row r="176">
      <c r="E176" s="38"/>
    </row>
    <row r="177">
      <c r="E177" s="38"/>
    </row>
    <row r="178">
      <c r="E178" s="38"/>
    </row>
    <row r="179">
      <c r="E179" s="38"/>
    </row>
    <row r="180">
      <c r="E180" s="38"/>
    </row>
    <row r="181">
      <c r="E181" s="38"/>
    </row>
    <row r="182">
      <c r="E182" s="38"/>
    </row>
    <row r="183">
      <c r="E183" s="38"/>
    </row>
    <row r="184">
      <c r="E184" s="38"/>
    </row>
    <row r="185">
      <c r="E185" s="38"/>
    </row>
    <row r="186">
      <c r="E186" s="38"/>
    </row>
    <row r="187">
      <c r="E187" s="38"/>
    </row>
    <row r="188">
      <c r="E188" s="38"/>
    </row>
    <row r="189">
      <c r="E189" s="38"/>
    </row>
    <row r="190">
      <c r="E190" s="38"/>
    </row>
    <row r="191">
      <c r="E191" s="38"/>
    </row>
    <row r="192">
      <c r="E192" s="38"/>
    </row>
    <row r="193">
      <c r="E193" s="38"/>
    </row>
    <row r="194">
      <c r="E194" s="38"/>
    </row>
    <row r="195">
      <c r="E195" s="38"/>
    </row>
    <row r="196">
      <c r="E196" s="38"/>
    </row>
    <row r="197">
      <c r="E197" s="38"/>
    </row>
    <row r="198">
      <c r="E198" s="38"/>
    </row>
    <row r="199">
      <c r="E199" s="38"/>
    </row>
    <row r="200">
      <c r="E200" s="38"/>
    </row>
    <row r="201">
      <c r="E201" s="38"/>
    </row>
    <row r="202">
      <c r="E202" s="38"/>
    </row>
    <row r="203">
      <c r="E203" s="38"/>
    </row>
    <row r="204">
      <c r="E204" s="38"/>
    </row>
    <row r="205">
      <c r="E205" s="38"/>
    </row>
    <row r="206">
      <c r="E206" s="38"/>
    </row>
    <row r="207">
      <c r="E207" s="38"/>
    </row>
    <row r="208">
      <c r="E208" s="38"/>
    </row>
    <row r="209">
      <c r="E209" s="38"/>
    </row>
    <row r="210">
      <c r="E210" s="38"/>
    </row>
    <row r="211">
      <c r="E211" s="38"/>
    </row>
    <row r="212">
      <c r="E212" s="38"/>
    </row>
    <row r="213">
      <c r="E213" s="38"/>
    </row>
    <row r="214">
      <c r="E214" s="38"/>
    </row>
    <row r="215">
      <c r="E215" s="38"/>
    </row>
    <row r="216">
      <c r="E216" s="38"/>
    </row>
    <row r="217">
      <c r="E217" s="38"/>
    </row>
    <row r="218">
      <c r="E218" s="38"/>
    </row>
    <row r="219">
      <c r="E219" s="38"/>
    </row>
    <row r="220">
      <c r="E220" s="38"/>
    </row>
    <row r="221">
      <c r="E221" s="38"/>
    </row>
    <row r="222">
      <c r="E222" s="38"/>
    </row>
    <row r="223">
      <c r="E223" s="38"/>
    </row>
    <row r="224">
      <c r="E224" s="38"/>
    </row>
    <row r="225">
      <c r="E225" s="38"/>
    </row>
    <row r="226">
      <c r="E226" s="38"/>
    </row>
    <row r="227">
      <c r="E227" s="38"/>
    </row>
    <row r="228">
      <c r="E228" s="38"/>
    </row>
    <row r="229">
      <c r="E229" s="38"/>
    </row>
    <row r="230">
      <c r="E230" s="38"/>
    </row>
    <row r="231">
      <c r="E231" s="38"/>
    </row>
    <row r="232">
      <c r="E232" s="38"/>
    </row>
    <row r="233">
      <c r="E233" s="38"/>
    </row>
    <row r="234">
      <c r="E234" s="38"/>
    </row>
    <row r="235">
      <c r="E235" s="38"/>
    </row>
    <row r="236">
      <c r="E236" s="38"/>
    </row>
    <row r="237">
      <c r="E237" s="38"/>
    </row>
    <row r="238">
      <c r="E238" s="38"/>
    </row>
    <row r="239">
      <c r="E239" s="38"/>
    </row>
    <row r="240">
      <c r="E240" s="38"/>
    </row>
    <row r="241">
      <c r="E241" s="38"/>
    </row>
    <row r="242">
      <c r="E242" s="38"/>
    </row>
    <row r="243">
      <c r="E243" s="38"/>
    </row>
    <row r="244">
      <c r="E244" s="38"/>
    </row>
    <row r="245">
      <c r="E245" s="38"/>
    </row>
    <row r="246">
      <c r="E246" s="38"/>
    </row>
    <row r="247">
      <c r="E247" s="38"/>
    </row>
    <row r="248">
      <c r="E248" s="38"/>
    </row>
    <row r="249">
      <c r="E249" s="38"/>
    </row>
    <row r="250">
      <c r="E250" s="38"/>
    </row>
    <row r="251">
      <c r="E251" s="38"/>
    </row>
    <row r="252">
      <c r="E252" s="38"/>
    </row>
    <row r="253">
      <c r="E253" s="38"/>
    </row>
    <row r="254">
      <c r="E254" s="38"/>
    </row>
    <row r="255">
      <c r="E255" s="38"/>
    </row>
    <row r="256">
      <c r="E256" s="38"/>
    </row>
    <row r="257">
      <c r="E257" s="38"/>
    </row>
    <row r="258">
      <c r="E258" s="38"/>
    </row>
    <row r="259">
      <c r="E259" s="38"/>
    </row>
    <row r="260">
      <c r="E260" s="38"/>
    </row>
    <row r="261">
      <c r="E261" s="38"/>
    </row>
    <row r="262">
      <c r="E262" s="38"/>
    </row>
    <row r="263">
      <c r="E263" s="38"/>
    </row>
    <row r="264">
      <c r="E264" s="38"/>
    </row>
    <row r="265">
      <c r="E265" s="38"/>
    </row>
    <row r="266">
      <c r="E266" s="38"/>
    </row>
    <row r="267">
      <c r="E267" s="38"/>
    </row>
    <row r="268">
      <c r="E268" s="38"/>
    </row>
    <row r="269">
      <c r="E269" s="38"/>
    </row>
    <row r="270">
      <c r="E270" s="38"/>
    </row>
    <row r="271">
      <c r="E271" s="38"/>
    </row>
    <row r="272">
      <c r="E272" s="38"/>
    </row>
    <row r="273">
      <c r="E273" s="38"/>
    </row>
    <row r="274">
      <c r="E274" s="38"/>
    </row>
    <row r="275">
      <c r="E275" s="38"/>
    </row>
    <row r="276">
      <c r="E276" s="38"/>
    </row>
    <row r="277">
      <c r="E277" s="38"/>
    </row>
    <row r="278">
      <c r="E278" s="38"/>
    </row>
    <row r="279">
      <c r="E279" s="38"/>
    </row>
    <row r="280">
      <c r="E280" s="38"/>
    </row>
    <row r="281">
      <c r="E281" s="38"/>
    </row>
    <row r="282">
      <c r="E282" s="38"/>
    </row>
    <row r="283">
      <c r="E283" s="38"/>
    </row>
    <row r="284">
      <c r="E284" s="38"/>
    </row>
    <row r="285">
      <c r="E285" s="38"/>
    </row>
    <row r="286">
      <c r="E286" s="38"/>
    </row>
    <row r="287">
      <c r="E287" s="38"/>
    </row>
    <row r="288">
      <c r="E288" s="38"/>
    </row>
    <row r="289">
      <c r="E289" s="38"/>
    </row>
    <row r="290">
      <c r="E290" s="38"/>
    </row>
    <row r="291">
      <c r="E291" s="38"/>
    </row>
    <row r="292">
      <c r="E292" s="38"/>
    </row>
    <row r="293">
      <c r="E293" s="38"/>
    </row>
    <row r="294">
      <c r="E294" s="38"/>
    </row>
    <row r="295">
      <c r="E295" s="38"/>
    </row>
    <row r="296">
      <c r="E296" s="38"/>
    </row>
    <row r="297">
      <c r="E297" s="38"/>
    </row>
    <row r="298">
      <c r="E298" s="38"/>
    </row>
    <row r="299">
      <c r="E299" s="38"/>
    </row>
    <row r="300">
      <c r="E300" s="38"/>
    </row>
    <row r="301">
      <c r="E301" s="38"/>
    </row>
    <row r="302">
      <c r="E302" s="38"/>
    </row>
    <row r="303">
      <c r="E303" s="38"/>
    </row>
    <row r="304">
      <c r="E304" s="38"/>
    </row>
    <row r="305">
      <c r="E305" s="38"/>
    </row>
    <row r="306">
      <c r="E306" s="38"/>
    </row>
    <row r="307">
      <c r="E307" s="38"/>
    </row>
    <row r="308">
      <c r="E308" s="38"/>
    </row>
    <row r="309">
      <c r="E309" s="38"/>
    </row>
    <row r="310">
      <c r="E310" s="38"/>
    </row>
    <row r="311">
      <c r="E311" s="38"/>
    </row>
    <row r="312">
      <c r="E312" s="38"/>
    </row>
    <row r="313">
      <c r="E313" s="38"/>
    </row>
    <row r="314">
      <c r="E314" s="38"/>
    </row>
    <row r="315">
      <c r="E315" s="38"/>
    </row>
    <row r="316">
      <c r="E316" s="38"/>
    </row>
    <row r="317">
      <c r="E317" s="38"/>
    </row>
    <row r="318">
      <c r="E318" s="38"/>
    </row>
    <row r="319">
      <c r="E319" s="38"/>
    </row>
    <row r="320">
      <c r="E320" s="38"/>
    </row>
    <row r="321">
      <c r="E321" s="38"/>
    </row>
    <row r="322">
      <c r="E322" s="38"/>
    </row>
    <row r="323">
      <c r="E323" s="38"/>
    </row>
    <row r="324">
      <c r="E324" s="38"/>
    </row>
    <row r="325">
      <c r="E325" s="38"/>
    </row>
    <row r="326">
      <c r="E326" s="38"/>
    </row>
    <row r="327">
      <c r="E327" s="38"/>
    </row>
    <row r="328">
      <c r="E328" s="38"/>
    </row>
    <row r="329">
      <c r="E329" s="38"/>
    </row>
    <row r="330">
      <c r="E330" s="38"/>
    </row>
    <row r="331">
      <c r="E331" s="38"/>
    </row>
    <row r="332">
      <c r="E332" s="38"/>
    </row>
    <row r="333">
      <c r="E333" s="38"/>
    </row>
    <row r="334">
      <c r="E334" s="38"/>
    </row>
    <row r="335">
      <c r="E335" s="38"/>
    </row>
    <row r="336">
      <c r="E336" s="38"/>
    </row>
    <row r="337">
      <c r="E337" s="38"/>
    </row>
    <row r="338">
      <c r="E338" s="38"/>
    </row>
    <row r="339">
      <c r="E339" s="38"/>
    </row>
    <row r="340">
      <c r="E340" s="38"/>
    </row>
    <row r="341">
      <c r="E341" s="38"/>
    </row>
    <row r="342">
      <c r="E342" s="38"/>
    </row>
    <row r="343">
      <c r="E343" s="38"/>
    </row>
    <row r="344">
      <c r="E344" s="38"/>
    </row>
    <row r="345">
      <c r="E345" s="38"/>
    </row>
    <row r="346">
      <c r="E346" s="38"/>
    </row>
    <row r="347">
      <c r="E347" s="38"/>
    </row>
    <row r="348">
      <c r="E348" s="38"/>
    </row>
    <row r="349">
      <c r="E349" s="38"/>
    </row>
    <row r="350">
      <c r="E350" s="38"/>
    </row>
    <row r="351">
      <c r="E351" s="38"/>
    </row>
    <row r="352">
      <c r="E352" s="38"/>
    </row>
    <row r="353">
      <c r="E353" s="38"/>
    </row>
    <row r="354">
      <c r="E354" s="38"/>
    </row>
    <row r="355">
      <c r="E355" s="38"/>
    </row>
    <row r="356">
      <c r="E356" s="38"/>
    </row>
    <row r="357">
      <c r="E357" s="38"/>
    </row>
    <row r="358">
      <c r="E358" s="38"/>
    </row>
    <row r="359">
      <c r="E359" s="38"/>
    </row>
    <row r="360">
      <c r="E360" s="38"/>
    </row>
    <row r="361">
      <c r="E361" s="38"/>
    </row>
    <row r="362">
      <c r="E362" s="38"/>
    </row>
    <row r="363">
      <c r="E363" s="38"/>
    </row>
    <row r="364">
      <c r="E364" s="38"/>
    </row>
    <row r="365">
      <c r="E365" s="38"/>
    </row>
    <row r="366">
      <c r="E366" s="38"/>
    </row>
    <row r="367">
      <c r="E367" s="38"/>
    </row>
    <row r="368">
      <c r="E368" s="38"/>
    </row>
    <row r="369">
      <c r="E369" s="38"/>
    </row>
    <row r="370">
      <c r="E370" s="38"/>
    </row>
    <row r="371">
      <c r="E371" s="38"/>
    </row>
    <row r="372">
      <c r="E372" s="38"/>
    </row>
    <row r="373">
      <c r="E373" s="38"/>
    </row>
    <row r="374">
      <c r="E374" s="38"/>
    </row>
    <row r="375">
      <c r="E375" s="38"/>
    </row>
    <row r="376">
      <c r="E376" s="38"/>
    </row>
    <row r="377">
      <c r="E377" s="38"/>
    </row>
    <row r="378">
      <c r="E378" s="38"/>
    </row>
    <row r="379">
      <c r="E379" s="38"/>
    </row>
    <row r="380">
      <c r="E380" s="38"/>
    </row>
    <row r="381">
      <c r="E381" s="38"/>
    </row>
    <row r="382">
      <c r="E382" s="38"/>
    </row>
    <row r="383">
      <c r="E383" s="38"/>
    </row>
    <row r="384">
      <c r="E384" s="38"/>
    </row>
    <row r="385">
      <c r="E385" s="38"/>
    </row>
    <row r="386">
      <c r="E386" s="38"/>
    </row>
    <row r="387">
      <c r="E387" s="38"/>
    </row>
    <row r="388">
      <c r="E388" s="38"/>
    </row>
    <row r="389">
      <c r="E389" s="38"/>
    </row>
    <row r="390">
      <c r="E390" s="38"/>
    </row>
    <row r="391">
      <c r="E391" s="38"/>
    </row>
    <row r="392">
      <c r="E392" s="38"/>
    </row>
    <row r="393">
      <c r="E393" s="38"/>
    </row>
    <row r="394">
      <c r="E394" s="38"/>
    </row>
    <row r="395">
      <c r="E395" s="38"/>
    </row>
    <row r="396">
      <c r="E396" s="38"/>
    </row>
    <row r="397">
      <c r="E397" s="38"/>
    </row>
    <row r="398">
      <c r="E398" s="38"/>
    </row>
    <row r="399">
      <c r="E399" s="38"/>
    </row>
    <row r="400">
      <c r="E400" s="38"/>
    </row>
    <row r="401">
      <c r="E401" s="38"/>
    </row>
    <row r="402">
      <c r="E402" s="38"/>
    </row>
    <row r="403">
      <c r="E403" s="38"/>
    </row>
    <row r="404">
      <c r="E404" s="38"/>
    </row>
    <row r="405">
      <c r="E405" s="38"/>
    </row>
    <row r="406">
      <c r="E406" s="38"/>
    </row>
    <row r="407">
      <c r="E407" s="38"/>
    </row>
    <row r="408">
      <c r="E408" s="38"/>
    </row>
    <row r="409">
      <c r="E409" s="38"/>
    </row>
    <row r="410">
      <c r="E410" s="38"/>
    </row>
    <row r="411">
      <c r="E411" s="38"/>
    </row>
    <row r="412">
      <c r="E412" s="38"/>
    </row>
    <row r="413">
      <c r="E413" s="38"/>
    </row>
    <row r="414">
      <c r="E414" s="38"/>
    </row>
    <row r="415">
      <c r="E415" s="38"/>
    </row>
    <row r="416">
      <c r="E416" s="38"/>
    </row>
    <row r="417">
      <c r="E417" s="38"/>
    </row>
    <row r="418">
      <c r="E418" s="38"/>
    </row>
    <row r="419">
      <c r="E419" s="38"/>
    </row>
    <row r="420">
      <c r="E420" s="38"/>
    </row>
    <row r="421">
      <c r="E421" s="38"/>
    </row>
    <row r="422">
      <c r="E422" s="38"/>
    </row>
    <row r="423">
      <c r="E423" s="38"/>
    </row>
    <row r="424">
      <c r="E424" s="38"/>
    </row>
    <row r="425">
      <c r="E425" s="38"/>
    </row>
    <row r="426">
      <c r="E426" s="38"/>
    </row>
    <row r="427">
      <c r="E427" s="38"/>
    </row>
    <row r="428">
      <c r="E428" s="38"/>
    </row>
    <row r="429">
      <c r="E429" s="38"/>
    </row>
    <row r="430">
      <c r="E430" s="38"/>
    </row>
    <row r="431">
      <c r="E431" s="38"/>
    </row>
    <row r="432">
      <c r="E432" s="38"/>
    </row>
    <row r="433">
      <c r="E433" s="38"/>
    </row>
    <row r="434">
      <c r="E434" s="38"/>
    </row>
    <row r="435">
      <c r="E435" s="38"/>
    </row>
    <row r="436">
      <c r="E436" s="38"/>
    </row>
    <row r="437">
      <c r="E437" s="38"/>
    </row>
    <row r="438">
      <c r="E438" s="38"/>
    </row>
    <row r="439">
      <c r="E439" s="38"/>
    </row>
    <row r="440">
      <c r="E440" s="38"/>
    </row>
    <row r="441">
      <c r="E441" s="38"/>
    </row>
    <row r="442">
      <c r="E442" s="38"/>
    </row>
    <row r="443">
      <c r="E443" s="38"/>
    </row>
    <row r="444">
      <c r="E444" s="38"/>
    </row>
    <row r="445">
      <c r="E445" s="38"/>
    </row>
    <row r="446">
      <c r="E446" s="38"/>
    </row>
    <row r="447">
      <c r="E447" s="38"/>
    </row>
    <row r="448">
      <c r="E448" s="38"/>
    </row>
    <row r="449">
      <c r="E449" s="38"/>
    </row>
    <row r="450">
      <c r="E450" s="38"/>
    </row>
    <row r="451">
      <c r="E451" s="38"/>
    </row>
    <row r="452">
      <c r="E452" s="38"/>
    </row>
    <row r="453">
      <c r="E453" s="38"/>
    </row>
    <row r="454">
      <c r="E454" s="38"/>
    </row>
    <row r="455">
      <c r="E455" s="38"/>
    </row>
    <row r="456">
      <c r="E456" s="38"/>
    </row>
    <row r="457">
      <c r="E457" s="38"/>
    </row>
    <row r="458">
      <c r="E458" s="38"/>
    </row>
    <row r="459">
      <c r="E459" s="38"/>
    </row>
    <row r="460">
      <c r="E460" s="38"/>
    </row>
    <row r="461">
      <c r="E461" s="38"/>
    </row>
    <row r="462">
      <c r="E462" s="38"/>
    </row>
    <row r="463">
      <c r="E463" s="38"/>
    </row>
    <row r="464">
      <c r="E464" s="38"/>
    </row>
    <row r="465">
      <c r="E465" s="38"/>
    </row>
    <row r="466">
      <c r="E466" s="38"/>
    </row>
    <row r="467">
      <c r="E467" s="38"/>
    </row>
    <row r="468">
      <c r="E468" s="38"/>
    </row>
    <row r="469">
      <c r="E469" s="38"/>
    </row>
    <row r="470">
      <c r="E470" s="38"/>
    </row>
    <row r="471">
      <c r="E471" s="38"/>
    </row>
    <row r="472">
      <c r="E472" s="38"/>
    </row>
    <row r="473">
      <c r="E473" s="38"/>
    </row>
    <row r="474">
      <c r="E474" s="38"/>
    </row>
    <row r="475">
      <c r="E475" s="38"/>
    </row>
    <row r="476">
      <c r="E476" s="38"/>
    </row>
    <row r="477">
      <c r="E477" s="38"/>
    </row>
    <row r="478">
      <c r="E478" s="38"/>
    </row>
    <row r="479">
      <c r="E479" s="38"/>
    </row>
    <row r="480">
      <c r="E480" s="38"/>
    </row>
    <row r="481">
      <c r="E481" s="38"/>
    </row>
    <row r="482">
      <c r="E482" s="38"/>
    </row>
    <row r="483">
      <c r="E483" s="38"/>
    </row>
    <row r="484">
      <c r="E484" s="38"/>
    </row>
    <row r="485">
      <c r="E485" s="38"/>
    </row>
    <row r="486">
      <c r="E486" s="38"/>
    </row>
    <row r="487">
      <c r="E487" s="38"/>
    </row>
    <row r="488">
      <c r="E488" s="38"/>
    </row>
    <row r="489">
      <c r="E489" s="38"/>
    </row>
    <row r="490">
      <c r="E490" s="38"/>
    </row>
    <row r="491">
      <c r="E491" s="38"/>
    </row>
    <row r="492">
      <c r="E492" s="38"/>
    </row>
    <row r="493">
      <c r="E493" s="38"/>
    </row>
    <row r="494">
      <c r="E494" s="38"/>
    </row>
    <row r="495">
      <c r="E495" s="38"/>
    </row>
    <row r="496">
      <c r="E496" s="38"/>
    </row>
    <row r="497">
      <c r="E497" s="38"/>
    </row>
    <row r="498">
      <c r="E498" s="38"/>
    </row>
    <row r="499">
      <c r="E499" s="38"/>
    </row>
    <row r="500">
      <c r="E500" s="38"/>
    </row>
    <row r="501">
      <c r="E501" s="38"/>
    </row>
    <row r="502">
      <c r="E502" s="38"/>
    </row>
    <row r="503">
      <c r="E503" s="38"/>
    </row>
    <row r="504">
      <c r="E504" s="38"/>
    </row>
    <row r="505">
      <c r="E505" s="38"/>
    </row>
    <row r="506">
      <c r="E506" s="38"/>
    </row>
    <row r="507">
      <c r="E507" s="38"/>
    </row>
    <row r="508">
      <c r="E508" s="38"/>
    </row>
    <row r="509">
      <c r="E509" s="38"/>
    </row>
    <row r="510">
      <c r="E510" s="38"/>
    </row>
    <row r="511">
      <c r="E511" s="38"/>
    </row>
    <row r="512">
      <c r="E512" s="38"/>
    </row>
    <row r="513">
      <c r="E513" s="38"/>
    </row>
    <row r="514">
      <c r="E514" s="38"/>
    </row>
    <row r="515">
      <c r="E515" s="38"/>
    </row>
    <row r="516">
      <c r="E516" s="38"/>
    </row>
    <row r="517">
      <c r="E517" s="38"/>
    </row>
    <row r="518">
      <c r="E518" s="38"/>
    </row>
    <row r="519">
      <c r="E519" s="38"/>
    </row>
    <row r="520">
      <c r="E520" s="38"/>
    </row>
    <row r="521">
      <c r="E521" s="38"/>
    </row>
    <row r="522">
      <c r="E522" s="38"/>
    </row>
    <row r="523">
      <c r="E523" s="38"/>
    </row>
    <row r="524">
      <c r="E524" s="38"/>
    </row>
    <row r="525">
      <c r="E525" s="38"/>
    </row>
    <row r="526">
      <c r="E526" s="38"/>
    </row>
    <row r="527">
      <c r="E527" s="38"/>
    </row>
    <row r="528">
      <c r="E528" s="38"/>
    </row>
    <row r="529">
      <c r="E529" s="38"/>
    </row>
    <row r="530">
      <c r="E530" s="38"/>
    </row>
    <row r="531">
      <c r="E531" s="38"/>
    </row>
    <row r="532">
      <c r="E532" s="38"/>
    </row>
    <row r="533">
      <c r="E533" s="38"/>
    </row>
    <row r="534">
      <c r="E534" s="38"/>
    </row>
    <row r="535">
      <c r="E535" s="38"/>
    </row>
    <row r="536">
      <c r="E536" s="38"/>
    </row>
    <row r="537">
      <c r="E537" s="38"/>
    </row>
    <row r="538">
      <c r="E538" s="38"/>
    </row>
    <row r="539">
      <c r="E539" s="38"/>
    </row>
    <row r="540">
      <c r="E540" s="38"/>
    </row>
    <row r="541">
      <c r="E541" s="38"/>
    </row>
    <row r="542">
      <c r="E542" s="38"/>
    </row>
    <row r="543">
      <c r="E543" s="38"/>
    </row>
    <row r="544">
      <c r="E544" s="38"/>
    </row>
    <row r="545">
      <c r="E545" s="38"/>
    </row>
    <row r="546">
      <c r="E546" s="38"/>
    </row>
    <row r="547">
      <c r="E547" s="38"/>
    </row>
    <row r="548">
      <c r="E548" s="38"/>
    </row>
    <row r="549">
      <c r="E549" s="38"/>
    </row>
    <row r="550">
      <c r="E550" s="38"/>
    </row>
    <row r="551">
      <c r="E551" s="38"/>
    </row>
    <row r="552">
      <c r="E552" s="38"/>
    </row>
    <row r="553">
      <c r="E553" s="38"/>
    </row>
    <row r="554">
      <c r="E554" s="38"/>
    </row>
    <row r="555">
      <c r="E555" s="38"/>
    </row>
    <row r="556">
      <c r="E556" s="38"/>
    </row>
    <row r="557">
      <c r="E557" s="38"/>
    </row>
    <row r="558">
      <c r="E558" s="38"/>
    </row>
    <row r="559">
      <c r="E559" s="38"/>
    </row>
    <row r="560">
      <c r="E560" s="38"/>
    </row>
    <row r="561">
      <c r="E561" s="38"/>
    </row>
    <row r="562">
      <c r="E562" s="38"/>
    </row>
    <row r="563">
      <c r="E563" s="38"/>
    </row>
    <row r="564">
      <c r="E564" s="38"/>
    </row>
    <row r="565">
      <c r="E565" s="38"/>
    </row>
    <row r="566">
      <c r="E566" s="38"/>
    </row>
    <row r="567">
      <c r="E567" s="38"/>
    </row>
    <row r="568">
      <c r="E568" s="38"/>
    </row>
    <row r="569">
      <c r="E569" s="38"/>
    </row>
    <row r="570">
      <c r="E570" s="38"/>
    </row>
    <row r="571">
      <c r="E571" s="38"/>
    </row>
    <row r="572">
      <c r="E572" s="38"/>
    </row>
    <row r="573">
      <c r="E573" s="38"/>
    </row>
    <row r="574">
      <c r="E574" s="38"/>
    </row>
    <row r="575">
      <c r="E575" s="38"/>
    </row>
    <row r="576">
      <c r="E576" s="38"/>
    </row>
    <row r="577">
      <c r="E577" s="38"/>
    </row>
    <row r="578">
      <c r="E578" s="38"/>
    </row>
    <row r="579">
      <c r="E579" s="38"/>
    </row>
    <row r="580">
      <c r="E580" s="38"/>
    </row>
    <row r="581">
      <c r="E581" s="38"/>
    </row>
    <row r="582">
      <c r="E582" s="38"/>
    </row>
    <row r="583">
      <c r="E583" s="38"/>
    </row>
    <row r="584">
      <c r="E584" s="38"/>
    </row>
    <row r="585">
      <c r="E585" s="38"/>
    </row>
    <row r="586">
      <c r="E586" s="38"/>
    </row>
    <row r="587">
      <c r="E587" s="38"/>
    </row>
    <row r="588">
      <c r="E588" s="38"/>
    </row>
    <row r="589">
      <c r="E589" s="38"/>
    </row>
    <row r="590">
      <c r="E590" s="38"/>
    </row>
    <row r="591">
      <c r="E591" s="38"/>
    </row>
    <row r="592">
      <c r="E592" s="38"/>
    </row>
    <row r="593">
      <c r="E593" s="38"/>
    </row>
    <row r="594">
      <c r="E594" s="38"/>
    </row>
    <row r="595">
      <c r="E595" s="38"/>
    </row>
    <row r="596">
      <c r="E596" s="38"/>
    </row>
    <row r="597">
      <c r="E597" s="38"/>
    </row>
    <row r="598">
      <c r="E598" s="38"/>
    </row>
    <row r="599">
      <c r="E599" s="38"/>
    </row>
    <row r="600">
      <c r="E600" s="38"/>
    </row>
    <row r="601">
      <c r="E601" s="38"/>
    </row>
    <row r="602">
      <c r="E602" s="38"/>
    </row>
    <row r="603">
      <c r="E603" s="38"/>
    </row>
    <row r="604">
      <c r="E604" s="38"/>
    </row>
    <row r="605">
      <c r="E605" s="38"/>
    </row>
    <row r="606">
      <c r="E606" s="38"/>
    </row>
    <row r="607">
      <c r="E607" s="38"/>
    </row>
    <row r="608">
      <c r="E608" s="38"/>
    </row>
    <row r="609">
      <c r="E609" s="38"/>
    </row>
    <row r="610">
      <c r="E610" s="38"/>
    </row>
    <row r="611">
      <c r="E611" s="38"/>
    </row>
    <row r="612">
      <c r="E612" s="38"/>
    </row>
    <row r="613">
      <c r="E613" s="38"/>
    </row>
    <row r="614">
      <c r="E614" s="38"/>
    </row>
    <row r="615">
      <c r="E615" s="38"/>
    </row>
    <row r="616">
      <c r="E616" s="38"/>
    </row>
    <row r="617">
      <c r="E617" s="38"/>
    </row>
    <row r="618">
      <c r="E618" s="38"/>
    </row>
    <row r="619">
      <c r="E619" s="38"/>
    </row>
    <row r="620">
      <c r="E620" s="38"/>
    </row>
    <row r="621">
      <c r="E621" s="38"/>
    </row>
    <row r="622">
      <c r="E622" s="38"/>
    </row>
    <row r="623">
      <c r="E623" s="38"/>
    </row>
    <row r="624">
      <c r="E624" s="38"/>
    </row>
    <row r="625">
      <c r="E625" s="38"/>
    </row>
    <row r="626">
      <c r="E626" s="38"/>
    </row>
    <row r="627">
      <c r="E627" s="38"/>
    </row>
    <row r="628">
      <c r="E628" s="38"/>
    </row>
    <row r="629">
      <c r="E629" s="38"/>
    </row>
    <row r="630">
      <c r="E630" s="38"/>
    </row>
    <row r="631">
      <c r="E631" s="38"/>
    </row>
    <row r="632">
      <c r="E632" s="38"/>
    </row>
    <row r="633">
      <c r="E633" s="38"/>
    </row>
    <row r="634">
      <c r="E634" s="38"/>
    </row>
    <row r="635">
      <c r="E635" s="38"/>
    </row>
    <row r="636">
      <c r="E636" s="38"/>
    </row>
    <row r="637">
      <c r="E637" s="38"/>
    </row>
    <row r="638">
      <c r="E638" s="38"/>
    </row>
    <row r="639">
      <c r="E639" s="38"/>
    </row>
    <row r="640">
      <c r="E640" s="38"/>
    </row>
    <row r="641">
      <c r="E641" s="38"/>
    </row>
    <row r="642">
      <c r="E642" s="38"/>
    </row>
    <row r="643">
      <c r="E643" s="38"/>
    </row>
    <row r="644">
      <c r="E644" s="38"/>
    </row>
    <row r="645">
      <c r="E645" s="38"/>
    </row>
    <row r="646">
      <c r="E646" s="38"/>
    </row>
    <row r="647">
      <c r="E647" s="38"/>
    </row>
    <row r="648">
      <c r="E648" s="38"/>
    </row>
    <row r="649">
      <c r="E649" s="38"/>
    </row>
    <row r="650">
      <c r="E650" s="38"/>
    </row>
    <row r="651">
      <c r="E651" s="38"/>
    </row>
    <row r="652">
      <c r="E652" s="38"/>
    </row>
    <row r="653">
      <c r="E653" s="38"/>
    </row>
    <row r="654">
      <c r="E654" s="38"/>
    </row>
    <row r="655">
      <c r="E655" s="38"/>
    </row>
    <row r="656">
      <c r="E656" s="38"/>
    </row>
    <row r="657">
      <c r="E657" s="38"/>
    </row>
    <row r="658">
      <c r="E658" s="38"/>
    </row>
    <row r="659">
      <c r="E659" s="38"/>
    </row>
    <row r="660">
      <c r="E660" s="38"/>
    </row>
    <row r="661">
      <c r="E661" s="38"/>
    </row>
    <row r="662">
      <c r="E662" s="38"/>
    </row>
    <row r="663">
      <c r="E663" s="38"/>
    </row>
    <row r="664">
      <c r="E664" s="38"/>
    </row>
    <row r="665">
      <c r="E665" s="38"/>
    </row>
    <row r="666">
      <c r="E666" s="38"/>
    </row>
    <row r="667">
      <c r="E667" s="38"/>
    </row>
    <row r="668">
      <c r="E668" s="38"/>
    </row>
    <row r="669">
      <c r="E669" s="38"/>
    </row>
    <row r="670">
      <c r="E670" s="38"/>
    </row>
    <row r="671">
      <c r="E671" s="38"/>
    </row>
    <row r="672">
      <c r="E672" s="38"/>
    </row>
    <row r="673">
      <c r="E673" s="38"/>
    </row>
    <row r="674">
      <c r="E674" s="38"/>
    </row>
    <row r="675">
      <c r="E675" s="38"/>
    </row>
    <row r="676">
      <c r="E676" s="38"/>
    </row>
    <row r="677">
      <c r="E677" s="38"/>
    </row>
    <row r="678">
      <c r="E678" s="38"/>
    </row>
    <row r="679">
      <c r="E679" s="38"/>
    </row>
    <row r="680">
      <c r="E680" s="38"/>
    </row>
    <row r="681">
      <c r="E681" s="38"/>
    </row>
    <row r="682">
      <c r="E682" s="38"/>
    </row>
    <row r="683">
      <c r="E683" s="38"/>
    </row>
    <row r="684">
      <c r="E684" s="38"/>
    </row>
    <row r="685">
      <c r="E685" s="38"/>
    </row>
    <row r="686">
      <c r="E686" s="38"/>
    </row>
    <row r="687">
      <c r="E687" s="38"/>
    </row>
    <row r="688">
      <c r="E688" s="38"/>
    </row>
    <row r="689">
      <c r="E689" s="38"/>
    </row>
    <row r="690">
      <c r="E690" s="38"/>
    </row>
    <row r="691">
      <c r="E691" s="38"/>
    </row>
    <row r="692">
      <c r="E692" s="38"/>
    </row>
    <row r="693">
      <c r="E693" s="38"/>
    </row>
    <row r="694">
      <c r="E694" s="38"/>
    </row>
    <row r="695">
      <c r="E695" s="38"/>
    </row>
    <row r="696">
      <c r="E696" s="38"/>
    </row>
    <row r="697">
      <c r="E697" s="38"/>
    </row>
    <row r="698">
      <c r="E698" s="38"/>
    </row>
    <row r="699">
      <c r="E699" s="38"/>
    </row>
    <row r="700">
      <c r="E700" s="38"/>
    </row>
    <row r="701">
      <c r="E701" s="38"/>
    </row>
    <row r="702">
      <c r="E702" s="38"/>
    </row>
    <row r="703">
      <c r="E703" s="38"/>
    </row>
    <row r="704">
      <c r="E704" s="38"/>
    </row>
    <row r="705">
      <c r="E705" s="38"/>
    </row>
    <row r="706">
      <c r="E706" s="38"/>
    </row>
    <row r="707">
      <c r="E707" s="38"/>
    </row>
    <row r="708">
      <c r="E708" s="38"/>
    </row>
    <row r="709">
      <c r="E709" s="38"/>
    </row>
    <row r="710">
      <c r="E710" s="38"/>
    </row>
    <row r="711">
      <c r="E711" s="38"/>
    </row>
    <row r="712">
      <c r="E712" s="38"/>
    </row>
    <row r="713">
      <c r="E713" s="38"/>
    </row>
    <row r="714">
      <c r="E714" s="38"/>
    </row>
    <row r="715">
      <c r="E715" s="38"/>
    </row>
    <row r="716">
      <c r="E716" s="38"/>
    </row>
    <row r="717">
      <c r="E717" s="38"/>
    </row>
    <row r="718">
      <c r="E718" s="38"/>
    </row>
    <row r="719">
      <c r="E719" s="38"/>
    </row>
    <row r="720">
      <c r="E720" s="38"/>
    </row>
    <row r="721">
      <c r="E721" s="38"/>
    </row>
    <row r="722">
      <c r="E722" s="38"/>
    </row>
    <row r="723">
      <c r="E723" s="38"/>
    </row>
    <row r="724">
      <c r="E724" s="38"/>
    </row>
    <row r="725">
      <c r="E725" s="38"/>
    </row>
    <row r="726">
      <c r="E726" s="38"/>
    </row>
    <row r="727">
      <c r="E727" s="38"/>
    </row>
    <row r="728">
      <c r="E728" s="38"/>
    </row>
    <row r="729">
      <c r="E729" s="38"/>
    </row>
    <row r="730">
      <c r="E730" s="38"/>
    </row>
    <row r="731">
      <c r="E731" s="38"/>
    </row>
    <row r="732">
      <c r="E732" s="38"/>
    </row>
    <row r="733">
      <c r="E733" s="38"/>
    </row>
    <row r="734">
      <c r="E734" s="38"/>
    </row>
    <row r="735">
      <c r="E735" s="38"/>
    </row>
    <row r="736">
      <c r="E736" s="38"/>
    </row>
    <row r="737">
      <c r="E737" s="38"/>
    </row>
    <row r="738">
      <c r="E738" s="38"/>
    </row>
    <row r="739">
      <c r="E739" s="38"/>
    </row>
    <row r="740">
      <c r="E740" s="38"/>
    </row>
    <row r="741">
      <c r="E741" s="38"/>
    </row>
    <row r="742">
      <c r="E742" s="38"/>
    </row>
    <row r="743">
      <c r="E743" s="38"/>
    </row>
    <row r="744">
      <c r="E744" s="38"/>
    </row>
    <row r="745">
      <c r="E745" s="38"/>
    </row>
    <row r="746">
      <c r="E746" s="38"/>
    </row>
    <row r="747">
      <c r="E747" s="38"/>
    </row>
    <row r="748">
      <c r="E748" s="38"/>
    </row>
    <row r="749">
      <c r="E749" s="38"/>
    </row>
    <row r="750">
      <c r="E750" s="38"/>
    </row>
    <row r="751">
      <c r="E751" s="38"/>
    </row>
    <row r="752">
      <c r="E752" s="38"/>
    </row>
    <row r="753">
      <c r="E753" s="38"/>
    </row>
    <row r="754">
      <c r="E754" s="38"/>
    </row>
    <row r="755">
      <c r="E755" s="38"/>
    </row>
    <row r="756">
      <c r="E756" s="38"/>
    </row>
    <row r="757">
      <c r="E757" s="38"/>
    </row>
    <row r="758">
      <c r="E758" s="38"/>
    </row>
    <row r="759">
      <c r="E759" s="38"/>
    </row>
    <row r="760">
      <c r="E760" s="38"/>
    </row>
    <row r="761">
      <c r="E761" s="38"/>
    </row>
    <row r="762">
      <c r="E762" s="38"/>
    </row>
    <row r="763">
      <c r="E763" s="38"/>
    </row>
    <row r="764">
      <c r="E764" s="38"/>
    </row>
    <row r="765">
      <c r="E765" s="38"/>
    </row>
    <row r="766">
      <c r="E766" s="38"/>
    </row>
    <row r="767">
      <c r="E767" s="38"/>
    </row>
    <row r="768">
      <c r="E768" s="38"/>
    </row>
    <row r="769">
      <c r="E769" s="38"/>
    </row>
    <row r="770">
      <c r="E770" s="38"/>
    </row>
    <row r="771">
      <c r="E771" s="38"/>
    </row>
    <row r="772">
      <c r="E772" s="38"/>
    </row>
    <row r="773">
      <c r="E773" s="38"/>
    </row>
    <row r="774">
      <c r="E774" s="38"/>
    </row>
    <row r="775">
      <c r="E775" s="38"/>
    </row>
    <row r="776">
      <c r="E776" s="38"/>
    </row>
    <row r="777">
      <c r="E777" s="38"/>
    </row>
    <row r="778">
      <c r="E778" s="38"/>
    </row>
    <row r="779">
      <c r="E779" s="38"/>
    </row>
    <row r="780">
      <c r="E780" s="38"/>
    </row>
    <row r="781">
      <c r="E781" s="38"/>
    </row>
    <row r="782">
      <c r="E782" s="38"/>
    </row>
    <row r="783">
      <c r="E783" s="38"/>
    </row>
    <row r="784">
      <c r="E784" s="38"/>
    </row>
    <row r="785">
      <c r="E785" s="38"/>
    </row>
    <row r="786">
      <c r="E786" s="38"/>
    </row>
    <row r="787">
      <c r="E787" s="38"/>
    </row>
    <row r="788">
      <c r="E788" s="38"/>
    </row>
    <row r="789">
      <c r="E789" s="38"/>
    </row>
    <row r="790">
      <c r="E790" s="38"/>
    </row>
    <row r="791">
      <c r="E791" s="38"/>
    </row>
    <row r="792">
      <c r="E792" s="38"/>
    </row>
    <row r="793">
      <c r="E793" s="38"/>
    </row>
    <row r="794">
      <c r="E794" s="38"/>
    </row>
    <row r="795">
      <c r="E795" s="38"/>
    </row>
    <row r="796">
      <c r="E796" s="38"/>
    </row>
    <row r="797">
      <c r="E797" s="38"/>
    </row>
    <row r="798">
      <c r="E798" s="38"/>
    </row>
    <row r="799">
      <c r="E799" s="38"/>
    </row>
    <row r="800">
      <c r="E800" s="38"/>
    </row>
    <row r="801">
      <c r="E801" s="38"/>
    </row>
    <row r="802">
      <c r="E802" s="38"/>
    </row>
    <row r="803">
      <c r="E803" s="38"/>
    </row>
    <row r="804">
      <c r="E804" s="38"/>
    </row>
    <row r="805">
      <c r="E805" s="38"/>
    </row>
    <row r="806">
      <c r="E806" s="38"/>
    </row>
    <row r="807">
      <c r="E807" s="38"/>
    </row>
    <row r="808">
      <c r="E808" s="38"/>
    </row>
    <row r="809">
      <c r="E809" s="38"/>
    </row>
    <row r="810">
      <c r="E810" s="38"/>
    </row>
    <row r="811">
      <c r="E811" s="38"/>
    </row>
    <row r="812">
      <c r="E812" s="38"/>
    </row>
    <row r="813">
      <c r="E813" s="38"/>
    </row>
    <row r="814">
      <c r="E814" s="38"/>
    </row>
    <row r="815">
      <c r="E815" s="38"/>
    </row>
    <row r="816">
      <c r="E816" s="38"/>
    </row>
    <row r="817">
      <c r="E817" s="38"/>
    </row>
    <row r="818">
      <c r="E818" s="38"/>
    </row>
    <row r="819">
      <c r="E819" s="38"/>
    </row>
    <row r="820">
      <c r="E820" s="38"/>
    </row>
    <row r="821">
      <c r="E821" s="38"/>
    </row>
    <row r="822">
      <c r="E822" s="38"/>
    </row>
    <row r="823">
      <c r="E823" s="38"/>
    </row>
    <row r="824">
      <c r="E824" s="38"/>
    </row>
    <row r="825">
      <c r="E825" s="38"/>
    </row>
    <row r="826">
      <c r="E826" s="38"/>
    </row>
    <row r="827">
      <c r="E827" s="38"/>
    </row>
    <row r="828">
      <c r="E828" s="38"/>
    </row>
    <row r="829">
      <c r="E829" s="38"/>
    </row>
    <row r="830">
      <c r="E830" s="38"/>
    </row>
    <row r="831">
      <c r="E831" s="38"/>
    </row>
    <row r="832">
      <c r="E832" s="38"/>
    </row>
    <row r="833">
      <c r="E833" s="38"/>
    </row>
    <row r="834">
      <c r="E834" s="38"/>
    </row>
    <row r="835">
      <c r="E835" s="38"/>
    </row>
    <row r="836">
      <c r="E836" s="38"/>
    </row>
    <row r="837">
      <c r="E837" s="38"/>
    </row>
    <row r="838">
      <c r="E838" s="38"/>
    </row>
    <row r="839">
      <c r="E839" s="38"/>
    </row>
    <row r="840">
      <c r="E840" s="38"/>
    </row>
    <row r="841">
      <c r="E841" s="38"/>
    </row>
    <row r="842">
      <c r="E842" s="38"/>
    </row>
    <row r="843">
      <c r="E843" s="38"/>
    </row>
    <row r="844">
      <c r="E844" s="38"/>
    </row>
    <row r="845">
      <c r="E845" s="38"/>
    </row>
    <row r="846">
      <c r="E846" s="38"/>
    </row>
    <row r="847">
      <c r="E847" s="38"/>
    </row>
    <row r="848">
      <c r="E848" s="38"/>
    </row>
    <row r="849">
      <c r="E849" s="38"/>
    </row>
    <row r="850">
      <c r="E850" s="38"/>
    </row>
    <row r="851">
      <c r="E851" s="38"/>
    </row>
    <row r="852">
      <c r="E852" s="38"/>
    </row>
    <row r="853">
      <c r="E853" s="38"/>
    </row>
    <row r="854">
      <c r="E854" s="38"/>
    </row>
    <row r="855">
      <c r="E855" s="38"/>
    </row>
    <row r="856">
      <c r="E856" s="38"/>
    </row>
    <row r="857">
      <c r="E857" s="38"/>
    </row>
    <row r="858">
      <c r="E858" s="38"/>
    </row>
    <row r="859">
      <c r="E859" s="38"/>
    </row>
    <row r="860">
      <c r="E860" s="38"/>
    </row>
    <row r="861">
      <c r="E861" s="38"/>
    </row>
    <row r="862">
      <c r="E862" s="38"/>
    </row>
    <row r="863">
      <c r="E863" s="38"/>
    </row>
    <row r="864">
      <c r="E864" s="38"/>
    </row>
    <row r="865">
      <c r="E865" s="38"/>
    </row>
    <row r="866">
      <c r="E866" s="38"/>
    </row>
    <row r="867">
      <c r="E867" s="38"/>
    </row>
    <row r="868">
      <c r="E868" s="38"/>
    </row>
    <row r="869">
      <c r="E869" s="38"/>
    </row>
    <row r="870">
      <c r="E870" s="38"/>
    </row>
    <row r="871">
      <c r="E871" s="38"/>
    </row>
    <row r="872">
      <c r="E872" s="38"/>
    </row>
    <row r="873">
      <c r="E873" s="38"/>
    </row>
    <row r="874">
      <c r="E874" s="38"/>
    </row>
    <row r="875">
      <c r="E875" s="38"/>
    </row>
    <row r="876">
      <c r="E876" s="38"/>
    </row>
    <row r="877">
      <c r="E877" s="38"/>
    </row>
    <row r="878">
      <c r="E878" s="38"/>
    </row>
    <row r="879">
      <c r="E879" s="38"/>
    </row>
    <row r="880">
      <c r="E880" s="38"/>
    </row>
    <row r="881">
      <c r="E881" s="38"/>
    </row>
    <row r="882">
      <c r="E882" s="38"/>
    </row>
    <row r="883">
      <c r="E883" s="38"/>
    </row>
    <row r="884">
      <c r="E884" s="38"/>
    </row>
    <row r="885">
      <c r="E885" s="38"/>
    </row>
    <row r="886">
      <c r="E886" s="38"/>
    </row>
    <row r="887">
      <c r="E887" s="38"/>
    </row>
    <row r="888">
      <c r="E888" s="38"/>
    </row>
    <row r="889">
      <c r="E889" s="38"/>
    </row>
    <row r="890">
      <c r="E890" s="38"/>
    </row>
    <row r="891">
      <c r="E891" s="38"/>
    </row>
    <row r="892">
      <c r="E892" s="38"/>
    </row>
    <row r="893">
      <c r="E893" s="38"/>
    </row>
    <row r="894">
      <c r="E894" s="38"/>
    </row>
    <row r="895">
      <c r="E895" s="38"/>
    </row>
    <row r="896">
      <c r="E896" s="38"/>
    </row>
    <row r="897">
      <c r="E897" s="38"/>
    </row>
    <row r="898">
      <c r="E898" s="38"/>
    </row>
    <row r="899">
      <c r="E899" s="38"/>
    </row>
    <row r="900">
      <c r="E900" s="38"/>
    </row>
    <row r="901">
      <c r="E901" s="38"/>
    </row>
    <row r="902">
      <c r="E902" s="38"/>
    </row>
    <row r="903">
      <c r="E903" s="38"/>
    </row>
    <row r="904">
      <c r="E904" s="38"/>
    </row>
    <row r="905">
      <c r="E905" s="38"/>
    </row>
    <row r="906">
      <c r="E906" s="38"/>
    </row>
    <row r="907">
      <c r="E907" s="38"/>
    </row>
    <row r="908">
      <c r="E908" s="38"/>
    </row>
    <row r="909">
      <c r="E909" s="38"/>
    </row>
    <row r="910">
      <c r="E910" s="38"/>
    </row>
    <row r="911">
      <c r="E911" s="38"/>
    </row>
    <row r="912">
      <c r="E912" s="38"/>
    </row>
    <row r="913">
      <c r="E913" s="38"/>
    </row>
    <row r="914">
      <c r="E914" s="38"/>
    </row>
    <row r="915">
      <c r="E915" s="38"/>
    </row>
    <row r="916">
      <c r="E916" s="38"/>
    </row>
    <row r="917">
      <c r="E917" s="38"/>
    </row>
    <row r="918">
      <c r="E918" s="38"/>
    </row>
    <row r="919">
      <c r="E919" s="38"/>
    </row>
    <row r="920">
      <c r="E920" s="38"/>
    </row>
    <row r="921">
      <c r="E921" s="38"/>
    </row>
    <row r="922">
      <c r="E922" s="38"/>
    </row>
    <row r="923">
      <c r="E923" s="38"/>
    </row>
    <row r="924">
      <c r="E924" s="38"/>
    </row>
    <row r="925">
      <c r="E925" s="38"/>
    </row>
    <row r="926">
      <c r="E926" s="38"/>
    </row>
    <row r="927">
      <c r="E927" s="38"/>
    </row>
    <row r="928">
      <c r="E928" s="38"/>
    </row>
    <row r="929">
      <c r="E929" s="38"/>
    </row>
    <row r="930">
      <c r="E930" s="38"/>
    </row>
    <row r="931">
      <c r="E931" s="38"/>
    </row>
    <row r="932">
      <c r="E932" s="38"/>
    </row>
    <row r="933">
      <c r="E933" s="38"/>
    </row>
    <row r="934">
      <c r="E934" s="38"/>
    </row>
    <row r="935">
      <c r="E935" s="38"/>
    </row>
    <row r="936">
      <c r="E936" s="38"/>
    </row>
    <row r="937">
      <c r="E937" s="38"/>
    </row>
    <row r="938">
      <c r="E938" s="38"/>
    </row>
    <row r="939">
      <c r="E939" s="38"/>
    </row>
    <row r="940">
      <c r="E940" s="38"/>
    </row>
    <row r="941">
      <c r="E941" s="38"/>
    </row>
    <row r="942">
      <c r="E942" s="38"/>
    </row>
    <row r="943">
      <c r="E943" s="38"/>
    </row>
    <row r="944">
      <c r="E944" s="38"/>
    </row>
    <row r="945">
      <c r="E945" s="38"/>
    </row>
    <row r="946">
      <c r="E946" s="38"/>
    </row>
    <row r="947">
      <c r="E947" s="38"/>
    </row>
    <row r="948">
      <c r="E948" s="38"/>
    </row>
    <row r="949">
      <c r="E949" s="38"/>
    </row>
    <row r="950">
      <c r="E950" s="38"/>
    </row>
    <row r="951">
      <c r="E951" s="38"/>
    </row>
    <row r="952">
      <c r="E952" s="38"/>
    </row>
    <row r="953">
      <c r="E953" s="38"/>
    </row>
    <row r="954">
      <c r="E954" s="38"/>
    </row>
    <row r="955">
      <c r="E955" s="38"/>
    </row>
    <row r="956">
      <c r="E956" s="38"/>
    </row>
    <row r="957">
      <c r="E957" s="38"/>
    </row>
    <row r="958">
      <c r="E958" s="38"/>
    </row>
    <row r="959">
      <c r="E959" s="38"/>
    </row>
    <row r="960">
      <c r="E960" s="38"/>
    </row>
    <row r="961">
      <c r="E961" s="38"/>
    </row>
    <row r="962">
      <c r="E962" s="38"/>
    </row>
    <row r="963">
      <c r="E963" s="38"/>
    </row>
    <row r="964">
      <c r="E964" s="38"/>
    </row>
    <row r="965">
      <c r="E965" s="38"/>
    </row>
    <row r="966">
      <c r="E966" s="38"/>
    </row>
    <row r="967">
      <c r="E967" s="38"/>
    </row>
    <row r="968">
      <c r="E968" s="38"/>
    </row>
    <row r="969">
      <c r="E969" s="38"/>
    </row>
    <row r="970">
      <c r="E970" s="38"/>
    </row>
    <row r="971">
      <c r="E971" s="38"/>
    </row>
    <row r="972">
      <c r="E972" s="38"/>
    </row>
    <row r="973">
      <c r="E973" s="38"/>
    </row>
    <row r="974">
      <c r="E974" s="38"/>
    </row>
    <row r="975">
      <c r="E975" s="38"/>
    </row>
    <row r="976">
      <c r="E976" s="38"/>
    </row>
    <row r="977">
      <c r="E977" s="38"/>
    </row>
    <row r="978">
      <c r="E978" s="38"/>
    </row>
    <row r="979">
      <c r="E979" s="38"/>
    </row>
    <row r="980">
      <c r="E980" s="38"/>
    </row>
    <row r="981">
      <c r="E981" s="38"/>
    </row>
    <row r="982">
      <c r="E982" s="38"/>
    </row>
    <row r="983">
      <c r="E983" s="38"/>
    </row>
    <row r="984">
      <c r="E984" s="38"/>
    </row>
    <row r="985">
      <c r="E985" s="38"/>
    </row>
    <row r="986">
      <c r="E986" s="38"/>
    </row>
    <row r="987">
      <c r="E987" s="38"/>
    </row>
    <row r="988">
      <c r="E988" s="38"/>
    </row>
  </sheetData>
  <mergeCells count="1">
    <mergeCell ref="J14:K14"/>
  </mergeCells>
  <dataValidations>
    <dataValidation type="decimal" allowBlank="1" showDropDown="1" sqref="A41">
      <formula1>1.0</formula1>
      <formula2>99.0</formula2>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71"/>
    <col customWidth="1" min="2" max="2" width="17.29"/>
    <col customWidth="1" min="3" max="3" width="18.14"/>
    <col customWidth="1" min="4" max="4" width="14.71"/>
    <col customWidth="1" min="5" max="5" width="15.86"/>
    <col customWidth="1" min="6" max="6" width="13.71"/>
    <col customWidth="1" min="8" max="8" width="14.57"/>
    <col customWidth="1" min="9" max="9" width="8.29"/>
    <col customWidth="1" min="10" max="10" width="15.14"/>
    <col customWidth="1" min="13" max="14" width="18.14"/>
    <col customWidth="1" min="16" max="16" width="16.86"/>
    <col customWidth="1" min="17" max="17" width="15.29"/>
    <col customWidth="1" min="20" max="20" width="16.86"/>
  </cols>
  <sheetData>
    <row r="1">
      <c r="A1" s="101"/>
      <c r="C1" s="102">
        <v>0.9</v>
      </c>
      <c r="D1" s="103"/>
      <c r="E1" s="103"/>
      <c r="G1" s="104"/>
      <c r="I1" s="103"/>
      <c r="J1" s="167">
        <v>0.1</v>
      </c>
      <c r="K1" s="8"/>
      <c r="L1" s="8"/>
      <c r="M1" s="8"/>
    </row>
    <row r="2">
      <c r="A2" s="106"/>
      <c r="C2" s="106" t="s">
        <v>461</v>
      </c>
      <c r="D2" s="103"/>
      <c r="E2" s="103"/>
      <c r="G2" s="104"/>
      <c r="I2" s="103"/>
      <c r="J2" s="103"/>
      <c r="K2" s="8"/>
      <c r="L2" s="8"/>
      <c r="M2" s="8"/>
      <c r="O2" s="1" t="s">
        <v>462</v>
      </c>
      <c r="P2" s="1" t="s">
        <v>463</v>
      </c>
    </row>
    <row r="3">
      <c r="A3" s="107" t="s">
        <v>387</v>
      </c>
      <c r="B3" s="108" t="s">
        <v>388</v>
      </c>
      <c r="C3" s="109" t="s">
        <v>389</v>
      </c>
      <c r="D3" s="107" t="s">
        <v>394</v>
      </c>
      <c r="E3" s="107" t="s">
        <v>391</v>
      </c>
      <c r="F3" s="108"/>
      <c r="G3" s="110" t="s">
        <v>392</v>
      </c>
      <c r="H3" s="108" t="s">
        <v>388</v>
      </c>
      <c r="I3" s="111" t="s">
        <v>393</v>
      </c>
      <c r="J3" s="110" t="s">
        <v>394</v>
      </c>
      <c r="K3" s="110" t="s">
        <v>395</v>
      </c>
      <c r="L3" s="6"/>
      <c r="M3" s="6"/>
      <c r="N3" s="4"/>
      <c r="O3" s="51">
        <v>-30.0</v>
      </c>
      <c r="P3" s="6" t="s">
        <v>464</v>
      </c>
    </row>
    <row r="4">
      <c r="A4" s="25" t="s">
        <v>466</v>
      </c>
      <c r="B4" s="4">
        <v>0.0</v>
      </c>
      <c r="C4" s="114">
        <v>0.0</v>
      </c>
      <c r="D4" s="113">
        <f>C4/SUM(C4,C5,C6,C7,C8,C9,C10)</f>
        <v>0</v>
      </c>
      <c r="E4" s="114"/>
      <c r="G4" s="115" t="s">
        <v>467</v>
      </c>
      <c r="H4" s="4">
        <v>0.0</v>
      </c>
      <c r="I4" s="117"/>
      <c r="J4" s="116" t="str">
        <f t="shared" ref="J4:J10" si="1">I4/SUM($I$4:$I$10)</f>
        <v>#DIV/0!</v>
      </c>
      <c r="K4" s="117">
        <v>0.0</v>
      </c>
      <c r="L4" s="6"/>
      <c r="M4" s="6"/>
      <c r="N4" s="4"/>
      <c r="O4" s="51">
        <v>-15.0</v>
      </c>
      <c r="P4" s="6" t="s">
        <v>468</v>
      </c>
    </row>
    <row r="5">
      <c r="A5" s="25" t="s">
        <v>39</v>
      </c>
      <c r="C5" s="114">
        <v>10.0</v>
      </c>
      <c r="D5" s="113">
        <f>C5/SUM(C4,C5,C6,C7,C8,C9,C10)</f>
        <v>0.125</v>
      </c>
      <c r="E5" s="114">
        <v>0.0</v>
      </c>
      <c r="G5" s="115" t="s">
        <v>70</v>
      </c>
      <c r="I5" s="117"/>
      <c r="J5" s="116" t="str">
        <f t="shared" si="1"/>
        <v>#DIV/0!</v>
      </c>
      <c r="K5" s="117">
        <v>0.0</v>
      </c>
      <c r="L5" s="6"/>
      <c r="M5" s="6"/>
      <c r="N5" s="4"/>
      <c r="O5" s="6">
        <v>0.0</v>
      </c>
      <c r="P5" s="6" t="s">
        <v>470</v>
      </c>
    </row>
    <row r="6">
      <c r="A6" s="25" t="s">
        <v>45</v>
      </c>
      <c r="C6" s="114">
        <v>20.0</v>
      </c>
      <c r="D6" s="113">
        <f>C6/SUM(C4,C5,C6,C7,C8,C9,C10)</f>
        <v>0.25</v>
      </c>
      <c r="E6" s="114">
        <v>15.0</v>
      </c>
      <c r="G6" s="115" t="s">
        <v>72</v>
      </c>
      <c r="I6" s="117"/>
      <c r="J6" s="116" t="str">
        <f t="shared" si="1"/>
        <v>#DIV/0!</v>
      </c>
      <c r="K6" s="117">
        <v>0.0</v>
      </c>
      <c r="L6" s="6"/>
      <c r="M6" s="6"/>
      <c r="N6" s="4"/>
      <c r="O6" s="58">
        <v>15.0</v>
      </c>
      <c r="P6" s="6" t="s">
        <v>472</v>
      </c>
    </row>
    <row r="7">
      <c r="A7" s="25" t="s">
        <v>51</v>
      </c>
      <c r="B7" s="4">
        <v>0.0</v>
      </c>
      <c r="C7" s="114">
        <v>20.0</v>
      </c>
      <c r="D7" s="113">
        <f>C7/SUM(C4,C5,C6,C7,C8,C9,C10)</f>
        <v>0.25</v>
      </c>
      <c r="E7" s="114">
        <v>0.0</v>
      </c>
      <c r="G7" s="115" t="s">
        <v>73</v>
      </c>
      <c r="I7" s="117"/>
      <c r="J7" s="116" t="str">
        <f t="shared" si="1"/>
        <v>#DIV/0!</v>
      </c>
      <c r="K7" s="117">
        <v>0.0</v>
      </c>
      <c r="L7" s="6"/>
      <c r="M7" s="6"/>
      <c r="N7" s="4"/>
      <c r="O7" s="58">
        <v>30.0</v>
      </c>
      <c r="P7" s="6"/>
    </row>
    <row r="8">
      <c r="A8" s="25" t="s">
        <v>55</v>
      </c>
      <c r="C8" s="114">
        <v>10.0</v>
      </c>
      <c r="D8" s="113">
        <f>C8/SUM(C4,C5,C6,C7,C8,C9,C10)</f>
        <v>0.125</v>
      </c>
      <c r="E8" s="114">
        <v>15.0</v>
      </c>
      <c r="G8" s="115" t="s">
        <v>75</v>
      </c>
      <c r="I8" s="175"/>
      <c r="J8" s="116" t="str">
        <f t="shared" si="1"/>
        <v>#DIV/0!</v>
      </c>
      <c r="K8" s="117">
        <v>0.0</v>
      </c>
      <c r="L8" s="8"/>
      <c r="M8" s="8"/>
      <c r="O8" s="176">
        <v>30.0</v>
      </c>
      <c r="P8" s="8"/>
    </row>
    <row r="9">
      <c r="A9" s="25" t="s">
        <v>59</v>
      </c>
      <c r="C9" s="128">
        <v>10.0</v>
      </c>
      <c r="D9" s="177">
        <f>C9/SUM(C4,C5,C6,C7,C8,C9,C10)</f>
        <v>0.125</v>
      </c>
      <c r="E9" s="114">
        <v>0.0</v>
      </c>
      <c r="G9" s="115" t="s">
        <v>80</v>
      </c>
      <c r="I9" s="175"/>
      <c r="J9" s="116" t="str">
        <f t="shared" si="1"/>
        <v>#DIV/0!</v>
      </c>
      <c r="K9" s="170">
        <v>0.0</v>
      </c>
      <c r="L9" s="8"/>
      <c r="M9" s="8"/>
    </row>
    <row r="10">
      <c r="A10" s="25" t="s">
        <v>424</v>
      </c>
      <c r="C10" s="128">
        <v>10.0</v>
      </c>
      <c r="D10" s="177">
        <f>C10/SUM(C4,C5,C6,C7,C8,C9,C10)</f>
        <v>0.125</v>
      </c>
      <c r="E10" s="114">
        <v>0.0</v>
      </c>
      <c r="G10" s="115" t="s">
        <v>81</v>
      </c>
      <c r="I10" s="175"/>
      <c r="J10" s="116" t="str">
        <f t="shared" si="1"/>
        <v>#DIV/0!</v>
      </c>
      <c r="K10" s="170">
        <v>0.0</v>
      </c>
      <c r="L10" s="8"/>
      <c r="M10" s="8"/>
    </row>
    <row r="11">
      <c r="A11" s="122"/>
      <c r="C11" s="122">
        <f t="shared" ref="C11:D11" si="2">sum(C4:C10)</f>
        <v>80</v>
      </c>
      <c r="D11" s="125">
        <f t="shared" si="2"/>
        <v>1</v>
      </c>
      <c r="E11" s="126"/>
      <c r="G11" s="127"/>
      <c r="I11" s="122">
        <f t="shared" ref="I11:J11" si="3">sum(I4:I10)</f>
        <v>0</v>
      </c>
      <c r="J11" s="122" t="str">
        <f t="shared" si="3"/>
        <v>#DIV/0!</v>
      </c>
      <c r="K11" s="124"/>
      <c r="L11" s="8"/>
      <c r="M11" s="8"/>
      <c r="R11" s="4">
        <v>1.0</v>
      </c>
      <c r="S11" s="4">
        <v>2.0</v>
      </c>
      <c r="T11" s="4">
        <v>3.0</v>
      </c>
      <c r="U11" s="4">
        <v>4.0</v>
      </c>
    </row>
    <row r="12">
      <c r="A12" s="122"/>
      <c r="C12" s="122"/>
      <c r="D12" s="128" t="s">
        <v>399</v>
      </c>
      <c r="E12" s="128">
        <f>SUMPRODUCT(D4:D10,E4:E10)</f>
        <v>5.625</v>
      </c>
      <c r="G12" s="129"/>
      <c r="I12" s="124"/>
      <c r="J12" s="121"/>
      <c r="K12" s="128" t="str">
        <f>SUMPRODUCT(J4:J10,K4:K10)</f>
        <v>#DIV/0!</v>
      </c>
      <c r="L12" s="131">
        <f>E12*C1</f>
        <v>5.0625</v>
      </c>
      <c r="M12" s="132" t="str">
        <f>VLOOKUP(L12,$O$3:$P$8,2,true)</f>
        <v>good</v>
      </c>
    </row>
    <row r="13">
      <c r="A13" s="133"/>
      <c r="C13" s="133"/>
      <c r="D13" s="133"/>
      <c r="E13" s="134"/>
      <c r="F13" s="135"/>
      <c r="G13" s="133"/>
      <c r="H13" s="133"/>
    </row>
    <row r="14">
      <c r="D14" s="133"/>
      <c r="E14" s="38"/>
      <c r="J14" s="136" t="s">
        <v>400</v>
      </c>
      <c r="K14" s="137"/>
      <c r="L14" s="4" t="s">
        <v>401</v>
      </c>
    </row>
    <row r="15">
      <c r="D15" s="133"/>
      <c r="E15" s="4" t="s">
        <v>459</v>
      </c>
      <c r="F15" s="4">
        <v>10.0</v>
      </c>
      <c r="J15" s="138">
        <v>0.0</v>
      </c>
      <c r="K15" s="139" t="s">
        <v>402</v>
      </c>
      <c r="L15" s="140">
        <f t="shared" ref="L15:L21" si="4">J16-J15</f>
        <v>3</v>
      </c>
    </row>
    <row r="16">
      <c r="D16" s="133"/>
      <c r="E16" s="174">
        <v>44624.0</v>
      </c>
      <c r="F16" s="4">
        <v>20.0</v>
      </c>
      <c r="J16" s="138">
        <v>3.0</v>
      </c>
      <c r="K16" s="139" t="s">
        <v>403</v>
      </c>
      <c r="L16" s="140">
        <f t="shared" si="4"/>
        <v>7</v>
      </c>
    </row>
    <row r="17">
      <c r="D17" s="133"/>
      <c r="E17" s="174">
        <v>44688.0</v>
      </c>
      <c r="F17" s="4">
        <v>30.0</v>
      </c>
      <c r="J17" s="138">
        <v>10.0</v>
      </c>
      <c r="K17" s="139" t="s">
        <v>164</v>
      </c>
      <c r="L17" s="140">
        <f t="shared" si="4"/>
        <v>35</v>
      </c>
    </row>
    <row r="18">
      <c r="D18" s="133"/>
      <c r="E18" s="38"/>
      <c r="J18" s="138">
        <v>45.0</v>
      </c>
      <c r="K18" s="139" t="s">
        <v>404</v>
      </c>
      <c r="L18" s="140">
        <f t="shared" si="4"/>
        <v>35</v>
      </c>
      <c r="R18" s="4">
        <v>3.0</v>
      </c>
    </row>
    <row r="19">
      <c r="E19" s="38"/>
      <c r="J19" s="138">
        <v>80.0</v>
      </c>
      <c r="K19" s="139" t="s">
        <v>405</v>
      </c>
      <c r="L19" s="140">
        <f t="shared" si="4"/>
        <v>12</v>
      </c>
    </row>
    <row r="20">
      <c r="E20" s="38"/>
      <c r="J20" s="138">
        <v>92.0</v>
      </c>
      <c r="K20" s="139" t="s">
        <v>406</v>
      </c>
      <c r="L20" s="140">
        <f t="shared" si="4"/>
        <v>4</v>
      </c>
    </row>
    <row r="21">
      <c r="A21" s="1" t="s">
        <v>475</v>
      </c>
      <c r="B21" s="2" t="s">
        <v>476</v>
      </c>
      <c r="C21" s="1" t="s">
        <v>477</v>
      </c>
      <c r="D21" s="1" t="s">
        <v>478</v>
      </c>
      <c r="E21" s="1" t="s">
        <v>479</v>
      </c>
      <c r="F21" s="1" t="s">
        <v>124</v>
      </c>
      <c r="G21" s="2" t="s">
        <v>480</v>
      </c>
      <c r="J21" s="138">
        <v>96.0</v>
      </c>
      <c r="K21" s="139" t="s">
        <v>407</v>
      </c>
      <c r="L21" s="140">
        <f t="shared" si="4"/>
        <v>4</v>
      </c>
    </row>
    <row r="22">
      <c r="A22" s="6" t="s">
        <v>481</v>
      </c>
      <c r="B22" s="8">
        <f t="shared" ref="B22:B26" si="5">G22</f>
        <v>30</v>
      </c>
      <c r="C22" s="6">
        <v>50.0</v>
      </c>
      <c r="D22" s="6">
        <f t="shared" ref="D22:D25" si="6">C22+5</f>
        <v>55</v>
      </c>
      <c r="E22" s="6">
        <v>60.0</v>
      </c>
      <c r="F22" s="6">
        <f t="shared" ref="F22:F25" si="7">C22+20</f>
        <v>70</v>
      </c>
      <c r="G22" s="6">
        <f t="shared" ref="G22:G26" si="8">E22/2</f>
        <v>30</v>
      </c>
      <c r="J22" s="142">
        <v>100.0</v>
      </c>
      <c r="K22" s="143"/>
    </row>
    <row r="23">
      <c r="A23" s="6" t="s">
        <v>482</v>
      </c>
      <c r="B23" s="8">
        <f t="shared" si="5"/>
        <v>25</v>
      </c>
      <c r="C23" s="6">
        <v>40.0</v>
      </c>
      <c r="D23" s="6">
        <f t="shared" si="6"/>
        <v>45</v>
      </c>
      <c r="E23" s="6">
        <v>50.0</v>
      </c>
      <c r="F23" s="6">
        <f t="shared" si="7"/>
        <v>60</v>
      </c>
      <c r="G23" s="6">
        <f t="shared" si="8"/>
        <v>25</v>
      </c>
    </row>
    <row r="24">
      <c r="A24" s="6" t="s">
        <v>483</v>
      </c>
      <c r="B24" s="8">
        <f t="shared" si="5"/>
        <v>-20</v>
      </c>
      <c r="C24" s="6">
        <f>-C23+10</f>
        <v>-30</v>
      </c>
      <c r="D24" s="6">
        <f t="shared" si="6"/>
        <v>-25</v>
      </c>
      <c r="E24" s="6">
        <f>-E23+10</f>
        <v>-40</v>
      </c>
      <c r="F24" s="6">
        <f t="shared" si="7"/>
        <v>-10</v>
      </c>
      <c r="G24" s="6">
        <f t="shared" si="8"/>
        <v>-20</v>
      </c>
    </row>
    <row r="25">
      <c r="A25" s="6" t="s">
        <v>484</v>
      </c>
      <c r="B25" s="8">
        <f t="shared" si="5"/>
        <v>-25</v>
      </c>
      <c r="C25" s="6">
        <f>-C22+10</f>
        <v>-40</v>
      </c>
      <c r="D25" s="6">
        <f t="shared" si="6"/>
        <v>-35</v>
      </c>
      <c r="E25" s="6">
        <f>-E22+10</f>
        <v>-50</v>
      </c>
      <c r="F25" s="6">
        <f t="shared" si="7"/>
        <v>-20</v>
      </c>
      <c r="G25" s="6">
        <f t="shared" si="8"/>
        <v>-25</v>
      </c>
    </row>
    <row r="26">
      <c r="A26" s="6" t="s">
        <v>485</v>
      </c>
      <c r="B26" s="8">
        <f t="shared" si="5"/>
        <v>12.5</v>
      </c>
      <c r="C26" s="8">
        <f t="shared" ref="C26:F26" si="9">C23/2</f>
        <v>20</v>
      </c>
      <c r="D26" s="8">
        <f t="shared" si="9"/>
        <v>22.5</v>
      </c>
      <c r="E26" s="8">
        <f t="shared" si="9"/>
        <v>25</v>
      </c>
      <c r="F26" s="8">
        <f t="shared" si="9"/>
        <v>30</v>
      </c>
      <c r="G26" s="6">
        <f t="shared" si="8"/>
        <v>12.5</v>
      </c>
    </row>
    <row r="30">
      <c r="A30" s="4" t="s">
        <v>486</v>
      </c>
      <c r="G30" s="4"/>
      <c r="H30" s="4" t="s">
        <v>487</v>
      </c>
      <c r="J30" s="4" t="s">
        <v>488</v>
      </c>
      <c r="N30" s="4" t="s">
        <v>489</v>
      </c>
    </row>
    <row r="31">
      <c r="A31" s="1" t="s">
        <v>490</v>
      </c>
      <c r="B31" s="1" t="s">
        <v>491</v>
      </c>
      <c r="C31" s="1" t="s">
        <v>124</v>
      </c>
      <c r="D31" s="1" t="s">
        <v>492</v>
      </c>
      <c r="E31" s="108" t="s">
        <v>493</v>
      </c>
      <c r="F31" s="1" t="s">
        <v>494</v>
      </c>
      <c r="G31" s="4"/>
      <c r="H31" s="1" t="s">
        <v>490</v>
      </c>
      <c r="I31" s="1" t="s">
        <v>491</v>
      </c>
      <c r="J31" s="1" t="s">
        <v>124</v>
      </c>
      <c r="K31" s="1" t="s">
        <v>492</v>
      </c>
      <c r="L31" s="1"/>
      <c r="M31" s="1" t="s">
        <v>495</v>
      </c>
      <c r="O31" s="1" t="s">
        <v>490</v>
      </c>
      <c r="P31" s="1" t="s">
        <v>491</v>
      </c>
      <c r="Q31" s="1" t="s">
        <v>124</v>
      </c>
      <c r="R31" s="1" t="s">
        <v>492</v>
      </c>
      <c r="S31" s="1"/>
      <c r="T31" s="1" t="s">
        <v>495</v>
      </c>
    </row>
    <row r="32">
      <c r="A32" s="8"/>
      <c r="B32" s="6">
        <v>0.35</v>
      </c>
      <c r="C32" s="6">
        <v>2.0</v>
      </c>
      <c r="D32" s="6">
        <v>2.0</v>
      </c>
      <c r="F32" s="6">
        <v>0.46</v>
      </c>
      <c r="G32" s="4"/>
      <c r="H32" s="8"/>
      <c r="I32" s="6">
        <v>0.35</v>
      </c>
      <c r="J32" s="6">
        <v>2.0</v>
      </c>
      <c r="K32" s="6">
        <v>2.0</v>
      </c>
      <c r="L32" s="6"/>
      <c r="M32" s="6">
        <v>0.46</v>
      </c>
      <c r="O32" s="8"/>
      <c r="P32" s="6">
        <v>0.35</v>
      </c>
      <c r="Q32" s="6">
        <v>2.0</v>
      </c>
      <c r="R32" s="6">
        <v>2.0</v>
      </c>
      <c r="S32" s="6"/>
      <c r="T32" s="6">
        <v>0.46</v>
      </c>
    </row>
    <row r="33">
      <c r="A33" s="6" t="s">
        <v>496</v>
      </c>
      <c r="B33" s="6">
        <v>0.749</v>
      </c>
      <c r="C33" s="6">
        <v>2.0</v>
      </c>
      <c r="D33" s="6">
        <v>2.0</v>
      </c>
      <c r="E33" s="4">
        <v>0.818</v>
      </c>
      <c r="F33" s="11">
        <v>0.946</v>
      </c>
      <c r="G33" s="4"/>
      <c r="H33" s="6" t="s">
        <v>496</v>
      </c>
      <c r="I33" s="6">
        <v>0.692</v>
      </c>
      <c r="J33" s="6">
        <v>2.0</v>
      </c>
      <c r="K33" s="6">
        <v>2.0</v>
      </c>
      <c r="L33" s="6">
        <v>0.781</v>
      </c>
      <c r="M33" s="6">
        <v>0.888</v>
      </c>
      <c r="O33" s="6" t="s">
        <v>496</v>
      </c>
      <c r="P33" s="6">
        <v>0.635</v>
      </c>
      <c r="Q33" s="6">
        <v>2.0</v>
      </c>
      <c r="R33" s="6">
        <v>2.0</v>
      </c>
      <c r="S33" s="6">
        <v>0.737</v>
      </c>
      <c r="T33" s="6">
        <v>0.8485</v>
      </c>
    </row>
    <row r="34">
      <c r="A34" s="6" t="s">
        <v>470</v>
      </c>
      <c r="B34" s="6">
        <v>0.692</v>
      </c>
      <c r="C34" s="6">
        <v>2.0</v>
      </c>
      <c r="D34" s="6">
        <v>2.0</v>
      </c>
      <c r="E34" s="4">
        <v>0.781</v>
      </c>
      <c r="F34" s="11">
        <v>0.888</v>
      </c>
      <c r="G34" s="4"/>
      <c r="H34" s="6" t="s">
        <v>470</v>
      </c>
      <c r="I34" s="6">
        <v>0.635</v>
      </c>
      <c r="J34" s="6">
        <v>2.0</v>
      </c>
      <c r="K34" s="6">
        <v>2.0</v>
      </c>
      <c r="L34" s="6">
        <v>0.737</v>
      </c>
      <c r="M34" s="6">
        <v>0.848</v>
      </c>
      <c r="O34" s="6" t="s">
        <v>470</v>
      </c>
      <c r="P34" s="6">
        <v>0.578</v>
      </c>
      <c r="Q34" s="6">
        <v>2.0</v>
      </c>
      <c r="R34" s="6">
        <v>2.0</v>
      </c>
      <c r="S34" s="6">
        <v>0.689</v>
      </c>
      <c r="T34" s="6">
        <v>0.797</v>
      </c>
    </row>
    <row r="35">
      <c r="A35" s="6" t="s">
        <v>497</v>
      </c>
      <c r="B35" s="6">
        <v>0.521</v>
      </c>
      <c r="C35" s="6">
        <v>2.0</v>
      </c>
      <c r="D35" s="6">
        <v>2.0</v>
      </c>
      <c r="E35" s="4">
        <v>0.636</v>
      </c>
      <c r="F35" s="8"/>
      <c r="G35" s="4"/>
      <c r="H35" s="6" t="s">
        <v>497</v>
      </c>
      <c r="I35" s="6">
        <v>0.4925</v>
      </c>
      <c r="J35" s="6">
        <v>2.0</v>
      </c>
      <c r="K35" s="6">
        <v>2.0</v>
      </c>
      <c r="L35" s="6">
        <v>0.608</v>
      </c>
      <c r="M35" s="8"/>
      <c r="O35" s="6" t="s">
        <v>497</v>
      </c>
      <c r="P35" s="6">
        <v>0.464</v>
      </c>
      <c r="Q35" s="6">
        <v>2.0</v>
      </c>
      <c r="R35" s="6">
        <v>2.0</v>
      </c>
      <c r="S35" s="6">
        <v>0.58</v>
      </c>
      <c r="T35" s="8"/>
    </row>
    <row r="36">
      <c r="A36" s="6" t="s">
        <v>468</v>
      </c>
      <c r="B36" s="6">
        <v>0.175</v>
      </c>
      <c r="C36" s="6">
        <v>2.0</v>
      </c>
      <c r="D36" s="6">
        <v>2.0</v>
      </c>
      <c r="E36" s="4">
        <v>0.294</v>
      </c>
      <c r="F36" s="6">
        <v>0.147</v>
      </c>
      <c r="G36" s="4"/>
      <c r="H36" s="6" t="s">
        <v>468</v>
      </c>
      <c r="I36" s="6">
        <v>0.21</v>
      </c>
      <c r="J36" s="6">
        <v>2.0</v>
      </c>
      <c r="K36" s="6">
        <v>2.0</v>
      </c>
      <c r="L36" s="6">
        <v>0.326</v>
      </c>
      <c r="M36" s="6">
        <v>0.195</v>
      </c>
      <c r="O36" s="6" t="s">
        <v>468</v>
      </c>
      <c r="P36" s="6">
        <v>0.245</v>
      </c>
      <c r="Q36" s="6">
        <v>2.0</v>
      </c>
      <c r="R36" s="6">
        <v>2.0</v>
      </c>
      <c r="S36" s="6">
        <v>0.35</v>
      </c>
      <c r="T36" s="6">
        <v>0.245</v>
      </c>
    </row>
    <row r="37">
      <c r="A37" s="6" t="s">
        <v>498</v>
      </c>
      <c r="B37" s="6">
        <v>0.14</v>
      </c>
      <c r="C37" s="6">
        <v>2.0</v>
      </c>
      <c r="D37" s="6">
        <v>2.0</v>
      </c>
      <c r="E37" s="4">
        <v>0.265</v>
      </c>
      <c r="F37" s="6">
        <v>0.106</v>
      </c>
      <c r="G37" s="4"/>
      <c r="H37" s="6" t="s">
        <v>498</v>
      </c>
      <c r="I37" s="6">
        <v>0.175</v>
      </c>
      <c r="J37" s="6">
        <v>2.0</v>
      </c>
      <c r="K37" s="6">
        <v>2.0</v>
      </c>
      <c r="L37" s="6">
        <v>0.294</v>
      </c>
      <c r="M37" s="6">
        <v>0.875</v>
      </c>
      <c r="O37" s="6" t="s">
        <v>498</v>
      </c>
      <c r="P37" s="6">
        <v>0.21</v>
      </c>
      <c r="Q37" s="6">
        <v>2.0</v>
      </c>
      <c r="R37" s="6">
        <v>2.0</v>
      </c>
      <c r="S37" s="6">
        <v>0.326</v>
      </c>
      <c r="T37" s="6">
        <v>0.195</v>
      </c>
    </row>
    <row r="38">
      <c r="A38" s="4"/>
    </row>
    <row r="39">
      <c r="A39" s="4" t="str">
        <f>VLOOKUP(A41,J15:K22,2,true)</f>
        <v>BB</v>
      </c>
      <c r="C39" s="8"/>
    </row>
    <row r="40">
      <c r="A40" s="144" t="s">
        <v>499</v>
      </c>
      <c r="B40" s="2" t="s">
        <v>409</v>
      </c>
      <c r="C40" s="2" t="s">
        <v>410</v>
      </c>
      <c r="D40" s="1" t="s">
        <v>411</v>
      </c>
      <c r="E40" s="1" t="s">
        <v>412</v>
      </c>
      <c r="F40" s="1" t="s">
        <v>500</v>
      </c>
      <c r="G40" s="2" t="s">
        <v>413</v>
      </c>
      <c r="H40" s="2" t="s">
        <v>414</v>
      </c>
      <c r="I40" s="1" t="s">
        <v>415</v>
      </c>
      <c r="J40" s="1" t="s">
        <v>416</v>
      </c>
    </row>
    <row r="41">
      <c r="A41" s="145">
        <v>37.0</v>
      </c>
      <c r="B41" s="146">
        <f>if($A$39=$K$15,J16,if($A$39=$K$16,J17,if($A$39=$K$17,J18,if($A$39=$K$18,J19,if($A$39=$K$19,J20,if($A$39=$K$20,J21,100))))))</f>
        <v>45</v>
      </c>
      <c r="C41" s="147">
        <f>B41-A41</f>
        <v>8</v>
      </c>
      <c r="D41" s="8">
        <f t="shared" ref="D41:D43" si="10">C41*$B$22%</f>
        <v>2.4</v>
      </c>
      <c r="E41" s="8">
        <f t="shared" ref="E41:E43" si="11">C41*$B$23%</f>
        <v>2</v>
      </c>
      <c r="F41" s="8">
        <f t="shared" ref="F41:F43" si="12">C41*$B$26%</f>
        <v>1</v>
      </c>
      <c r="G41" s="148">
        <f>if($A$39=$K$15,0,if($A$39=$K$16,J16,if($A$39=$K$17,J17,if($A$39=$K$18,J18,if($A$39=$K$19,J19,if($A$39=$K$20,J20,J21))))))</f>
        <v>10</v>
      </c>
      <c r="H41" s="149">
        <f>A41-G41</f>
        <v>27</v>
      </c>
      <c r="I41" s="8">
        <f t="shared" ref="I41:I43" si="13">H41*$B$24%</f>
        <v>-5.4</v>
      </c>
      <c r="J41" s="8">
        <f t="shared" ref="J41:J43" si="14">H41*$B$25%</f>
        <v>-6.75</v>
      </c>
    </row>
    <row r="42">
      <c r="A42" s="8"/>
      <c r="B42" s="146">
        <v>81.0</v>
      </c>
      <c r="C42" s="150">
        <f t="shared" ref="C42:C43" si="15">if(B42-B41&lt;0,0,B42-B41)</f>
        <v>36</v>
      </c>
      <c r="D42" s="8">
        <f t="shared" si="10"/>
        <v>10.8</v>
      </c>
      <c r="E42" s="8">
        <f t="shared" si="11"/>
        <v>9</v>
      </c>
      <c r="F42" s="8">
        <f t="shared" si="12"/>
        <v>4.5</v>
      </c>
      <c r="G42" s="148">
        <f>if($A$39=$K$15,0,if($A$39=$K$16,0,if($A$39=$K$17,J16,if($A$39=$K$18,J17,if($A$39=$K$19,J18,if($A$39=$K$20,J19,J20))))))</f>
        <v>3</v>
      </c>
      <c r="H42" s="149">
        <f t="shared" ref="H42:H43" si="16">if(G41-G42&lt;0,0,G41-G42)</f>
        <v>7</v>
      </c>
      <c r="I42" s="8">
        <f t="shared" si="13"/>
        <v>-1.4</v>
      </c>
      <c r="J42" s="8">
        <f t="shared" si="14"/>
        <v>-1.75</v>
      </c>
    </row>
    <row r="43">
      <c r="A43" s="8"/>
      <c r="B43" s="146">
        <f>if($A$39=$K$15,J18,if($A$39=$K$16,J19,if($A$39=$K$17,J20,if($A$39=$K$18,J21,if($A$39=$K$19,J22,if($A$39=$K$20,0,if($A$39=$K$21,0,100)))))))</f>
        <v>92</v>
      </c>
      <c r="C43" s="150">
        <f t="shared" si="15"/>
        <v>11</v>
      </c>
      <c r="D43" s="8">
        <f t="shared" si="10"/>
        <v>3.3</v>
      </c>
      <c r="E43" s="8">
        <f t="shared" si="11"/>
        <v>2.75</v>
      </c>
      <c r="F43" s="8">
        <f t="shared" si="12"/>
        <v>1.375</v>
      </c>
      <c r="G43" s="6">
        <f>if($A$39=$K$15,0,if($A$39=$K$16,0,if($A$39=$K$17,0,if($A$39=$K$18,J16,if($A$39=$K$19,J17,if($A$39=$K$20,J18,J19))))))</f>
        <v>0</v>
      </c>
      <c r="H43" s="149">
        <f t="shared" si="16"/>
        <v>3</v>
      </c>
      <c r="I43" s="8">
        <f t="shared" si="13"/>
        <v>-0.6</v>
      </c>
      <c r="J43" s="8">
        <f t="shared" si="14"/>
        <v>-0.75</v>
      </c>
    </row>
    <row r="44">
      <c r="A44" s="8"/>
      <c r="B44" s="8"/>
      <c r="C44" s="8"/>
      <c r="D44" s="8">
        <f t="shared" ref="D44:F44" si="17">sum(D41:D43)</f>
        <v>16.5</v>
      </c>
      <c r="E44" s="8">
        <f t="shared" si="17"/>
        <v>13.75</v>
      </c>
      <c r="F44" s="8">
        <f t="shared" si="17"/>
        <v>6.875</v>
      </c>
      <c r="G44" s="8"/>
      <c r="H44" s="8"/>
      <c r="I44" s="8">
        <f t="shared" ref="I44:J44" si="18">sum(I41:I43)</f>
        <v>-7.4</v>
      </c>
      <c r="J44" s="8">
        <f t="shared" si="18"/>
        <v>-9.25</v>
      </c>
    </row>
    <row r="45">
      <c r="A45" s="8"/>
      <c r="B45" s="8"/>
      <c r="C45" s="151" t="s">
        <v>417</v>
      </c>
      <c r="D45" s="152">
        <f t="shared" ref="D45:F45" si="19">D44+$A$41</f>
        <v>53.5</v>
      </c>
      <c r="E45" s="152">
        <f t="shared" si="19"/>
        <v>50.75</v>
      </c>
      <c r="F45" s="152">
        <f t="shared" si="19"/>
        <v>43.875</v>
      </c>
      <c r="G45" s="8"/>
      <c r="H45" s="8"/>
      <c r="I45" s="152">
        <f t="shared" ref="I45:J45" si="20">I44+$A$41</f>
        <v>29.6</v>
      </c>
      <c r="J45" s="152">
        <f t="shared" si="20"/>
        <v>27.75</v>
      </c>
    </row>
    <row r="46">
      <c r="A46" s="8"/>
      <c r="B46" s="8"/>
      <c r="C46" s="151" t="s">
        <v>418</v>
      </c>
      <c r="D46" s="152" t="str">
        <f t="shared" ref="D46:F46" si="21">VLOOKUP(D45,$J$15:$K$22,2,true)</f>
        <v>BBB</v>
      </c>
      <c r="E46" s="152" t="str">
        <f t="shared" si="21"/>
        <v>BBB</v>
      </c>
      <c r="F46" s="152" t="str">
        <f t="shared" si="21"/>
        <v>BB</v>
      </c>
      <c r="G46" s="8"/>
      <c r="H46" s="8"/>
      <c r="I46" s="152" t="str">
        <f t="shared" ref="I46:J46" si="22">VLOOKUP(I45,$J$15:$K$22,2,true)</f>
        <v>BB</v>
      </c>
      <c r="J46" s="152" t="str">
        <f t="shared" si="22"/>
        <v>BB</v>
      </c>
    </row>
    <row r="47">
      <c r="A47" s="8"/>
      <c r="B47" s="8"/>
      <c r="C47" s="6" t="s">
        <v>419</v>
      </c>
      <c r="D47" s="8">
        <f t="shared" ref="D47:F47" si="23">D45-$A$41</f>
        <v>16.5</v>
      </c>
      <c r="E47" s="8">
        <f t="shared" si="23"/>
        <v>13.75</v>
      </c>
      <c r="F47" s="8">
        <f t="shared" si="23"/>
        <v>6.875</v>
      </c>
      <c r="G47" s="8"/>
      <c r="H47" s="8"/>
      <c r="I47" s="8">
        <f t="shared" ref="I47:J47" si="24">I45-$A$41</f>
        <v>-7.4</v>
      </c>
      <c r="J47" s="8">
        <f t="shared" si="24"/>
        <v>-9.25</v>
      </c>
    </row>
    <row r="48">
      <c r="A48" s="8"/>
      <c r="B48" s="8"/>
      <c r="C48" s="6" t="s">
        <v>420</v>
      </c>
      <c r="D48" s="153">
        <f t="shared" ref="D48:F48" si="25">D47/$A$41</f>
        <v>0.4459459459</v>
      </c>
      <c r="E48" s="153">
        <f t="shared" si="25"/>
        <v>0.3716216216</v>
      </c>
      <c r="F48" s="153">
        <f t="shared" si="25"/>
        <v>0.1858108108</v>
      </c>
      <c r="G48" s="8"/>
      <c r="H48" s="8"/>
      <c r="I48" s="153">
        <f t="shared" ref="I48:J48" si="26">I47/$A$41</f>
        <v>-0.2</v>
      </c>
      <c r="J48" s="153">
        <f t="shared" si="26"/>
        <v>-0.25</v>
      </c>
    </row>
    <row r="49">
      <c r="E49" s="38"/>
    </row>
    <row r="50">
      <c r="E50" s="38"/>
    </row>
    <row r="51">
      <c r="E51" s="38"/>
    </row>
    <row r="52">
      <c r="E52" s="38"/>
    </row>
    <row r="53">
      <c r="E53" s="38"/>
    </row>
    <row r="54">
      <c r="E54" s="38"/>
    </row>
    <row r="55">
      <c r="E55" s="38"/>
    </row>
    <row r="56">
      <c r="E56" s="38"/>
    </row>
    <row r="57">
      <c r="E57" s="38"/>
    </row>
    <row r="58">
      <c r="E58" s="38"/>
    </row>
    <row r="59">
      <c r="E59" s="38"/>
    </row>
    <row r="60">
      <c r="E60" s="38"/>
    </row>
    <row r="61">
      <c r="E61" s="38"/>
    </row>
    <row r="62">
      <c r="E62" s="38"/>
    </row>
    <row r="63">
      <c r="E63" s="38"/>
    </row>
    <row r="64">
      <c r="E64" s="38"/>
    </row>
    <row r="65">
      <c r="E65" s="38"/>
    </row>
    <row r="66">
      <c r="E66" s="38"/>
    </row>
    <row r="67">
      <c r="E67" s="38"/>
    </row>
    <row r="68">
      <c r="E68" s="38"/>
    </row>
    <row r="69">
      <c r="E69" s="38"/>
    </row>
    <row r="70">
      <c r="E70" s="38"/>
    </row>
    <row r="71">
      <c r="E71" s="38"/>
    </row>
    <row r="72">
      <c r="E72" s="38"/>
    </row>
    <row r="73">
      <c r="E73" s="38"/>
    </row>
    <row r="74">
      <c r="E74" s="38"/>
    </row>
    <row r="75">
      <c r="E75" s="38"/>
    </row>
    <row r="76">
      <c r="E76" s="38"/>
    </row>
    <row r="77">
      <c r="E77" s="38"/>
    </row>
    <row r="78">
      <c r="E78" s="38"/>
    </row>
    <row r="79">
      <c r="E79" s="38"/>
    </row>
    <row r="80">
      <c r="E80" s="38"/>
    </row>
    <row r="81">
      <c r="E81" s="38"/>
    </row>
    <row r="82">
      <c r="E82" s="38"/>
    </row>
    <row r="83">
      <c r="E83" s="38"/>
    </row>
    <row r="84">
      <c r="E84" s="38"/>
    </row>
    <row r="85">
      <c r="E85" s="38"/>
    </row>
    <row r="86">
      <c r="E86" s="38"/>
    </row>
    <row r="87">
      <c r="E87" s="38"/>
    </row>
    <row r="88">
      <c r="E88" s="38"/>
    </row>
    <row r="89">
      <c r="E89" s="38"/>
    </row>
    <row r="90">
      <c r="E90" s="38"/>
    </row>
    <row r="91">
      <c r="E91" s="38"/>
    </row>
    <row r="92">
      <c r="E92" s="38"/>
    </row>
    <row r="93">
      <c r="E93" s="38"/>
    </row>
    <row r="94">
      <c r="E94" s="38"/>
    </row>
    <row r="95">
      <c r="E95" s="38"/>
    </row>
    <row r="96">
      <c r="E96" s="38"/>
    </row>
    <row r="97">
      <c r="E97" s="38"/>
    </row>
    <row r="98">
      <c r="E98" s="38"/>
    </row>
    <row r="99">
      <c r="E99" s="38"/>
    </row>
    <row r="100">
      <c r="E100" s="38"/>
    </row>
    <row r="101">
      <c r="E101" s="38"/>
    </row>
    <row r="102">
      <c r="E102" s="38"/>
    </row>
    <row r="103">
      <c r="E103" s="38"/>
    </row>
    <row r="104">
      <c r="E104" s="38"/>
    </row>
    <row r="105">
      <c r="E105" s="38"/>
    </row>
    <row r="106">
      <c r="E106" s="38"/>
    </row>
    <row r="107">
      <c r="E107" s="38"/>
    </row>
    <row r="108">
      <c r="E108" s="38"/>
    </row>
    <row r="109">
      <c r="E109" s="38"/>
    </row>
    <row r="110">
      <c r="E110" s="38"/>
    </row>
    <row r="111">
      <c r="E111" s="38"/>
    </row>
    <row r="112">
      <c r="E112" s="38"/>
    </row>
    <row r="113">
      <c r="E113" s="38"/>
    </row>
    <row r="114">
      <c r="E114" s="38"/>
    </row>
    <row r="115">
      <c r="E115" s="38"/>
    </row>
    <row r="116">
      <c r="E116" s="38"/>
    </row>
    <row r="117">
      <c r="E117" s="38"/>
    </row>
    <row r="118">
      <c r="E118" s="38"/>
    </row>
    <row r="119">
      <c r="E119" s="38"/>
    </row>
    <row r="120">
      <c r="E120" s="38"/>
    </row>
    <row r="121">
      <c r="E121" s="38"/>
    </row>
    <row r="122">
      <c r="E122" s="38"/>
    </row>
    <row r="123">
      <c r="E123" s="38"/>
    </row>
    <row r="124">
      <c r="E124" s="38"/>
    </row>
    <row r="125">
      <c r="E125" s="38"/>
    </row>
    <row r="126">
      <c r="E126" s="38"/>
    </row>
    <row r="127">
      <c r="E127" s="38"/>
    </row>
    <row r="128">
      <c r="E128" s="38"/>
    </row>
    <row r="129">
      <c r="E129" s="38"/>
    </row>
    <row r="130">
      <c r="E130" s="38"/>
    </row>
    <row r="131">
      <c r="E131" s="38"/>
    </row>
    <row r="132">
      <c r="E132" s="38"/>
    </row>
    <row r="133">
      <c r="E133" s="38"/>
    </row>
    <row r="134">
      <c r="E134" s="38"/>
    </row>
    <row r="135">
      <c r="E135" s="38"/>
    </row>
    <row r="136">
      <c r="E136" s="38"/>
    </row>
    <row r="137">
      <c r="E137" s="38"/>
    </row>
    <row r="138">
      <c r="E138" s="38"/>
    </row>
    <row r="139">
      <c r="E139" s="38"/>
    </row>
    <row r="140">
      <c r="E140" s="38"/>
    </row>
    <row r="141">
      <c r="E141" s="38"/>
    </row>
    <row r="142">
      <c r="E142" s="38"/>
    </row>
    <row r="143">
      <c r="E143" s="38"/>
    </row>
    <row r="144">
      <c r="E144" s="38"/>
    </row>
    <row r="145">
      <c r="E145" s="38"/>
    </row>
    <row r="146">
      <c r="E146" s="38"/>
    </row>
    <row r="147">
      <c r="E147" s="38"/>
    </row>
    <row r="148">
      <c r="E148" s="38"/>
    </row>
    <row r="149">
      <c r="E149" s="38"/>
    </row>
    <row r="150">
      <c r="E150" s="38"/>
    </row>
    <row r="151">
      <c r="E151" s="38"/>
    </row>
    <row r="152">
      <c r="E152" s="38"/>
    </row>
    <row r="153">
      <c r="E153" s="38"/>
    </row>
    <row r="154">
      <c r="E154" s="38"/>
    </row>
    <row r="155">
      <c r="E155" s="38"/>
    </row>
    <row r="156">
      <c r="E156" s="38"/>
    </row>
    <row r="157">
      <c r="E157" s="38"/>
    </row>
    <row r="158">
      <c r="E158" s="38"/>
    </row>
    <row r="159">
      <c r="E159" s="38"/>
    </row>
    <row r="160">
      <c r="E160" s="38"/>
    </row>
    <row r="161">
      <c r="E161" s="38"/>
    </row>
    <row r="162">
      <c r="E162" s="38"/>
    </row>
    <row r="163">
      <c r="E163" s="38"/>
    </row>
    <row r="164">
      <c r="E164" s="38"/>
    </row>
    <row r="165">
      <c r="E165" s="38"/>
    </row>
    <row r="166">
      <c r="E166" s="38"/>
    </row>
    <row r="167">
      <c r="E167" s="38"/>
    </row>
    <row r="168">
      <c r="E168" s="38"/>
    </row>
    <row r="169">
      <c r="E169" s="38"/>
    </row>
    <row r="170">
      <c r="E170" s="38"/>
    </row>
    <row r="171">
      <c r="E171" s="38"/>
    </row>
    <row r="172">
      <c r="E172" s="38"/>
    </row>
    <row r="173">
      <c r="E173" s="38"/>
    </row>
    <row r="174">
      <c r="E174" s="38"/>
    </row>
    <row r="175">
      <c r="E175" s="38"/>
    </row>
    <row r="176">
      <c r="E176" s="38"/>
    </row>
    <row r="177">
      <c r="E177" s="38"/>
    </row>
    <row r="178">
      <c r="E178" s="38"/>
    </row>
    <row r="179">
      <c r="E179" s="38"/>
    </row>
    <row r="180">
      <c r="E180" s="38"/>
    </row>
    <row r="181">
      <c r="E181" s="38"/>
    </row>
    <row r="182">
      <c r="E182" s="38"/>
    </row>
    <row r="183">
      <c r="E183" s="38"/>
    </row>
    <row r="184">
      <c r="E184" s="38"/>
    </row>
    <row r="185">
      <c r="E185" s="38"/>
    </row>
    <row r="186">
      <c r="E186" s="38"/>
    </row>
    <row r="187">
      <c r="E187" s="38"/>
    </row>
    <row r="188">
      <c r="E188" s="38"/>
    </row>
    <row r="189">
      <c r="E189" s="38"/>
    </row>
    <row r="190">
      <c r="E190" s="38"/>
    </row>
    <row r="191">
      <c r="E191" s="38"/>
    </row>
    <row r="192">
      <c r="E192" s="38"/>
    </row>
    <row r="193">
      <c r="E193" s="38"/>
    </row>
    <row r="194">
      <c r="E194" s="38"/>
    </row>
    <row r="195">
      <c r="E195" s="38"/>
    </row>
    <row r="196">
      <c r="E196" s="38"/>
    </row>
    <row r="197">
      <c r="E197" s="38"/>
    </row>
    <row r="198">
      <c r="E198" s="38"/>
    </row>
    <row r="199">
      <c r="E199" s="38"/>
    </row>
    <row r="200">
      <c r="E200" s="38"/>
    </row>
    <row r="201">
      <c r="E201" s="38"/>
    </row>
    <row r="202">
      <c r="E202" s="38"/>
    </row>
    <row r="203">
      <c r="E203" s="38"/>
    </row>
    <row r="204">
      <c r="E204" s="38"/>
    </row>
    <row r="205">
      <c r="E205" s="38"/>
    </row>
    <row r="206">
      <c r="E206" s="38"/>
    </row>
    <row r="207">
      <c r="E207" s="38"/>
    </row>
    <row r="208">
      <c r="E208" s="38"/>
    </row>
    <row r="209">
      <c r="E209" s="38"/>
    </row>
    <row r="210">
      <c r="E210" s="38"/>
    </row>
    <row r="211">
      <c r="E211" s="38"/>
    </row>
    <row r="212">
      <c r="E212" s="38"/>
    </row>
    <row r="213">
      <c r="E213" s="38"/>
    </row>
    <row r="214">
      <c r="E214" s="38"/>
    </row>
    <row r="215">
      <c r="E215" s="38"/>
    </row>
    <row r="216">
      <c r="E216" s="38"/>
    </row>
    <row r="217">
      <c r="E217" s="38"/>
    </row>
    <row r="218">
      <c r="E218" s="38"/>
    </row>
    <row r="219">
      <c r="E219" s="38"/>
    </row>
    <row r="220">
      <c r="E220" s="38"/>
    </row>
    <row r="221">
      <c r="E221" s="38"/>
    </row>
    <row r="222">
      <c r="E222" s="38"/>
    </row>
    <row r="223">
      <c r="E223" s="38"/>
    </row>
    <row r="224">
      <c r="E224" s="38"/>
    </row>
    <row r="225">
      <c r="E225" s="38"/>
    </row>
    <row r="226">
      <c r="E226" s="38"/>
    </row>
    <row r="227">
      <c r="E227" s="38"/>
    </row>
    <row r="228">
      <c r="E228" s="38"/>
    </row>
    <row r="229">
      <c r="E229" s="38"/>
    </row>
    <row r="230">
      <c r="E230" s="38"/>
    </row>
    <row r="231">
      <c r="E231" s="38"/>
    </row>
    <row r="232">
      <c r="E232" s="38"/>
    </row>
    <row r="233">
      <c r="E233" s="38"/>
    </row>
    <row r="234">
      <c r="E234" s="38"/>
    </row>
    <row r="235">
      <c r="E235" s="38"/>
    </row>
    <row r="236">
      <c r="E236" s="38"/>
    </row>
    <row r="237">
      <c r="E237" s="38"/>
    </row>
    <row r="238">
      <c r="E238" s="38"/>
    </row>
    <row r="239">
      <c r="E239" s="38"/>
    </row>
    <row r="240">
      <c r="E240" s="38"/>
    </row>
    <row r="241">
      <c r="E241" s="38"/>
    </row>
    <row r="242">
      <c r="E242" s="38"/>
    </row>
    <row r="243">
      <c r="E243" s="38"/>
    </row>
    <row r="244">
      <c r="E244" s="38"/>
    </row>
    <row r="245">
      <c r="E245" s="38"/>
    </row>
    <row r="246">
      <c r="E246" s="38"/>
    </row>
    <row r="247">
      <c r="E247" s="38"/>
    </row>
    <row r="248">
      <c r="E248" s="38"/>
    </row>
    <row r="249">
      <c r="E249" s="38"/>
    </row>
    <row r="250">
      <c r="E250" s="38"/>
    </row>
    <row r="251">
      <c r="E251" s="38"/>
    </row>
    <row r="252">
      <c r="E252" s="38"/>
    </row>
    <row r="253">
      <c r="E253" s="38"/>
    </row>
    <row r="254">
      <c r="E254" s="38"/>
    </row>
    <row r="255">
      <c r="E255" s="38"/>
    </row>
    <row r="256">
      <c r="E256" s="38"/>
    </row>
    <row r="257">
      <c r="E257" s="38"/>
    </row>
    <row r="258">
      <c r="E258" s="38"/>
    </row>
    <row r="259">
      <c r="E259" s="38"/>
    </row>
    <row r="260">
      <c r="E260" s="38"/>
    </row>
    <row r="261">
      <c r="E261" s="38"/>
    </row>
    <row r="262">
      <c r="E262" s="38"/>
    </row>
    <row r="263">
      <c r="E263" s="38"/>
    </row>
    <row r="264">
      <c r="E264" s="38"/>
    </row>
    <row r="265">
      <c r="E265" s="38"/>
    </row>
    <row r="266">
      <c r="E266" s="38"/>
    </row>
    <row r="267">
      <c r="E267" s="38"/>
    </row>
    <row r="268">
      <c r="E268" s="38"/>
    </row>
    <row r="269">
      <c r="E269" s="38"/>
    </row>
    <row r="270">
      <c r="E270" s="38"/>
    </row>
    <row r="271">
      <c r="E271" s="38"/>
    </row>
    <row r="272">
      <c r="E272" s="38"/>
    </row>
    <row r="273">
      <c r="E273" s="38"/>
    </row>
    <row r="274">
      <c r="E274" s="38"/>
    </row>
    <row r="275">
      <c r="E275" s="38"/>
    </row>
    <row r="276">
      <c r="E276" s="38"/>
    </row>
    <row r="277">
      <c r="E277" s="38"/>
    </row>
    <row r="278">
      <c r="E278" s="38"/>
    </row>
    <row r="279">
      <c r="E279" s="38"/>
    </row>
    <row r="280">
      <c r="E280" s="38"/>
    </row>
    <row r="281">
      <c r="E281" s="38"/>
    </row>
    <row r="282">
      <c r="E282" s="38"/>
    </row>
    <row r="283">
      <c r="E283" s="38"/>
    </row>
    <row r="284">
      <c r="E284" s="38"/>
    </row>
    <row r="285">
      <c r="E285" s="38"/>
    </row>
    <row r="286">
      <c r="E286" s="38"/>
    </row>
    <row r="287">
      <c r="E287" s="38"/>
    </row>
    <row r="288">
      <c r="E288" s="38"/>
    </row>
    <row r="289">
      <c r="E289" s="38"/>
    </row>
    <row r="290">
      <c r="E290" s="38"/>
    </row>
    <row r="291">
      <c r="E291" s="38"/>
    </row>
    <row r="292">
      <c r="E292" s="38"/>
    </row>
    <row r="293">
      <c r="E293" s="38"/>
    </row>
    <row r="294">
      <c r="E294" s="38"/>
    </row>
    <row r="295">
      <c r="E295" s="38"/>
    </row>
    <row r="296">
      <c r="E296" s="38"/>
    </row>
    <row r="297">
      <c r="E297" s="38"/>
    </row>
    <row r="298">
      <c r="E298" s="38"/>
    </row>
    <row r="299">
      <c r="E299" s="38"/>
    </row>
    <row r="300">
      <c r="E300" s="38"/>
    </row>
    <row r="301">
      <c r="E301" s="38"/>
    </row>
    <row r="302">
      <c r="E302" s="38"/>
    </row>
    <row r="303">
      <c r="E303" s="38"/>
    </row>
    <row r="304">
      <c r="E304" s="38"/>
    </row>
    <row r="305">
      <c r="E305" s="38"/>
    </row>
    <row r="306">
      <c r="E306" s="38"/>
    </row>
    <row r="307">
      <c r="E307" s="38"/>
    </row>
    <row r="308">
      <c r="E308" s="38"/>
    </row>
    <row r="309">
      <c r="E309" s="38"/>
    </row>
    <row r="310">
      <c r="E310" s="38"/>
    </row>
    <row r="311">
      <c r="E311" s="38"/>
    </row>
    <row r="312">
      <c r="E312" s="38"/>
    </row>
    <row r="313">
      <c r="E313" s="38"/>
    </row>
    <row r="314">
      <c r="E314" s="38"/>
    </row>
    <row r="315">
      <c r="E315" s="38"/>
    </row>
    <row r="316">
      <c r="E316" s="38"/>
    </row>
    <row r="317">
      <c r="E317" s="38"/>
    </row>
    <row r="318">
      <c r="E318" s="38"/>
    </row>
    <row r="319">
      <c r="E319" s="38"/>
    </row>
    <row r="320">
      <c r="E320" s="38"/>
    </row>
    <row r="321">
      <c r="E321" s="38"/>
    </row>
    <row r="322">
      <c r="E322" s="38"/>
    </row>
    <row r="323">
      <c r="E323" s="38"/>
    </row>
    <row r="324">
      <c r="E324" s="38"/>
    </row>
    <row r="325">
      <c r="E325" s="38"/>
    </row>
    <row r="326">
      <c r="E326" s="38"/>
    </row>
    <row r="327">
      <c r="E327" s="38"/>
    </row>
    <row r="328">
      <c r="E328" s="38"/>
    </row>
    <row r="329">
      <c r="E329" s="38"/>
    </row>
    <row r="330">
      <c r="E330" s="38"/>
    </row>
    <row r="331">
      <c r="E331" s="38"/>
    </row>
    <row r="332">
      <c r="E332" s="38"/>
    </row>
    <row r="333">
      <c r="E333" s="38"/>
    </row>
    <row r="334">
      <c r="E334" s="38"/>
    </row>
    <row r="335">
      <c r="E335" s="38"/>
    </row>
    <row r="336">
      <c r="E336" s="38"/>
    </row>
    <row r="337">
      <c r="E337" s="38"/>
    </row>
    <row r="338">
      <c r="E338" s="38"/>
    </row>
    <row r="339">
      <c r="E339" s="38"/>
    </row>
    <row r="340">
      <c r="E340" s="38"/>
    </row>
    <row r="341">
      <c r="E341" s="38"/>
    </row>
    <row r="342">
      <c r="E342" s="38"/>
    </row>
    <row r="343">
      <c r="E343" s="38"/>
    </row>
    <row r="344">
      <c r="E344" s="38"/>
    </row>
    <row r="345">
      <c r="E345" s="38"/>
    </row>
    <row r="346">
      <c r="E346" s="38"/>
    </row>
    <row r="347">
      <c r="E347" s="38"/>
    </row>
    <row r="348">
      <c r="E348" s="38"/>
    </row>
    <row r="349">
      <c r="E349" s="38"/>
    </row>
    <row r="350">
      <c r="E350" s="38"/>
    </row>
    <row r="351">
      <c r="E351" s="38"/>
    </row>
    <row r="352">
      <c r="E352" s="38"/>
    </row>
    <row r="353">
      <c r="E353" s="38"/>
    </row>
    <row r="354">
      <c r="E354" s="38"/>
    </row>
    <row r="355">
      <c r="E355" s="38"/>
    </row>
    <row r="356">
      <c r="E356" s="38"/>
    </row>
    <row r="357">
      <c r="E357" s="38"/>
    </row>
    <row r="358">
      <c r="E358" s="38"/>
    </row>
    <row r="359">
      <c r="E359" s="38"/>
    </row>
    <row r="360">
      <c r="E360" s="38"/>
    </row>
    <row r="361">
      <c r="E361" s="38"/>
    </row>
    <row r="362">
      <c r="E362" s="38"/>
    </row>
    <row r="363">
      <c r="E363" s="38"/>
    </row>
    <row r="364">
      <c r="E364" s="38"/>
    </row>
    <row r="365">
      <c r="E365" s="38"/>
    </row>
    <row r="366">
      <c r="E366" s="38"/>
    </row>
    <row r="367">
      <c r="E367" s="38"/>
    </row>
    <row r="368">
      <c r="E368" s="38"/>
    </row>
    <row r="369">
      <c r="E369" s="38"/>
    </row>
    <row r="370">
      <c r="E370" s="38"/>
    </row>
    <row r="371">
      <c r="E371" s="38"/>
    </row>
    <row r="372">
      <c r="E372" s="38"/>
    </row>
    <row r="373">
      <c r="E373" s="38"/>
    </row>
    <row r="374">
      <c r="E374" s="38"/>
    </row>
    <row r="375">
      <c r="E375" s="38"/>
    </row>
    <row r="376">
      <c r="E376" s="38"/>
    </row>
    <row r="377">
      <c r="E377" s="38"/>
    </row>
    <row r="378">
      <c r="E378" s="38"/>
    </row>
    <row r="379">
      <c r="E379" s="38"/>
    </row>
    <row r="380">
      <c r="E380" s="38"/>
    </row>
    <row r="381">
      <c r="E381" s="38"/>
    </row>
    <row r="382">
      <c r="E382" s="38"/>
    </row>
    <row r="383">
      <c r="E383" s="38"/>
    </row>
    <row r="384">
      <c r="E384" s="38"/>
    </row>
    <row r="385">
      <c r="E385" s="38"/>
    </row>
    <row r="386">
      <c r="E386" s="38"/>
    </row>
    <row r="387">
      <c r="E387" s="38"/>
    </row>
    <row r="388">
      <c r="E388" s="38"/>
    </row>
    <row r="389">
      <c r="E389" s="38"/>
    </row>
    <row r="390">
      <c r="E390" s="38"/>
    </row>
    <row r="391">
      <c r="E391" s="38"/>
    </row>
    <row r="392">
      <c r="E392" s="38"/>
    </row>
    <row r="393">
      <c r="E393" s="38"/>
    </row>
    <row r="394">
      <c r="E394" s="38"/>
    </row>
    <row r="395">
      <c r="E395" s="38"/>
    </row>
    <row r="396">
      <c r="E396" s="38"/>
    </row>
    <row r="397">
      <c r="E397" s="38"/>
    </row>
    <row r="398">
      <c r="E398" s="38"/>
    </row>
    <row r="399">
      <c r="E399" s="38"/>
    </row>
    <row r="400">
      <c r="E400" s="38"/>
    </row>
    <row r="401">
      <c r="E401" s="38"/>
    </row>
    <row r="402">
      <c r="E402" s="38"/>
    </row>
    <row r="403">
      <c r="E403" s="38"/>
    </row>
    <row r="404">
      <c r="E404" s="38"/>
    </row>
    <row r="405">
      <c r="E405" s="38"/>
    </row>
    <row r="406">
      <c r="E406" s="38"/>
    </row>
    <row r="407">
      <c r="E407" s="38"/>
    </row>
    <row r="408">
      <c r="E408" s="38"/>
    </row>
    <row r="409">
      <c r="E409" s="38"/>
    </row>
    <row r="410">
      <c r="E410" s="38"/>
    </row>
    <row r="411">
      <c r="E411" s="38"/>
    </row>
    <row r="412">
      <c r="E412" s="38"/>
    </row>
    <row r="413">
      <c r="E413" s="38"/>
    </row>
    <row r="414">
      <c r="E414" s="38"/>
    </row>
    <row r="415">
      <c r="E415" s="38"/>
    </row>
    <row r="416">
      <c r="E416" s="38"/>
    </row>
    <row r="417">
      <c r="E417" s="38"/>
    </row>
    <row r="418">
      <c r="E418" s="38"/>
    </row>
    <row r="419">
      <c r="E419" s="38"/>
    </row>
    <row r="420">
      <c r="E420" s="38"/>
    </row>
    <row r="421">
      <c r="E421" s="38"/>
    </row>
    <row r="422">
      <c r="E422" s="38"/>
    </row>
    <row r="423">
      <c r="E423" s="38"/>
    </row>
    <row r="424">
      <c r="E424" s="38"/>
    </row>
    <row r="425">
      <c r="E425" s="38"/>
    </row>
    <row r="426">
      <c r="E426" s="38"/>
    </row>
    <row r="427">
      <c r="E427" s="38"/>
    </row>
    <row r="428">
      <c r="E428" s="38"/>
    </row>
    <row r="429">
      <c r="E429" s="38"/>
    </row>
    <row r="430">
      <c r="E430" s="38"/>
    </row>
    <row r="431">
      <c r="E431" s="38"/>
    </row>
    <row r="432">
      <c r="E432" s="38"/>
    </row>
    <row r="433">
      <c r="E433" s="38"/>
    </row>
    <row r="434">
      <c r="E434" s="38"/>
    </row>
    <row r="435">
      <c r="E435" s="38"/>
    </row>
    <row r="436">
      <c r="E436" s="38"/>
    </row>
    <row r="437">
      <c r="E437" s="38"/>
    </row>
    <row r="438">
      <c r="E438" s="38"/>
    </row>
    <row r="439">
      <c r="E439" s="38"/>
    </row>
    <row r="440">
      <c r="E440" s="38"/>
    </row>
    <row r="441">
      <c r="E441" s="38"/>
    </row>
    <row r="442">
      <c r="E442" s="38"/>
    </row>
    <row r="443">
      <c r="E443" s="38"/>
    </row>
    <row r="444">
      <c r="E444" s="38"/>
    </row>
    <row r="445">
      <c r="E445" s="38"/>
    </row>
    <row r="446">
      <c r="E446" s="38"/>
    </row>
    <row r="447">
      <c r="E447" s="38"/>
    </row>
    <row r="448">
      <c r="E448" s="38"/>
    </row>
    <row r="449">
      <c r="E449" s="38"/>
    </row>
    <row r="450">
      <c r="E450" s="38"/>
    </row>
    <row r="451">
      <c r="E451" s="38"/>
    </row>
    <row r="452">
      <c r="E452" s="38"/>
    </row>
    <row r="453">
      <c r="E453" s="38"/>
    </row>
    <row r="454">
      <c r="E454" s="38"/>
    </row>
    <row r="455">
      <c r="E455" s="38"/>
    </row>
    <row r="456">
      <c r="E456" s="38"/>
    </row>
    <row r="457">
      <c r="E457" s="38"/>
    </row>
    <row r="458">
      <c r="E458" s="38"/>
    </row>
    <row r="459">
      <c r="E459" s="38"/>
    </row>
    <row r="460">
      <c r="E460" s="38"/>
    </row>
    <row r="461">
      <c r="E461" s="38"/>
    </row>
    <row r="462">
      <c r="E462" s="38"/>
    </row>
    <row r="463">
      <c r="E463" s="38"/>
    </row>
    <row r="464">
      <c r="E464" s="38"/>
    </row>
    <row r="465">
      <c r="E465" s="38"/>
    </row>
    <row r="466">
      <c r="E466" s="38"/>
    </row>
    <row r="467">
      <c r="E467" s="38"/>
    </row>
    <row r="468">
      <c r="E468" s="38"/>
    </row>
    <row r="469">
      <c r="E469" s="38"/>
    </row>
    <row r="470">
      <c r="E470" s="38"/>
    </row>
    <row r="471">
      <c r="E471" s="38"/>
    </row>
    <row r="472">
      <c r="E472" s="38"/>
    </row>
    <row r="473">
      <c r="E473" s="38"/>
    </row>
    <row r="474">
      <c r="E474" s="38"/>
    </row>
    <row r="475">
      <c r="E475" s="38"/>
    </row>
    <row r="476">
      <c r="E476" s="38"/>
    </row>
    <row r="477">
      <c r="E477" s="38"/>
    </row>
    <row r="478">
      <c r="E478" s="38"/>
    </row>
    <row r="479">
      <c r="E479" s="38"/>
    </row>
    <row r="480">
      <c r="E480" s="38"/>
    </row>
    <row r="481">
      <c r="E481" s="38"/>
    </row>
    <row r="482">
      <c r="E482" s="38"/>
    </row>
    <row r="483">
      <c r="E483" s="38"/>
    </row>
    <row r="484">
      <c r="E484" s="38"/>
    </row>
    <row r="485">
      <c r="E485" s="38"/>
    </row>
    <row r="486">
      <c r="E486" s="38"/>
    </row>
    <row r="487">
      <c r="E487" s="38"/>
    </row>
    <row r="488">
      <c r="E488" s="38"/>
    </row>
    <row r="489">
      <c r="E489" s="38"/>
    </row>
    <row r="490">
      <c r="E490" s="38"/>
    </row>
    <row r="491">
      <c r="E491" s="38"/>
    </row>
    <row r="492">
      <c r="E492" s="38"/>
    </row>
    <row r="493">
      <c r="E493" s="38"/>
    </row>
    <row r="494">
      <c r="E494" s="38"/>
    </row>
    <row r="495">
      <c r="E495" s="38"/>
    </row>
    <row r="496">
      <c r="E496" s="38"/>
    </row>
    <row r="497">
      <c r="E497" s="38"/>
    </row>
    <row r="498">
      <c r="E498" s="38"/>
    </row>
    <row r="499">
      <c r="E499" s="38"/>
    </row>
    <row r="500">
      <c r="E500" s="38"/>
    </row>
    <row r="501">
      <c r="E501" s="38"/>
    </row>
    <row r="502">
      <c r="E502" s="38"/>
    </row>
    <row r="503">
      <c r="E503" s="38"/>
    </row>
    <row r="504">
      <c r="E504" s="38"/>
    </row>
    <row r="505">
      <c r="E505" s="38"/>
    </row>
    <row r="506">
      <c r="E506" s="38"/>
    </row>
    <row r="507">
      <c r="E507" s="38"/>
    </row>
    <row r="508">
      <c r="E508" s="38"/>
    </row>
    <row r="509">
      <c r="E509" s="38"/>
    </row>
    <row r="510">
      <c r="E510" s="38"/>
    </row>
    <row r="511">
      <c r="E511" s="38"/>
    </row>
    <row r="512">
      <c r="E512" s="38"/>
    </row>
    <row r="513">
      <c r="E513" s="38"/>
    </row>
    <row r="514">
      <c r="E514" s="38"/>
    </row>
    <row r="515">
      <c r="E515" s="38"/>
    </row>
    <row r="516">
      <c r="E516" s="38"/>
    </row>
    <row r="517">
      <c r="E517" s="38"/>
    </row>
    <row r="518">
      <c r="E518" s="38"/>
    </row>
    <row r="519">
      <c r="E519" s="38"/>
    </row>
    <row r="520">
      <c r="E520" s="38"/>
    </row>
    <row r="521">
      <c r="E521" s="38"/>
    </row>
    <row r="522">
      <c r="E522" s="38"/>
    </row>
    <row r="523">
      <c r="E523" s="38"/>
    </row>
    <row r="524">
      <c r="E524" s="38"/>
    </row>
    <row r="525">
      <c r="E525" s="38"/>
    </row>
    <row r="526">
      <c r="E526" s="38"/>
    </row>
    <row r="527">
      <c r="E527" s="38"/>
    </row>
    <row r="528">
      <c r="E528" s="38"/>
    </row>
    <row r="529">
      <c r="E529" s="38"/>
    </row>
    <row r="530">
      <c r="E530" s="38"/>
    </row>
    <row r="531">
      <c r="E531" s="38"/>
    </row>
    <row r="532">
      <c r="E532" s="38"/>
    </row>
    <row r="533">
      <c r="E533" s="38"/>
    </row>
    <row r="534">
      <c r="E534" s="38"/>
    </row>
    <row r="535">
      <c r="E535" s="38"/>
    </row>
    <row r="536">
      <c r="E536" s="38"/>
    </row>
    <row r="537">
      <c r="E537" s="38"/>
    </row>
    <row r="538">
      <c r="E538" s="38"/>
    </row>
    <row r="539">
      <c r="E539" s="38"/>
    </row>
    <row r="540">
      <c r="E540" s="38"/>
    </row>
    <row r="541">
      <c r="E541" s="38"/>
    </row>
    <row r="542">
      <c r="E542" s="38"/>
    </row>
    <row r="543">
      <c r="E543" s="38"/>
    </row>
    <row r="544">
      <c r="E544" s="38"/>
    </row>
    <row r="545">
      <c r="E545" s="38"/>
    </row>
    <row r="546">
      <c r="E546" s="38"/>
    </row>
    <row r="547">
      <c r="E547" s="38"/>
    </row>
    <row r="548">
      <c r="E548" s="38"/>
    </row>
    <row r="549">
      <c r="E549" s="38"/>
    </row>
    <row r="550">
      <c r="E550" s="38"/>
    </row>
    <row r="551">
      <c r="E551" s="38"/>
    </row>
    <row r="552">
      <c r="E552" s="38"/>
    </row>
    <row r="553">
      <c r="E553" s="38"/>
    </row>
    <row r="554">
      <c r="E554" s="38"/>
    </row>
    <row r="555">
      <c r="E555" s="38"/>
    </row>
    <row r="556">
      <c r="E556" s="38"/>
    </row>
    <row r="557">
      <c r="E557" s="38"/>
    </row>
    <row r="558">
      <c r="E558" s="38"/>
    </row>
    <row r="559">
      <c r="E559" s="38"/>
    </row>
    <row r="560">
      <c r="E560" s="38"/>
    </row>
    <row r="561">
      <c r="E561" s="38"/>
    </row>
    <row r="562">
      <c r="E562" s="38"/>
    </row>
    <row r="563">
      <c r="E563" s="38"/>
    </row>
    <row r="564">
      <c r="E564" s="38"/>
    </row>
    <row r="565">
      <c r="E565" s="38"/>
    </row>
    <row r="566">
      <c r="E566" s="38"/>
    </row>
    <row r="567">
      <c r="E567" s="38"/>
    </row>
    <row r="568">
      <c r="E568" s="38"/>
    </row>
    <row r="569">
      <c r="E569" s="38"/>
    </row>
    <row r="570">
      <c r="E570" s="38"/>
    </row>
    <row r="571">
      <c r="E571" s="38"/>
    </row>
    <row r="572">
      <c r="E572" s="38"/>
    </row>
    <row r="573">
      <c r="E573" s="38"/>
    </row>
    <row r="574">
      <c r="E574" s="38"/>
    </row>
    <row r="575">
      <c r="E575" s="38"/>
    </row>
    <row r="576">
      <c r="E576" s="38"/>
    </row>
    <row r="577">
      <c r="E577" s="38"/>
    </row>
    <row r="578">
      <c r="E578" s="38"/>
    </row>
    <row r="579">
      <c r="E579" s="38"/>
    </row>
    <row r="580">
      <c r="E580" s="38"/>
    </row>
    <row r="581">
      <c r="E581" s="38"/>
    </row>
    <row r="582">
      <c r="E582" s="38"/>
    </row>
    <row r="583">
      <c r="E583" s="38"/>
    </row>
    <row r="584">
      <c r="E584" s="38"/>
    </row>
    <row r="585">
      <c r="E585" s="38"/>
    </row>
    <row r="586">
      <c r="E586" s="38"/>
    </row>
    <row r="587">
      <c r="E587" s="38"/>
    </row>
    <row r="588">
      <c r="E588" s="38"/>
    </row>
    <row r="589">
      <c r="E589" s="38"/>
    </row>
    <row r="590">
      <c r="E590" s="38"/>
    </row>
    <row r="591">
      <c r="E591" s="38"/>
    </row>
    <row r="592">
      <c r="E592" s="38"/>
    </row>
    <row r="593">
      <c r="E593" s="38"/>
    </row>
    <row r="594">
      <c r="E594" s="38"/>
    </row>
    <row r="595">
      <c r="E595" s="38"/>
    </row>
    <row r="596">
      <c r="E596" s="38"/>
    </row>
    <row r="597">
      <c r="E597" s="38"/>
    </row>
    <row r="598">
      <c r="E598" s="38"/>
    </row>
    <row r="599">
      <c r="E599" s="38"/>
    </row>
    <row r="600">
      <c r="E600" s="38"/>
    </row>
    <row r="601">
      <c r="E601" s="38"/>
    </row>
    <row r="602">
      <c r="E602" s="38"/>
    </row>
    <row r="603">
      <c r="E603" s="38"/>
    </row>
    <row r="604">
      <c r="E604" s="38"/>
    </row>
    <row r="605">
      <c r="E605" s="38"/>
    </row>
    <row r="606">
      <c r="E606" s="38"/>
    </row>
    <row r="607">
      <c r="E607" s="38"/>
    </row>
    <row r="608">
      <c r="E608" s="38"/>
    </row>
    <row r="609">
      <c r="E609" s="38"/>
    </row>
    <row r="610">
      <c r="E610" s="38"/>
    </row>
    <row r="611">
      <c r="E611" s="38"/>
    </row>
    <row r="612">
      <c r="E612" s="38"/>
    </row>
    <row r="613">
      <c r="E613" s="38"/>
    </row>
    <row r="614">
      <c r="E614" s="38"/>
    </row>
    <row r="615">
      <c r="E615" s="38"/>
    </row>
    <row r="616">
      <c r="E616" s="38"/>
    </row>
    <row r="617">
      <c r="E617" s="38"/>
    </row>
    <row r="618">
      <c r="E618" s="38"/>
    </row>
    <row r="619">
      <c r="E619" s="38"/>
    </row>
    <row r="620">
      <c r="E620" s="38"/>
    </row>
    <row r="621">
      <c r="E621" s="38"/>
    </row>
    <row r="622">
      <c r="E622" s="38"/>
    </row>
    <row r="623">
      <c r="E623" s="38"/>
    </row>
    <row r="624">
      <c r="E624" s="38"/>
    </row>
    <row r="625">
      <c r="E625" s="38"/>
    </row>
    <row r="626">
      <c r="E626" s="38"/>
    </row>
    <row r="627">
      <c r="E627" s="38"/>
    </row>
    <row r="628">
      <c r="E628" s="38"/>
    </row>
    <row r="629">
      <c r="E629" s="38"/>
    </row>
    <row r="630">
      <c r="E630" s="38"/>
    </row>
    <row r="631">
      <c r="E631" s="38"/>
    </row>
    <row r="632">
      <c r="E632" s="38"/>
    </row>
    <row r="633">
      <c r="E633" s="38"/>
    </row>
    <row r="634">
      <c r="E634" s="38"/>
    </row>
    <row r="635">
      <c r="E635" s="38"/>
    </row>
    <row r="636">
      <c r="E636" s="38"/>
    </row>
    <row r="637">
      <c r="E637" s="38"/>
    </row>
    <row r="638">
      <c r="E638" s="38"/>
    </row>
    <row r="639">
      <c r="E639" s="38"/>
    </row>
    <row r="640">
      <c r="E640" s="38"/>
    </row>
    <row r="641">
      <c r="E641" s="38"/>
    </row>
    <row r="642">
      <c r="E642" s="38"/>
    </row>
    <row r="643">
      <c r="E643" s="38"/>
    </row>
    <row r="644">
      <c r="E644" s="38"/>
    </row>
    <row r="645">
      <c r="E645" s="38"/>
    </row>
    <row r="646">
      <c r="E646" s="38"/>
    </row>
    <row r="647">
      <c r="E647" s="38"/>
    </row>
    <row r="648">
      <c r="E648" s="38"/>
    </row>
    <row r="649">
      <c r="E649" s="38"/>
    </row>
    <row r="650">
      <c r="E650" s="38"/>
    </row>
    <row r="651">
      <c r="E651" s="38"/>
    </row>
    <row r="652">
      <c r="E652" s="38"/>
    </row>
    <row r="653">
      <c r="E653" s="38"/>
    </row>
    <row r="654">
      <c r="E654" s="38"/>
    </row>
    <row r="655">
      <c r="E655" s="38"/>
    </row>
    <row r="656">
      <c r="E656" s="38"/>
    </row>
    <row r="657">
      <c r="E657" s="38"/>
    </row>
    <row r="658">
      <c r="E658" s="38"/>
    </row>
    <row r="659">
      <c r="E659" s="38"/>
    </row>
    <row r="660">
      <c r="E660" s="38"/>
    </row>
    <row r="661">
      <c r="E661" s="38"/>
    </row>
    <row r="662">
      <c r="E662" s="38"/>
    </row>
    <row r="663">
      <c r="E663" s="38"/>
    </row>
    <row r="664">
      <c r="E664" s="38"/>
    </row>
    <row r="665">
      <c r="E665" s="38"/>
    </row>
    <row r="666">
      <c r="E666" s="38"/>
    </row>
    <row r="667">
      <c r="E667" s="38"/>
    </row>
    <row r="668">
      <c r="E668" s="38"/>
    </row>
    <row r="669">
      <c r="E669" s="38"/>
    </row>
    <row r="670">
      <c r="E670" s="38"/>
    </row>
    <row r="671">
      <c r="E671" s="38"/>
    </row>
    <row r="672">
      <c r="E672" s="38"/>
    </row>
    <row r="673">
      <c r="E673" s="38"/>
    </row>
    <row r="674">
      <c r="E674" s="38"/>
    </row>
    <row r="675">
      <c r="E675" s="38"/>
    </row>
    <row r="676">
      <c r="E676" s="38"/>
    </row>
    <row r="677">
      <c r="E677" s="38"/>
    </row>
    <row r="678">
      <c r="E678" s="38"/>
    </row>
    <row r="679">
      <c r="E679" s="38"/>
    </row>
    <row r="680">
      <c r="E680" s="38"/>
    </row>
    <row r="681">
      <c r="E681" s="38"/>
    </row>
    <row r="682">
      <c r="E682" s="38"/>
    </row>
    <row r="683">
      <c r="E683" s="38"/>
    </row>
    <row r="684">
      <c r="E684" s="38"/>
    </row>
    <row r="685">
      <c r="E685" s="38"/>
    </row>
    <row r="686">
      <c r="E686" s="38"/>
    </row>
    <row r="687">
      <c r="E687" s="38"/>
    </row>
    <row r="688">
      <c r="E688" s="38"/>
    </row>
    <row r="689">
      <c r="E689" s="38"/>
    </row>
    <row r="690">
      <c r="E690" s="38"/>
    </row>
    <row r="691">
      <c r="E691" s="38"/>
    </row>
    <row r="692">
      <c r="E692" s="38"/>
    </row>
    <row r="693">
      <c r="E693" s="38"/>
    </row>
    <row r="694">
      <c r="E694" s="38"/>
    </row>
    <row r="695">
      <c r="E695" s="38"/>
    </row>
    <row r="696">
      <c r="E696" s="38"/>
    </row>
    <row r="697">
      <c r="E697" s="38"/>
    </row>
    <row r="698">
      <c r="E698" s="38"/>
    </row>
    <row r="699">
      <c r="E699" s="38"/>
    </row>
    <row r="700">
      <c r="E700" s="38"/>
    </row>
    <row r="701">
      <c r="E701" s="38"/>
    </row>
    <row r="702">
      <c r="E702" s="38"/>
    </row>
    <row r="703">
      <c r="E703" s="38"/>
    </row>
    <row r="704">
      <c r="E704" s="38"/>
    </row>
    <row r="705">
      <c r="E705" s="38"/>
    </row>
    <row r="706">
      <c r="E706" s="38"/>
    </row>
    <row r="707">
      <c r="E707" s="38"/>
    </row>
    <row r="708">
      <c r="E708" s="38"/>
    </row>
    <row r="709">
      <c r="E709" s="38"/>
    </row>
    <row r="710">
      <c r="E710" s="38"/>
    </row>
    <row r="711">
      <c r="E711" s="38"/>
    </row>
    <row r="712">
      <c r="E712" s="38"/>
    </row>
    <row r="713">
      <c r="E713" s="38"/>
    </row>
    <row r="714">
      <c r="E714" s="38"/>
    </row>
    <row r="715">
      <c r="E715" s="38"/>
    </row>
    <row r="716">
      <c r="E716" s="38"/>
    </row>
    <row r="717">
      <c r="E717" s="38"/>
    </row>
    <row r="718">
      <c r="E718" s="38"/>
    </row>
    <row r="719">
      <c r="E719" s="38"/>
    </row>
    <row r="720">
      <c r="E720" s="38"/>
    </row>
    <row r="721">
      <c r="E721" s="38"/>
    </row>
    <row r="722">
      <c r="E722" s="38"/>
    </row>
    <row r="723">
      <c r="E723" s="38"/>
    </row>
    <row r="724">
      <c r="E724" s="38"/>
    </row>
    <row r="725">
      <c r="E725" s="38"/>
    </row>
    <row r="726">
      <c r="E726" s="38"/>
    </row>
    <row r="727">
      <c r="E727" s="38"/>
    </row>
    <row r="728">
      <c r="E728" s="38"/>
    </row>
    <row r="729">
      <c r="E729" s="38"/>
    </row>
    <row r="730">
      <c r="E730" s="38"/>
    </row>
    <row r="731">
      <c r="E731" s="38"/>
    </row>
    <row r="732">
      <c r="E732" s="38"/>
    </row>
    <row r="733">
      <c r="E733" s="38"/>
    </row>
    <row r="734">
      <c r="E734" s="38"/>
    </row>
    <row r="735">
      <c r="E735" s="38"/>
    </row>
    <row r="736">
      <c r="E736" s="38"/>
    </row>
    <row r="737">
      <c r="E737" s="38"/>
    </row>
    <row r="738">
      <c r="E738" s="38"/>
    </row>
    <row r="739">
      <c r="E739" s="38"/>
    </row>
    <row r="740">
      <c r="E740" s="38"/>
    </row>
    <row r="741">
      <c r="E741" s="38"/>
    </row>
    <row r="742">
      <c r="E742" s="38"/>
    </row>
    <row r="743">
      <c r="E743" s="38"/>
    </row>
    <row r="744">
      <c r="E744" s="38"/>
    </row>
    <row r="745">
      <c r="E745" s="38"/>
    </row>
    <row r="746">
      <c r="E746" s="38"/>
    </row>
    <row r="747">
      <c r="E747" s="38"/>
    </row>
    <row r="748">
      <c r="E748" s="38"/>
    </row>
    <row r="749">
      <c r="E749" s="38"/>
    </row>
    <row r="750">
      <c r="E750" s="38"/>
    </row>
    <row r="751">
      <c r="E751" s="38"/>
    </row>
    <row r="752">
      <c r="E752" s="38"/>
    </row>
    <row r="753">
      <c r="E753" s="38"/>
    </row>
    <row r="754">
      <c r="E754" s="38"/>
    </row>
    <row r="755">
      <c r="E755" s="38"/>
    </row>
    <row r="756">
      <c r="E756" s="38"/>
    </row>
    <row r="757">
      <c r="E757" s="38"/>
    </row>
    <row r="758">
      <c r="E758" s="38"/>
    </row>
    <row r="759">
      <c r="E759" s="38"/>
    </row>
    <row r="760">
      <c r="E760" s="38"/>
    </row>
    <row r="761">
      <c r="E761" s="38"/>
    </row>
    <row r="762">
      <c r="E762" s="38"/>
    </row>
    <row r="763">
      <c r="E763" s="38"/>
    </row>
    <row r="764">
      <c r="E764" s="38"/>
    </row>
    <row r="765">
      <c r="E765" s="38"/>
    </row>
    <row r="766">
      <c r="E766" s="38"/>
    </row>
    <row r="767">
      <c r="E767" s="38"/>
    </row>
    <row r="768">
      <c r="E768" s="38"/>
    </row>
    <row r="769">
      <c r="E769" s="38"/>
    </row>
    <row r="770">
      <c r="E770" s="38"/>
    </row>
    <row r="771">
      <c r="E771" s="38"/>
    </row>
    <row r="772">
      <c r="E772" s="38"/>
    </row>
    <row r="773">
      <c r="E773" s="38"/>
    </row>
    <row r="774">
      <c r="E774" s="38"/>
    </row>
    <row r="775">
      <c r="E775" s="38"/>
    </row>
    <row r="776">
      <c r="E776" s="38"/>
    </row>
    <row r="777">
      <c r="E777" s="38"/>
    </row>
    <row r="778">
      <c r="E778" s="38"/>
    </row>
    <row r="779">
      <c r="E779" s="38"/>
    </row>
    <row r="780">
      <c r="E780" s="38"/>
    </row>
    <row r="781">
      <c r="E781" s="38"/>
    </row>
    <row r="782">
      <c r="E782" s="38"/>
    </row>
    <row r="783">
      <c r="E783" s="38"/>
    </row>
    <row r="784">
      <c r="E784" s="38"/>
    </row>
    <row r="785">
      <c r="E785" s="38"/>
    </row>
    <row r="786">
      <c r="E786" s="38"/>
    </row>
    <row r="787">
      <c r="E787" s="38"/>
    </row>
    <row r="788">
      <c r="E788" s="38"/>
    </row>
    <row r="789">
      <c r="E789" s="38"/>
    </row>
    <row r="790">
      <c r="E790" s="38"/>
    </row>
    <row r="791">
      <c r="E791" s="38"/>
    </row>
    <row r="792">
      <c r="E792" s="38"/>
    </row>
    <row r="793">
      <c r="E793" s="38"/>
    </row>
    <row r="794">
      <c r="E794" s="38"/>
    </row>
    <row r="795">
      <c r="E795" s="38"/>
    </row>
    <row r="796">
      <c r="E796" s="38"/>
    </row>
    <row r="797">
      <c r="E797" s="38"/>
    </row>
    <row r="798">
      <c r="E798" s="38"/>
    </row>
    <row r="799">
      <c r="E799" s="38"/>
    </row>
    <row r="800">
      <c r="E800" s="38"/>
    </row>
    <row r="801">
      <c r="E801" s="38"/>
    </row>
    <row r="802">
      <c r="E802" s="38"/>
    </row>
    <row r="803">
      <c r="E803" s="38"/>
    </row>
    <row r="804">
      <c r="E804" s="38"/>
    </row>
    <row r="805">
      <c r="E805" s="38"/>
    </row>
    <row r="806">
      <c r="E806" s="38"/>
    </row>
    <row r="807">
      <c r="E807" s="38"/>
    </row>
    <row r="808">
      <c r="E808" s="38"/>
    </row>
    <row r="809">
      <c r="E809" s="38"/>
    </row>
    <row r="810">
      <c r="E810" s="38"/>
    </row>
    <row r="811">
      <c r="E811" s="38"/>
    </row>
    <row r="812">
      <c r="E812" s="38"/>
    </row>
    <row r="813">
      <c r="E813" s="38"/>
    </row>
    <row r="814">
      <c r="E814" s="38"/>
    </row>
    <row r="815">
      <c r="E815" s="38"/>
    </row>
    <row r="816">
      <c r="E816" s="38"/>
    </row>
    <row r="817">
      <c r="E817" s="38"/>
    </row>
    <row r="818">
      <c r="E818" s="38"/>
    </row>
    <row r="819">
      <c r="E819" s="38"/>
    </row>
    <row r="820">
      <c r="E820" s="38"/>
    </row>
    <row r="821">
      <c r="E821" s="38"/>
    </row>
    <row r="822">
      <c r="E822" s="38"/>
    </row>
    <row r="823">
      <c r="E823" s="38"/>
    </row>
    <row r="824">
      <c r="E824" s="38"/>
    </row>
    <row r="825">
      <c r="E825" s="38"/>
    </row>
    <row r="826">
      <c r="E826" s="38"/>
    </row>
    <row r="827">
      <c r="E827" s="38"/>
    </row>
    <row r="828">
      <c r="E828" s="38"/>
    </row>
    <row r="829">
      <c r="E829" s="38"/>
    </row>
    <row r="830">
      <c r="E830" s="38"/>
    </row>
    <row r="831">
      <c r="E831" s="38"/>
    </row>
    <row r="832">
      <c r="E832" s="38"/>
    </row>
    <row r="833">
      <c r="E833" s="38"/>
    </row>
    <row r="834">
      <c r="E834" s="38"/>
    </row>
    <row r="835">
      <c r="E835" s="38"/>
    </row>
    <row r="836">
      <c r="E836" s="38"/>
    </row>
    <row r="837">
      <c r="E837" s="38"/>
    </row>
    <row r="838">
      <c r="E838" s="38"/>
    </row>
    <row r="839">
      <c r="E839" s="38"/>
    </row>
    <row r="840">
      <c r="E840" s="38"/>
    </row>
    <row r="841">
      <c r="E841" s="38"/>
    </row>
    <row r="842">
      <c r="E842" s="38"/>
    </row>
    <row r="843">
      <c r="E843" s="38"/>
    </row>
    <row r="844">
      <c r="E844" s="38"/>
    </row>
    <row r="845">
      <c r="E845" s="38"/>
    </row>
    <row r="846">
      <c r="E846" s="38"/>
    </row>
    <row r="847">
      <c r="E847" s="38"/>
    </row>
    <row r="848">
      <c r="E848" s="38"/>
    </row>
    <row r="849">
      <c r="E849" s="38"/>
    </row>
    <row r="850">
      <c r="E850" s="38"/>
    </row>
    <row r="851">
      <c r="E851" s="38"/>
    </row>
    <row r="852">
      <c r="E852" s="38"/>
    </row>
    <row r="853">
      <c r="E853" s="38"/>
    </row>
    <row r="854">
      <c r="E854" s="38"/>
    </row>
    <row r="855">
      <c r="E855" s="38"/>
    </row>
    <row r="856">
      <c r="E856" s="38"/>
    </row>
    <row r="857">
      <c r="E857" s="38"/>
    </row>
    <row r="858">
      <c r="E858" s="38"/>
    </row>
    <row r="859">
      <c r="E859" s="38"/>
    </row>
    <row r="860">
      <c r="E860" s="38"/>
    </row>
    <row r="861">
      <c r="E861" s="38"/>
    </row>
    <row r="862">
      <c r="E862" s="38"/>
    </row>
    <row r="863">
      <c r="E863" s="38"/>
    </row>
    <row r="864">
      <c r="E864" s="38"/>
    </row>
    <row r="865">
      <c r="E865" s="38"/>
    </row>
    <row r="866">
      <c r="E866" s="38"/>
    </row>
    <row r="867">
      <c r="E867" s="38"/>
    </row>
    <row r="868">
      <c r="E868" s="38"/>
    </row>
    <row r="869">
      <c r="E869" s="38"/>
    </row>
    <row r="870">
      <c r="E870" s="38"/>
    </row>
    <row r="871">
      <c r="E871" s="38"/>
    </row>
    <row r="872">
      <c r="E872" s="38"/>
    </row>
    <row r="873">
      <c r="E873" s="38"/>
    </row>
    <row r="874">
      <c r="E874" s="38"/>
    </row>
    <row r="875">
      <c r="E875" s="38"/>
    </row>
    <row r="876">
      <c r="E876" s="38"/>
    </row>
    <row r="877">
      <c r="E877" s="38"/>
    </row>
    <row r="878">
      <c r="E878" s="38"/>
    </row>
    <row r="879">
      <c r="E879" s="38"/>
    </row>
    <row r="880">
      <c r="E880" s="38"/>
    </row>
    <row r="881">
      <c r="E881" s="38"/>
    </row>
    <row r="882">
      <c r="E882" s="38"/>
    </row>
    <row r="883">
      <c r="E883" s="38"/>
    </row>
    <row r="884">
      <c r="E884" s="38"/>
    </row>
    <row r="885">
      <c r="E885" s="38"/>
    </row>
    <row r="886">
      <c r="E886" s="38"/>
    </row>
    <row r="887">
      <c r="E887" s="38"/>
    </row>
    <row r="888">
      <c r="E888" s="38"/>
    </row>
    <row r="889">
      <c r="E889" s="38"/>
    </row>
    <row r="890">
      <c r="E890" s="38"/>
    </row>
    <row r="891">
      <c r="E891" s="38"/>
    </row>
    <row r="892">
      <c r="E892" s="38"/>
    </row>
    <row r="893">
      <c r="E893" s="38"/>
    </row>
    <row r="894">
      <c r="E894" s="38"/>
    </row>
    <row r="895">
      <c r="E895" s="38"/>
    </row>
    <row r="896">
      <c r="E896" s="38"/>
    </row>
    <row r="897">
      <c r="E897" s="38"/>
    </row>
    <row r="898">
      <c r="E898" s="38"/>
    </row>
    <row r="899">
      <c r="E899" s="38"/>
    </row>
    <row r="900">
      <c r="E900" s="38"/>
    </row>
    <row r="901">
      <c r="E901" s="38"/>
    </row>
    <row r="902">
      <c r="E902" s="38"/>
    </row>
    <row r="903">
      <c r="E903" s="38"/>
    </row>
    <row r="904">
      <c r="E904" s="38"/>
    </row>
    <row r="905">
      <c r="E905" s="38"/>
    </row>
    <row r="906">
      <c r="E906" s="38"/>
    </row>
    <row r="907">
      <c r="E907" s="38"/>
    </row>
    <row r="908">
      <c r="E908" s="38"/>
    </row>
    <row r="909">
      <c r="E909" s="38"/>
    </row>
    <row r="910">
      <c r="E910" s="38"/>
    </row>
    <row r="911">
      <c r="E911" s="38"/>
    </row>
    <row r="912">
      <c r="E912" s="38"/>
    </row>
    <row r="913">
      <c r="E913" s="38"/>
    </row>
    <row r="914">
      <c r="E914" s="38"/>
    </row>
    <row r="915">
      <c r="E915" s="38"/>
    </row>
    <row r="916">
      <c r="E916" s="38"/>
    </row>
    <row r="917">
      <c r="E917" s="38"/>
    </row>
    <row r="918">
      <c r="E918" s="38"/>
    </row>
    <row r="919">
      <c r="E919" s="38"/>
    </row>
    <row r="920">
      <c r="E920" s="38"/>
    </row>
    <row r="921">
      <c r="E921" s="38"/>
    </row>
    <row r="922">
      <c r="E922" s="38"/>
    </row>
    <row r="923">
      <c r="E923" s="38"/>
    </row>
    <row r="924">
      <c r="E924" s="38"/>
    </row>
    <row r="925">
      <c r="E925" s="38"/>
    </row>
    <row r="926">
      <c r="E926" s="38"/>
    </row>
    <row r="927">
      <c r="E927" s="38"/>
    </row>
    <row r="928">
      <c r="E928" s="38"/>
    </row>
    <row r="929">
      <c r="E929" s="38"/>
    </row>
    <row r="930">
      <c r="E930" s="38"/>
    </row>
    <row r="931">
      <c r="E931" s="38"/>
    </row>
    <row r="932">
      <c r="E932" s="38"/>
    </row>
    <row r="933">
      <c r="E933" s="38"/>
    </row>
    <row r="934">
      <c r="E934" s="38"/>
    </row>
    <row r="935">
      <c r="E935" s="38"/>
    </row>
    <row r="936">
      <c r="E936" s="38"/>
    </row>
    <row r="937">
      <c r="E937" s="38"/>
    </row>
    <row r="938">
      <c r="E938" s="38"/>
    </row>
    <row r="939">
      <c r="E939" s="38"/>
    </row>
    <row r="940">
      <c r="E940" s="38"/>
    </row>
    <row r="941">
      <c r="E941" s="38"/>
    </row>
    <row r="942">
      <c r="E942" s="38"/>
    </row>
    <row r="943">
      <c r="E943" s="38"/>
    </row>
    <row r="944">
      <c r="E944" s="38"/>
    </row>
    <row r="945">
      <c r="E945" s="38"/>
    </row>
    <row r="946">
      <c r="E946" s="38"/>
    </row>
    <row r="947">
      <c r="E947" s="38"/>
    </row>
    <row r="948">
      <c r="E948" s="38"/>
    </row>
    <row r="949">
      <c r="E949" s="38"/>
    </row>
    <row r="950">
      <c r="E950" s="38"/>
    </row>
    <row r="951">
      <c r="E951" s="38"/>
    </row>
    <row r="952">
      <c r="E952" s="38"/>
    </row>
    <row r="953">
      <c r="E953" s="38"/>
    </row>
    <row r="954">
      <c r="E954" s="38"/>
    </row>
    <row r="955">
      <c r="E955" s="38"/>
    </row>
    <row r="956">
      <c r="E956" s="38"/>
    </row>
    <row r="957">
      <c r="E957" s="38"/>
    </row>
    <row r="958">
      <c r="E958" s="38"/>
    </row>
    <row r="959">
      <c r="E959" s="38"/>
    </row>
    <row r="960">
      <c r="E960" s="38"/>
    </row>
    <row r="961">
      <c r="E961" s="38"/>
    </row>
    <row r="962">
      <c r="E962" s="38"/>
    </row>
    <row r="963">
      <c r="E963" s="38"/>
    </row>
    <row r="964">
      <c r="E964" s="38"/>
    </row>
    <row r="965">
      <c r="E965" s="38"/>
    </row>
    <row r="966">
      <c r="E966" s="38"/>
    </row>
    <row r="967">
      <c r="E967" s="38"/>
    </row>
    <row r="968">
      <c r="E968" s="38"/>
    </row>
    <row r="969">
      <c r="E969" s="38"/>
    </row>
    <row r="970">
      <c r="E970" s="38"/>
    </row>
    <row r="971">
      <c r="E971" s="38"/>
    </row>
    <row r="972">
      <c r="E972" s="38"/>
    </row>
    <row r="973">
      <c r="E973" s="38"/>
    </row>
    <row r="974">
      <c r="E974" s="38"/>
    </row>
    <row r="975">
      <c r="E975" s="38"/>
    </row>
    <row r="976">
      <c r="E976" s="38"/>
    </row>
    <row r="977">
      <c r="E977" s="38"/>
    </row>
    <row r="978">
      <c r="E978" s="38"/>
    </row>
    <row r="979">
      <c r="E979" s="38"/>
    </row>
    <row r="980">
      <c r="E980" s="38"/>
    </row>
    <row r="981">
      <c r="E981" s="38"/>
    </row>
    <row r="982">
      <c r="E982" s="38"/>
    </row>
    <row r="983">
      <c r="E983" s="38"/>
    </row>
    <row r="984">
      <c r="E984" s="38"/>
    </row>
    <row r="985">
      <c r="E985" s="38"/>
    </row>
    <row r="986">
      <c r="E986" s="38"/>
    </row>
    <row r="987">
      <c r="E987" s="38"/>
    </row>
    <row r="988">
      <c r="E988" s="38"/>
    </row>
  </sheetData>
  <mergeCells count="1">
    <mergeCell ref="J14:K14"/>
  </mergeCells>
  <dataValidations>
    <dataValidation type="decimal" allowBlank="1" showDropDown="1" sqref="A41">
      <formula1>1.0</formula1>
      <formula2>99.0</formula2>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82.57"/>
    <col customWidth="1" min="2" max="2" width="3.29"/>
    <col customWidth="1" hidden="1" min="3" max="3" width="18.86"/>
    <col customWidth="1" min="4" max="4" width="3.29"/>
    <col customWidth="1" min="5" max="5" width="32.86"/>
    <col customWidth="1" min="6" max="6" width="6.0"/>
    <col customWidth="1" min="7" max="7" width="38.57"/>
    <col customWidth="1" min="8" max="8" width="4.71"/>
    <col customWidth="1" min="9" max="9" width="25.57"/>
    <col customWidth="1" min="10" max="10" width="4.71"/>
  </cols>
  <sheetData>
    <row r="2">
      <c r="A2" s="43" t="s">
        <v>501</v>
      </c>
      <c r="B2" s="43"/>
      <c r="C2" s="43"/>
      <c r="D2" s="178"/>
      <c r="E2" s="43"/>
    </row>
    <row r="3">
      <c r="A3" s="43"/>
      <c r="B3" s="43"/>
      <c r="C3" s="179"/>
    </row>
    <row r="4">
      <c r="A4" s="43"/>
      <c r="B4" s="43"/>
      <c r="C4" s="43"/>
    </row>
    <row r="5">
      <c r="C5" s="4" t="s">
        <v>502</v>
      </c>
    </row>
    <row r="6">
      <c r="A6" s="4" t="s">
        <v>503</v>
      </c>
      <c r="E6" s="43" t="s">
        <v>504</v>
      </c>
      <c r="F6" s="178"/>
      <c r="G6" s="43"/>
      <c r="H6" s="43"/>
      <c r="I6" s="43"/>
    </row>
    <row r="7">
      <c r="A7" s="4" t="s">
        <v>505</v>
      </c>
      <c r="C7" s="4">
        <v>1.0</v>
      </c>
      <c r="E7" s="43"/>
      <c r="G7" s="43"/>
      <c r="H7" s="43"/>
      <c r="I7" s="43"/>
    </row>
    <row r="8">
      <c r="A8" s="180" t="s">
        <v>506</v>
      </c>
      <c r="B8" s="181"/>
      <c r="C8" s="180">
        <v>6.0</v>
      </c>
      <c r="D8" s="181"/>
      <c r="E8" s="182" t="s">
        <v>507</v>
      </c>
      <c r="G8" s="43"/>
      <c r="H8" s="43"/>
      <c r="I8" s="43"/>
    </row>
    <row r="9">
      <c r="A9" s="4" t="s">
        <v>508</v>
      </c>
      <c r="C9" s="4" t="s">
        <v>507</v>
      </c>
      <c r="I9" s="38"/>
    </row>
    <row r="10">
      <c r="A10" s="4" t="s">
        <v>509</v>
      </c>
      <c r="C10" s="4" t="s">
        <v>507</v>
      </c>
    </row>
    <row r="11">
      <c r="A11" s="4" t="s">
        <v>510</v>
      </c>
      <c r="C11" s="4" t="s">
        <v>507</v>
      </c>
    </row>
    <row r="12">
      <c r="A12" s="4" t="s">
        <v>511</v>
      </c>
      <c r="C12" s="4" t="s">
        <v>507</v>
      </c>
    </row>
    <row r="13">
      <c r="A13" s="4" t="s">
        <v>512</v>
      </c>
      <c r="C13" s="4">
        <v>4.0</v>
      </c>
    </row>
    <row r="14">
      <c r="A14" s="4" t="s">
        <v>513</v>
      </c>
      <c r="C14" s="4" t="s">
        <v>507</v>
      </c>
    </row>
    <row r="15">
      <c r="A15" s="4" t="s">
        <v>509</v>
      </c>
      <c r="C15" s="4" t="s">
        <v>507</v>
      </c>
    </row>
    <row r="16">
      <c r="A16" s="4" t="s">
        <v>514</v>
      </c>
      <c r="C16" s="4" t="s">
        <v>507</v>
      </c>
    </row>
    <row r="17">
      <c r="A17" s="4" t="s">
        <v>515</v>
      </c>
      <c r="C17" s="4" t="s">
        <v>507</v>
      </c>
    </row>
    <row r="19">
      <c r="A19" s="97" t="s">
        <v>516</v>
      </c>
    </row>
    <row r="20">
      <c r="A20" s="4" t="s">
        <v>517</v>
      </c>
    </row>
    <row r="21">
      <c r="A21" s="4" t="s">
        <v>518</v>
      </c>
    </row>
  </sheetData>
  <mergeCells count="3">
    <mergeCell ref="D2:D4"/>
    <mergeCell ref="E2:E4"/>
    <mergeCell ref="F6:F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0.0"/>
    <col customWidth="1" min="7" max="7" width="17.14"/>
    <col customWidth="1" min="10" max="10" width="15.86"/>
    <col customWidth="1" min="18" max="18" width="23.71"/>
  </cols>
  <sheetData>
    <row r="1">
      <c r="A1" s="183" t="s">
        <v>519</v>
      </c>
    </row>
    <row r="2">
      <c r="I2" s="184"/>
    </row>
    <row r="3">
      <c r="A3" s="4" t="s">
        <v>520</v>
      </c>
      <c r="I3" s="184"/>
    </row>
    <row r="4">
      <c r="A4" s="4" t="s">
        <v>489</v>
      </c>
    </row>
    <row r="5">
      <c r="B5" s="1" t="s">
        <v>490</v>
      </c>
      <c r="C5" s="1" t="s">
        <v>491</v>
      </c>
      <c r="D5" s="1" t="s">
        <v>124</v>
      </c>
      <c r="E5" s="1" t="s">
        <v>492</v>
      </c>
      <c r="F5" s="1" t="s">
        <v>521</v>
      </c>
      <c r="G5" s="1" t="s">
        <v>522</v>
      </c>
      <c r="H5" s="1" t="s">
        <v>523</v>
      </c>
      <c r="I5" s="1" t="s">
        <v>524</v>
      </c>
      <c r="J5" s="1" t="s">
        <v>525</v>
      </c>
    </row>
    <row r="6">
      <c r="B6" s="6" t="s">
        <v>526</v>
      </c>
      <c r="C6" s="6">
        <v>0.21</v>
      </c>
      <c r="D6" s="6">
        <v>4.0</v>
      </c>
      <c r="E6" s="6">
        <v>2.0</v>
      </c>
      <c r="F6" s="6">
        <v>0.15</v>
      </c>
      <c r="G6" s="6"/>
      <c r="H6" s="6" t="s">
        <v>164</v>
      </c>
      <c r="I6" s="153">
        <f>(C7/C6)-1</f>
        <v>-0.3</v>
      </c>
      <c r="J6" s="153">
        <f>G7/F6-1</f>
        <v>-0.4</v>
      </c>
    </row>
    <row r="7">
      <c r="B7" s="6" t="s">
        <v>527</v>
      </c>
      <c r="C7" s="6">
        <v>0.147</v>
      </c>
      <c r="D7" s="6">
        <v>4.0</v>
      </c>
      <c r="E7" s="6">
        <v>2.0</v>
      </c>
      <c r="F7" s="6">
        <v>0.13</v>
      </c>
      <c r="G7" s="6">
        <v>0.09</v>
      </c>
      <c r="H7" s="6" t="s">
        <v>164</v>
      </c>
      <c r="I7" s="8"/>
      <c r="J7" s="8"/>
    </row>
    <row r="8">
      <c r="C8" s="184">
        <f>C7/C6-1</f>
        <v>-0.3</v>
      </c>
      <c r="G8" s="76">
        <f>G7/F7-1</f>
        <v>-0.3076923077</v>
      </c>
    </row>
    <row r="9">
      <c r="L9" s="108"/>
      <c r="M9" s="108"/>
      <c r="N9" s="108"/>
      <c r="O9" s="108"/>
      <c r="P9" s="108"/>
      <c r="Q9" s="108"/>
      <c r="R9" s="108"/>
      <c r="S9" s="108"/>
      <c r="T9" s="108"/>
      <c r="U9" s="108"/>
      <c r="V9" s="108"/>
    </row>
    <row r="10">
      <c r="E10" s="4" t="s">
        <v>528</v>
      </c>
      <c r="F10" s="76">
        <f>0.38*(1+G8)</f>
        <v>0.2630769231</v>
      </c>
    </row>
    <row r="11">
      <c r="W11" s="85"/>
    </row>
    <row r="12">
      <c r="A12" s="4" t="s">
        <v>529</v>
      </c>
      <c r="W12" s="185"/>
    </row>
    <row r="13">
      <c r="A13" s="4" t="s">
        <v>489</v>
      </c>
    </row>
    <row r="14">
      <c r="B14" s="1" t="s">
        <v>490</v>
      </c>
      <c r="C14" s="1" t="s">
        <v>491</v>
      </c>
      <c r="D14" s="1" t="s">
        <v>124</v>
      </c>
      <c r="E14" s="1" t="s">
        <v>492</v>
      </c>
      <c r="F14" s="1" t="s">
        <v>521</v>
      </c>
      <c r="G14" s="1" t="s">
        <v>522</v>
      </c>
      <c r="H14" s="1" t="s">
        <v>523</v>
      </c>
      <c r="I14" s="1" t="s">
        <v>524</v>
      </c>
      <c r="J14" s="1" t="s">
        <v>525</v>
      </c>
      <c r="W14" s="85"/>
    </row>
    <row r="15">
      <c r="B15" s="6" t="s">
        <v>526</v>
      </c>
      <c r="C15" s="6">
        <v>0.37</v>
      </c>
      <c r="D15" s="6">
        <v>3.0</v>
      </c>
      <c r="E15" s="6">
        <v>2.0</v>
      </c>
      <c r="F15" s="6">
        <v>0.369</v>
      </c>
      <c r="G15" s="6"/>
      <c r="H15" s="6" t="s">
        <v>164</v>
      </c>
      <c r="I15" s="153">
        <f>(C16/C15)-1</f>
        <v>0.3716216216</v>
      </c>
      <c r="J15" s="153">
        <f>G16/F15-1</f>
        <v>0.1219512195</v>
      </c>
      <c r="W15" s="185"/>
    </row>
    <row r="16">
      <c r="B16" s="6" t="s">
        <v>527</v>
      </c>
      <c r="C16" s="6">
        <v>0.5075</v>
      </c>
      <c r="D16" s="6">
        <v>3.0</v>
      </c>
      <c r="E16" s="6">
        <v>2.0</v>
      </c>
      <c r="F16" s="1">
        <v>0.505</v>
      </c>
      <c r="G16" s="1">
        <v>0.414</v>
      </c>
      <c r="H16" s="6" t="s">
        <v>164</v>
      </c>
      <c r="I16" s="8"/>
      <c r="J16" s="8"/>
    </row>
    <row r="17">
      <c r="C17" s="184"/>
      <c r="G17" s="76">
        <f>G16/F16-1</f>
        <v>-0.1801980198</v>
      </c>
      <c r="L17" s="108"/>
      <c r="M17" s="108"/>
      <c r="N17" s="108"/>
      <c r="O17" s="108"/>
      <c r="P17" s="108"/>
      <c r="Q17" s="108"/>
      <c r="R17" s="108"/>
      <c r="S17" s="108"/>
      <c r="T17" s="108"/>
      <c r="U17" s="108"/>
      <c r="V17" s="108"/>
    </row>
    <row r="19">
      <c r="E19" s="4" t="s">
        <v>528</v>
      </c>
      <c r="F19" s="76">
        <f>0.66*(1+G17)</f>
        <v>0.5410693069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1" max="1" width="26.14"/>
    <col customWidth="1" min="2" max="2" width="17.29"/>
    <col customWidth="1" min="3" max="3" width="18.14"/>
    <col customWidth="1" min="4" max="4" width="14.71"/>
    <col customWidth="1" min="5" max="5" width="15.86"/>
    <col customWidth="1" min="6" max="6" width="36.14"/>
    <col customWidth="1" min="8" max="8" width="14.57"/>
    <col customWidth="1" min="9" max="9" width="8.29"/>
    <col customWidth="1" min="10" max="10" width="15.14"/>
    <col customWidth="1" min="13" max="14" width="18.14"/>
    <col customWidth="1" min="16" max="16" width="16.86"/>
    <col customWidth="1" min="17" max="17" width="15.29"/>
    <col customWidth="1" min="20" max="20" width="16.86"/>
  </cols>
  <sheetData>
    <row r="1">
      <c r="A1" s="101"/>
      <c r="C1" s="102">
        <v>0.7</v>
      </c>
      <c r="D1" s="103"/>
      <c r="E1" s="103"/>
      <c r="G1" s="104"/>
      <c r="I1" s="103"/>
      <c r="J1" s="105">
        <f>100%-C1</f>
        <v>0.3</v>
      </c>
      <c r="K1" s="8"/>
      <c r="L1" s="8"/>
      <c r="M1" s="8"/>
    </row>
    <row r="2">
      <c r="A2" s="106"/>
      <c r="C2" s="106" t="s">
        <v>461</v>
      </c>
      <c r="D2" s="103"/>
      <c r="E2" s="103"/>
      <c r="G2" s="104"/>
      <c r="I2" s="103"/>
      <c r="J2" s="103"/>
      <c r="K2" s="8"/>
      <c r="L2" s="8"/>
      <c r="M2" s="8"/>
      <c r="O2" s="1" t="s">
        <v>462</v>
      </c>
      <c r="P2" s="1" t="s">
        <v>463</v>
      </c>
    </row>
    <row r="3">
      <c r="A3" s="107" t="s">
        <v>387</v>
      </c>
      <c r="B3" s="108" t="s">
        <v>388</v>
      </c>
      <c r="C3" s="109" t="s">
        <v>389</v>
      </c>
      <c r="D3" s="107" t="s">
        <v>394</v>
      </c>
      <c r="E3" s="107" t="s">
        <v>391</v>
      </c>
      <c r="F3" s="108"/>
      <c r="G3" s="110" t="s">
        <v>392</v>
      </c>
      <c r="H3" s="108" t="s">
        <v>388</v>
      </c>
      <c r="I3" s="111" t="s">
        <v>393</v>
      </c>
      <c r="J3" s="110" t="s">
        <v>394</v>
      </c>
      <c r="K3" s="110" t="s">
        <v>395</v>
      </c>
      <c r="L3" s="6"/>
      <c r="M3" s="6"/>
      <c r="N3" s="4"/>
      <c r="O3" s="51">
        <v>-30.0</v>
      </c>
      <c r="P3" s="6" t="s">
        <v>464</v>
      </c>
    </row>
    <row r="4">
      <c r="A4" s="112" t="s">
        <v>530</v>
      </c>
      <c r="B4" s="4">
        <v>0.0</v>
      </c>
      <c r="C4" s="113">
        <v>0.35</v>
      </c>
      <c r="D4" s="113">
        <f>C4/SUM(C4,C5,C6,C7,C8)</f>
        <v>0.3684210526</v>
      </c>
      <c r="E4" s="114">
        <v>-15.0</v>
      </c>
      <c r="F4" s="76">
        <f t="shared" ref="F4:F8" si="1">D4*E4</f>
        <v>-5.526315789</v>
      </c>
      <c r="G4" s="115" t="s">
        <v>531</v>
      </c>
      <c r="H4" s="4">
        <v>0.0</v>
      </c>
      <c r="I4" s="119">
        <v>0.0</v>
      </c>
      <c r="J4" s="116">
        <f t="shared" ref="J4:J8" si="2">I4/SUM($I$4:$I$8)</f>
        <v>0</v>
      </c>
      <c r="K4" s="117">
        <v>0.0</v>
      </c>
      <c r="L4" s="6"/>
      <c r="M4" s="6"/>
      <c r="N4" s="4"/>
      <c r="O4" s="51">
        <v>-15.0</v>
      </c>
      <c r="P4" s="6" t="s">
        <v>468</v>
      </c>
    </row>
    <row r="5">
      <c r="A5" s="112" t="s">
        <v>208</v>
      </c>
      <c r="C5" s="113">
        <v>0.35</v>
      </c>
      <c r="D5" s="113">
        <f>C5/SUM(C4,C5,C6,C7,C8)</f>
        <v>0.3684210526</v>
      </c>
      <c r="E5" s="114">
        <v>-15.0</v>
      </c>
      <c r="F5" s="76">
        <f t="shared" si="1"/>
        <v>-5.526315789</v>
      </c>
      <c r="G5" s="115" t="s">
        <v>326</v>
      </c>
      <c r="I5" s="119">
        <v>0.0</v>
      </c>
      <c r="J5" s="116">
        <f t="shared" si="2"/>
        <v>0</v>
      </c>
      <c r="K5" s="117">
        <v>0.0</v>
      </c>
      <c r="L5" s="6"/>
      <c r="M5" s="6"/>
      <c r="N5" s="4"/>
      <c r="O5" s="58">
        <v>0.0</v>
      </c>
      <c r="P5" s="6" t="s">
        <v>470</v>
      </c>
    </row>
    <row r="6">
      <c r="A6" s="112" t="s">
        <v>222</v>
      </c>
      <c r="C6" s="118">
        <v>0.2</v>
      </c>
      <c r="D6" s="113">
        <f>C6/SUM(C4,C5,C6,C7,C8)</f>
        <v>0.2105263158</v>
      </c>
      <c r="E6" s="114">
        <v>0.0</v>
      </c>
      <c r="F6" s="76">
        <f t="shared" si="1"/>
        <v>0</v>
      </c>
      <c r="G6" s="115" t="s">
        <v>330</v>
      </c>
      <c r="I6" s="119">
        <v>0.0</v>
      </c>
      <c r="J6" s="116">
        <f t="shared" si="2"/>
        <v>0</v>
      </c>
      <c r="K6" s="117">
        <v>0.0</v>
      </c>
      <c r="L6" s="6"/>
      <c r="M6" s="6"/>
      <c r="N6" s="4"/>
      <c r="O6" s="58">
        <v>15.0</v>
      </c>
      <c r="P6" s="6" t="s">
        <v>472</v>
      </c>
    </row>
    <row r="7">
      <c r="A7" s="112" t="s">
        <v>532</v>
      </c>
      <c r="B7" s="4">
        <v>0.0</v>
      </c>
      <c r="C7" s="118">
        <v>0.05</v>
      </c>
      <c r="D7" s="113">
        <f>C7/SUM(C4,C5,C6,C7,C8)</f>
        <v>0.05263157895</v>
      </c>
      <c r="E7" s="114">
        <v>15.0</v>
      </c>
      <c r="F7" s="76">
        <f t="shared" si="1"/>
        <v>0.7894736842</v>
      </c>
      <c r="G7" s="115" t="s">
        <v>324</v>
      </c>
      <c r="I7" s="119">
        <v>0.0</v>
      </c>
      <c r="J7" s="116">
        <f t="shared" si="2"/>
        <v>0</v>
      </c>
      <c r="K7" s="117">
        <v>0.0</v>
      </c>
      <c r="L7" s="6"/>
      <c r="M7" s="6"/>
      <c r="N7" s="4"/>
      <c r="O7" s="176">
        <v>30.0</v>
      </c>
      <c r="P7" s="8"/>
    </row>
    <row r="8">
      <c r="A8" s="112" t="s">
        <v>269</v>
      </c>
      <c r="C8" s="118">
        <v>0.0</v>
      </c>
      <c r="D8" s="113">
        <f>C8/SUM(C4,C5,C6,C7,C8)</f>
        <v>0</v>
      </c>
      <c r="E8" s="114">
        <v>-30.0</v>
      </c>
      <c r="F8" s="76">
        <f t="shared" si="1"/>
        <v>0</v>
      </c>
      <c r="G8" s="186" t="s">
        <v>533</v>
      </c>
      <c r="I8" s="167">
        <v>0.05</v>
      </c>
      <c r="J8" s="116">
        <f t="shared" si="2"/>
        <v>1</v>
      </c>
      <c r="K8" s="117">
        <v>-15.0</v>
      </c>
      <c r="L8" s="8"/>
      <c r="M8" s="8"/>
    </row>
    <row r="9">
      <c r="A9" s="122"/>
      <c r="C9" s="122"/>
      <c r="D9" s="122"/>
      <c r="E9" s="122"/>
      <c r="G9" s="120"/>
      <c r="I9" s="123">
        <f>sum(I3:I8)</f>
        <v>0.05</v>
      </c>
      <c r="J9" s="123">
        <f>sum(J3:J7)</f>
        <v>0</v>
      </c>
      <c r="K9" s="124"/>
      <c r="L9" s="8"/>
      <c r="M9" s="8"/>
    </row>
    <row r="10">
      <c r="A10" s="122"/>
      <c r="C10" s="125">
        <f t="shared" ref="C10:D10" si="3">sum(C4:C8)</f>
        <v>0.95</v>
      </c>
      <c r="D10" s="125">
        <f t="shared" si="3"/>
        <v>1</v>
      </c>
      <c r="E10" s="126"/>
      <c r="G10" s="127"/>
      <c r="I10" s="121"/>
      <c r="J10" s="121"/>
      <c r="K10" s="124"/>
      <c r="L10" s="8"/>
      <c r="M10" s="8"/>
      <c r="R10" s="4">
        <v>1.0</v>
      </c>
      <c r="S10" s="4">
        <v>2.0</v>
      </c>
      <c r="T10" s="4">
        <v>3.0</v>
      </c>
      <c r="U10" s="4">
        <v>4.0</v>
      </c>
    </row>
    <row r="11">
      <c r="A11" s="122"/>
      <c r="C11" s="122"/>
      <c r="D11" s="128" t="s">
        <v>399</v>
      </c>
      <c r="E11" s="128">
        <f>SUMPRODUCT(D4:D8,E4:E8)</f>
        <v>-10.26315789</v>
      </c>
      <c r="G11" s="129"/>
      <c r="I11" s="124"/>
      <c r="J11" s="121"/>
      <c r="K11" s="130">
        <f>SUMPRODUCT(J4:J8,K4:K8)</f>
        <v>-15</v>
      </c>
      <c r="L11" s="131">
        <f>if(K11=0,E11*1,E11*C1+K11*J1)</f>
        <v>-11.68421053</v>
      </c>
      <c r="M11" s="132" t="str">
        <f>VLOOKUP(L11,$O$3:$P$7,2,true)</f>
        <v>bad</v>
      </c>
    </row>
    <row r="12">
      <c r="A12" s="133"/>
      <c r="C12" s="133"/>
      <c r="D12" s="133"/>
      <c r="E12" s="134"/>
      <c r="F12" s="135"/>
      <c r="G12" s="133"/>
      <c r="H12" s="133"/>
    </row>
    <row r="13">
      <c r="D13" s="133"/>
      <c r="E13" s="38"/>
      <c r="J13" s="136" t="s">
        <v>400</v>
      </c>
      <c r="K13" s="137"/>
      <c r="L13" s="4" t="s">
        <v>401</v>
      </c>
    </row>
    <row r="14">
      <c r="D14" s="133"/>
      <c r="E14" s="38"/>
      <c r="J14" s="138">
        <v>0.0</v>
      </c>
      <c r="K14" s="139" t="s">
        <v>402</v>
      </c>
      <c r="L14" s="140">
        <f t="shared" ref="L14:L20" si="4">J15-J14</f>
        <v>3</v>
      </c>
    </row>
    <row r="15">
      <c r="D15" s="133"/>
      <c r="E15" s="38"/>
      <c r="J15" s="138">
        <v>3.0</v>
      </c>
      <c r="K15" s="139" t="s">
        <v>403</v>
      </c>
      <c r="L15" s="140">
        <f t="shared" si="4"/>
        <v>7</v>
      </c>
    </row>
    <row r="16">
      <c r="D16" s="133"/>
      <c r="E16" s="38"/>
      <c r="J16" s="138">
        <v>10.0</v>
      </c>
      <c r="K16" s="139" t="s">
        <v>164</v>
      </c>
      <c r="L16" s="140">
        <f t="shared" si="4"/>
        <v>35</v>
      </c>
    </row>
    <row r="17">
      <c r="D17" s="133"/>
      <c r="E17" s="38"/>
      <c r="J17" s="138">
        <v>45.0</v>
      </c>
      <c r="K17" s="139" t="s">
        <v>404</v>
      </c>
      <c r="L17" s="140">
        <f t="shared" si="4"/>
        <v>35</v>
      </c>
      <c r="R17" s="4">
        <v>3.0</v>
      </c>
    </row>
    <row r="18">
      <c r="E18" s="38"/>
      <c r="J18" s="138">
        <v>80.0</v>
      </c>
      <c r="K18" s="139" t="s">
        <v>405</v>
      </c>
      <c r="L18" s="140">
        <f t="shared" si="4"/>
        <v>12</v>
      </c>
    </row>
    <row r="19">
      <c r="E19" s="38"/>
      <c r="J19" s="138">
        <v>92.0</v>
      </c>
      <c r="K19" s="139" t="s">
        <v>406</v>
      </c>
      <c r="L19" s="140">
        <f t="shared" si="4"/>
        <v>4</v>
      </c>
    </row>
    <row r="20">
      <c r="A20" s="1" t="s">
        <v>475</v>
      </c>
      <c r="B20" s="2" t="s">
        <v>476</v>
      </c>
      <c r="C20" s="1" t="s">
        <v>477</v>
      </c>
      <c r="D20" s="1" t="s">
        <v>478</v>
      </c>
      <c r="E20" s="1" t="s">
        <v>479</v>
      </c>
      <c r="F20" s="1" t="s">
        <v>124</v>
      </c>
      <c r="G20" s="2" t="s">
        <v>480</v>
      </c>
      <c r="J20" s="138">
        <v>96.0</v>
      </c>
      <c r="K20" s="139" t="s">
        <v>407</v>
      </c>
      <c r="L20" s="140">
        <f t="shared" si="4"/>
        <v>4</v>
      </c>
    </row>
    <row r="21">
      <c r="A21" s="6" t="s">
        <v>481</v>
      </c>
      <c r="B21" s="8">
        <f t="shared" ref="B21:B22" si="5">E21</f>
        <v>60</v>
      </c>
      <c r="C21" s="6">
        <v>50.0</v>
      </c>
      <c r="D21" s="6">
        <f t="shared" ref="D21:D22" si="6">C21+10</f>
        <v>60</v>
      </c>
      <c r="E21" s="6">
        <v>60.0</v>
      </c>
      <c r="F21" s="6">
        <f t="shared" ref="F21:F22" si="7">E21+10</f>
        <v>70</v>
      </c>
      <c r="G21" s="6">
        <f t="shared" ref="G21:G24" si="8">B21/2</f>
        <v>30</v>
      </c>
      <c r="J21" s="142">
        <v>100.0</v>
      </c>
      <c r="K21" s="143"/>
    </row>
    <row r="22">
      <c r="A22" s="1" t="s">
        <v>482</v>
      </c>
      <c r="B22" s="8">
        <f t="shared" si="5"/>
        <v>50</v>
      </c>
      <c r="C22" s="1">
        <v>40.0</v>
      </c>
      <c r="D22" s="1">
        <f t="shared" si="6"/>
        <v>50</v>
      </c>
      <c r="E22" s="1">
        <v>50.0</v>
      </c>
      <c r="F22" s="1">
        <f t="shared" si="7"/>
        <v>60</v>
      </c>
      <c r="G22" s="1">
        <f t="shared" si="8"/>
        <v>25</v>
      </c>
      <c r="H22" s="154"/>
      <c r="I22" s="154"/>
      <c r="J22" s="154"/>
      <c r="K22" s="154"/>
      <c r="L22" s="154"/>
      <c r="M22" s="154"/>
      <c r="N22" s="154"/>
      <c r="O22" s="154"/>
      <c r="P22" s="154"/>
      <c r="Q22" s="154"/>
      <c r="R22" s="154"/>
      <c r="S22" s="154"/>
      <c r="T22" s="154"/>
      <c r="U22" s="154"/>
      <c r="V22" s="154"/>
      <c r="W22" s="154"/>
      <c r="X22" s="154"/>
      <c r="Y22" s="154"/>
      <c r="Z22" s="154"/>
      <c r="AA22" s="154"/>
      <c r="AB22" s="154"/>
      <c r="AC22" s="154"/>
      <c r="AD22" s="154"/>
      <c r="AE22" s="154"/>
    </row>
    <row r="23">
      <c r="A23" s="6" t="s">
        <v>483</v>
      </c>
      <c r="B23" s="6">
        <v>-20.0</v>
      </c>
      <c r="C23" s="6">
        <f t="shared" ref="C23:F23" si="9">-C22+10</f>
        <v>-30</v>
      </c>
      <c r="D23" s="6">
        <f t="shared" si="9"/>
        <v>-40</v>
      </c>
      <c r="E23" s="6">
        <f t="shared" si="9"/>
        <v>-40</v>
      </c>
      <c r="F23" s="6">
        <f t="shared" si="9"/>
        <v>-50</v>
      </c>
      <c r="G23" s="6">
        <f t="shared" si="8"/>
        <v>-10</v>
      </c>
    </row>
    <row r="24">
      <c r="A24" s="6" t="s">
        <v>484</v>
      </c>
      <c r="B24" s="8">
        <f>E24</f>
        <v>-50</v>
      </c>
      <c r="C24" s="6">
        <f t="shared" ref="C24:F24" si="10">-C21+10</f>
        <v>-40</v>
      </c>
      <c r="D24" s="6">
        <f t="shared" si="10"/>
        <v>-50</v>
      </c>
      <c r="E24" s="6">
        <f t="shared" si="10"/>
        <v>-50</v>
      </c>
      <c r="F24" s="6">
        <f t="shared" si="10"/>
        <v>-60</v>
      </c>
      <c r="G24" s="6">
        <f t="shared" si="8"/>
        <v>-25</v>
      </c>
    </row>
    <row r="25">
      <c r="A25" s="4"/>
      <c r="C25" s="8"/>
    </row>
    <row r="28">
      <c r="A28" s="4" t="str">
        <f>VLOOKUP(A30,J14:K21,2,true)</f>
        <v>B</v>
      </c>
      <c r="C28" s="8"/>
    </row>
    <row r="29">
      <c r="A29" s="144" t="s">
        <v>499</v>
      </c>
      <c r="B29" s="2" t="s">
        <v>409</v>
      </c>
      <c r="C29" s="2" t="s">
        <v>410</v>
      </c>
      <c r="D29" s="1" t="s">
        <v>411</v>
      </c>
      <c r="E29" s="1" t="s">
        <v>412</v>
      </c>
      <c r="F29" s="2" t="s">
        <v>413</v>
      </c>
      <c r="G29" s="2" t="s">
        <v>414</v>
      </c>
      <c r="H29" s="1" t="s">
        <v>415</v>
      </c>
      <c r="I29" s="1" t="s">
        <v>416</v>
      </c>
    </row>
    <row r="30">
      <c r="A30" s="145">
        <v>6.0</v>
      </c>
      <c r="B30" s="146">
        <f>if($A$28=$K$14,J15,if($A$28=$K$15,J16,if($A$28=$K$16,J17,if($A$28=$K$17,J18,if($A$28=$K$18,J19,if($A$28=$K$19,J20,100))))))</f>
        <v>10</v>
      </c>
      <c r="C30" s="147">
        <f>B30-A30</f>
        <v>4</v>
      </c>
      <c r="D30" s="8">
        <f t="shared" ref="D30:D32" si="11">C30*$B$21%</f>
        <v>2.4</v>
      </c>
      <c r="E30" s="8">
        <f t="shared" ref="E30:E32" si="12">C30*$B$22%</f>
        <v>2</v>
      </c>
      <c r="F30" s="148">
        <f>if($A$28=$K$14,0,if($A$28=$K$15,J15,if($A$28=$K$16,J16,if($A$28=$K$17,J17,if($A$28=$K$18,J18,if($A$28=$K$19,J19,J20))))))</f>
        <v>3</v>
      </c>
      <c r="G30" s="149">
        <f>A30-F30</f>
        <v>3</v>
      </c>
      <c r="H30" s="8">
        <f t="shared" ref="H30:H32" si="13">G30*$B$23%</f>
        <v>-0.6</v>
      </c>
      <c r="I30" s="8">
        <f t="shared" ref="I30:I32" si="14">G30*$B$24%</f>
        <v>-1.5</v>
      </c>
    </row>
    <row r="31">
      <c r="A31" s="8"/>
      <c r="B31" s="146">
        <f>if($A$28=$K$14,J16,if($A$28=$K$15,J17,if($A$28=$K$16,J18,if($A$28=$K$17,J19,if($A$28=$K$18,J20,if($A$28=$K$19,J21,if($A$28=$K$20,0,100)))))))</f>
        <v>45</v>
      </c>
      <c r="C31" s="150">
        <f t="shared" ref="C31:C32" si="15">if(B31-B30&lt;0,0,B31-B30)</f>
        <v>35</v>
      </c>
      <c r="D31" s="8">
        <f t="shared" si="11"/>
        <v>21</v>
      </c>
      <c r="E31" s="8">
        <f t="shared" si="12"/>
        <v>17.5</v>
      </c>
      <c r="F31" s="6">
        <f>if($A$28=$K$14,0,if($A$28=$K$15,0,if($A$28=$K$16,J15,if($A$28=$K$17,J16,if($A$28=$K$18,J17,if($A$28=$K$19,J18,J19))))))</f>
        <v>0</v>
      </c>
      <c r="G31" s="149">
        <f t="shared" ref="G31:G32" si="16">if(F30-F31&lt;0,0,F30-F31)</f>
        <v>3</v>
      </c>
      <c r="H31" s="8">
        <f t="shared" si="13"/>
        <v>-0.6</v>
      </c>
      <c r="I31" s="8">
        <f t="shared" si="14"/>
        <v>-1.5</v>
      </c>
    </row>
    <row r="32">
      <c r="A32" s="8"/>
      <c r="B32" s="146">
        <f>if($A$28=$K$14,J17,if($A$28=$K$15,J18,if($A$28=$K$16,J19,if($A$28=$K$17,J20,if($A$28=$K$18,J21,if($A$28=$K$19,0,if($A$28=$K$20,0,100)))))))</f>
        <v>80</v>
      </c>
      <c r="C32" s="150">
        <f t="shared" si="15"/>
        <v>35</v>
      </c>
      <c r="D32" s="8">
        <f t="shared" si="11"/>
        <v>21</v>
      </c>
      <c r="E32" s="8">
        <f t="shared" si="12"/>
        <v>17.5</v>
      </c>
      <c r="F32" s="6">
        <f>if($A$28=$K$14,0,if($A$28=$K$15,0,if($A$28=$K$16,0,if($A$28=$K$17,J15,if($A$28=$K$18,J16,if($A$28=$K$19,J17,J18))))))</f>
        <v>0</v>
      </c>
      <c r="G32" s="8">
        <f t="shared" si="16"/>
        <v>0</v>
      </c>
      <c r="H32" s="8">
        <f t="shared" si="13"/>
        <v>0</v>
      </c>
      <c r="I32" s="8">
        <f t="shared" si="14"/>
        <v>0</v>
      </c>
    </row>
    <row r="33">
      <c r="A33" s="8"/>
      <c r="B33" s="8"/>
      <c r="C33" s="8"/>
      <c r="D33" s="8">
        <f t="shared" ref="D33:E33" si="17">sum(D30:D32)</f>
        <v>44.4</v>
      </c>
      <c r="E33" s="8">
        <f t="shared" si="17"/>
        <v>37</v>
      </c>
      <c r="F33" s="8"/>
      <c r="G33" s="8"/>
      <c r="H33" s="8">
        <f t="shared" ref="H33:I33" si="18">sum(H30:H32)</f>
        <v>-1.2</v>
      </c>
      <c r="I33" s="8">
        <f t="shared" si="18"/>
        <v>-3</v>
      </c>
    </row>
    <row r="34">
      <c r="A34" s="8"/>
      <c r="B34" s="8"/>
      <c r="C34" s="151" t="s">
        <v>417</v>
      </c>
      <c r="D34" s="152">
        <f t="shared" ref="D34:E34" si="19">D33+$A$30</f>
        <v>50.4</v>
      </c>
      <c r="E34" s="187">
        <f t="shared" si="19"/>
        <v>43</v>
      </c>
      <c r="F34" s="8"/>
      <c r="G34" s="8"/>
      <c r="H34" s="152">
        <f t="shared" ref="H34:I34" si="20">H33+$A$30</f>
        <v>4.8</v>
      </c>
      <c r="I34" s="152">
        <f t="shared" si="20"/>
        <v>3</v>
      </c>
    </row>
    <row r="35">
      <c r="A35" s="8"/>
      <c r="B35" s="8"/>
      <c r="C35" s="151" t="s">
        <v>418</v>
      </c>
      <c r="D35" s="152" t="str">
        <f t="shared" ref="D35:E35" si="21">VLOOKUP(D34,$J$14:$K$21,2,true)</f>
        <v>BBB</v>
      </c>
      <c r="E35" s="152" t="str">
        <f t="shared" si="21"/>
        <v>BB</v>
      </c>
      <c r="F35" s="8"/>
      <c r="G35" s="8"/>
      <c r="H35" s="152" t="str">
        <f t="shared" ref="H35:I35" si="22">VLOOKUP(H34,$J$14:$K$21,2,true)</f>
        <v>B</v>
      </c>
      <c r="I35" s="152" t="str">
        <f t="shared" si="22"/>
        <v>B</v>
      </c>
    </row>
    <row r="36">
      <c r="A36" s="8"/>
      <c r="B36" s="8"/>
      <c r="C36" s="6" t="s">
        <v>419</v>
      </c>
      <c r="D36" s="8">
        <f t="shared" ref="D36:E36" si="23">D34-$A$30</f>
        <v>44.4</v>
      </c>
      <c r="E36" s="188">
        <f t="shared" si="23"/>
        <v>37</v>
      </c>
      <c r="F36" s="8"/>
      <c r="G36" s="8"/>
      <c r="H36" s="8">
        <f t="shared" ref="H36:I36" si="24">H34-$A$30</f>
        <v>-1.2</v>
      </c>
      <c r="I36" s="8">
        <f t="shared" si="24"/>
        <v>-3</v>
      </c>
    </row>
    <row r="37">
      <c r="A37" s="8"/>
      <c r="B37" s="8"/>
      <c r="C37" s="6" t="s">
        <v>420</v>
      </c>
      <c r="D37" s="153">
        <f t="shared" ref="D37:E37" si="25">D36/$A$30</f>
        <v>7.4</v>
      </c>
      <c r="E37" s="153">
        <f t="shared" si="25"/>
        <v>6.166666667</v>
      </c>
      <c r="F37" s="8"/>
      <c r="G37" s="8"/>
      <c r="H37" s="153">
        <f t="shared" ref="H37:I37" si="26">H36/$A$30</f>
        <v>-0.2</v>
      </c>
      <c r="I37" s="153">
        <f t="shared" si="26"/>
        <v>-0.5</v>
      </c>
    </row>
    <row r="38">
      <c r="E38" s="38"/>
    </row>
    <row r="39">
      <c r="A39" s="4" t="s">
        <v>534</v>
      </c>
      <c r="E39" s="38"/>
    </row>
    <row r="40">
      <c r="A40" s="4">
        <v>0.3285714286</v>
      </c>
      <c r="D40" s="76">
        <f>$A40*(1+$B$21%)</f>
        <v>0.5257142858</v>
      </c>
      <c r="E40" s="76">
        <f t="shared" ref="E40:E43" si="27">$A40*(1+$B$22%)</f>
        <v>0.4928571429</v>
      </c>
      <c r="H40" s="76">
        <f t="shared" ref="H40:H43" si="28">$A40*(1+abs($B$23%))</f>
        <v>0.3942857143</v>
      </c>
      <c r="I40" s="76">
        <f t="shared" ref="I40:I43" si="29">$A40*(1+abs($B$24%))</f>
        <v>0.4928571429</v>
      </c>
    </row>
    <row r="41">
      <c r="A41" s="4">
        <v>0.3285714286</v>
      </c>
      <c r="D41" s="76">
        <f t="shared" ref="D41:D43" si="30">A41*(1+$B$21%)</f>
        <v>0.5257142858</v>
      </c>
      <c r="E41" s="76">
        <f t="shared" si="27"/>
        <v>0.4928571429</v>
      </c>
      <c r="H41" s="76">
        <f t="shared" si="28"/>
        <v>0.3942857143</v>
      </c>
      <c r="I41" s="76">
        <f t="shared" si="29"/>
        <v>0.4928571429</v>
      </c>
    </row>
    <row r="42">
      <c r="A42" s="4">
        <v>0.1857142857</v>
      </c>
      <c r="D42" s="76">
        <f t="shared" si="30"/>
        <v>0.2971428571</v>
      </c>
      <c r="E42" s="76">
        <f t="shared" si="27"/>
        <v>0.2785714286</v>
      </c>
      <c r="H42" s="76">
        <f t="shared" si="28"/>
        <v>0.2228571428</v>
      </c>
      <c r="I42" s="76">
        <f t="shared" si="29"/>
        <v>0.2785714286</v>
      </c>
    </row>
    <row r="43">
      <c r="A43" s="4">
        <v>0.1571428571</v>
      </c>
      <c r="D43" s="76">
        <f t="shared" si="30"/>
        <v>0.2514285714</v>
      </c>
      <c r="E43" s="76">
        <f t="shared" si="27"/>
        <v>0.2357142857</v>
      </c>
      <c r="H43" s="76">
        <f t="shared" si="28"/>
        <v>0.1885714285</v>
      </c>
      <c r="I43" s="76">
        <f t="shared" si="29"/>
        <v>0.2357142857</v>
      </c>
    </row>
    <row r="44">
      <c r="E44" s="38"/>
    </row>
    <row r="45">
      <c r="E45" s="38"/>
    </row>
    <row r="46">
      <c r="E46" s="38"/>
    </row>
    <row r="47">
      <c r="E47" s="38"/>
    </row>
    <row r="48">
      <c r="E48" s="38"/>
    </row>
    <row r="49">
      <c r="E49" s="38"/>
    </row>
    <row r="50">
      <c r="E50" s="38"/>
    </row>
    <row r="51">
      <c r="E51" s="38"/>
    </row>
    <row r="52">
      <c r="E52" s="38"/>
    </row>
    <row r="53">
      <c r="E53" s="38"/>
    </row>
    <row r="54">
      <c r="E54" s="38"/>
    </row>
    <row r="55">
      <c r="E55" s="38"/>
    </row>
    <row r="56">
      <c r="E56" s="38"/>
    </row>
    <row r="57">
      <c r="E57" s="38"/>
    </row>
    <row r="58">
      <c r="E58" s="38"/>
    </row>
    <row r="59">
      <c r="E59" s="38"/>
    </row>
    <row r="60">
      <c r="E60" s="38"/>
    </row>
    <row r="61">
      <c r="E61" s="38"/>
    </row>
    <row r="62">
      <c r="E62" s="38"/>
    </row>
    <row r="63">
      <c r="E63" s="38"/>
    </row>
    <row r="64">
      <c r="E64" s="38"/>
    </row>
    <row r="65">
      <c r="E65" s="38"/>
    </row>
    <row r="66">
      <c r="E66" s="38"/>
    </row>
    <row r="67">
      <c r="E67" s="38"/>
    </row>
    <row r="68">
      <c r="E68" s="38"/>
    </row>
    <row r="69">
      <c r="E69" s="38"/>
    </row>
    <row r="70">
      <c r="E70" s="38"/>
    </row>
    <row r="71">
      <c r="E71" s="38"/>
    </row>
    <row r="72">
      <c r="E72" s="38"/>
    </row>
    <row r="73">
      <c r="E73" s="38"/>
    </row>
    <row r="74">
      <c r="E74" s="38"/>
    </row>
    <row r="75">
      <c r="E75" s="38"/>
    </row>
    <row r="76">
      <c r="E76" s="38"/>
    </row>
    <row r="77">
      <c r="E77" s="38"/>
    </row>
    <row r="78">
      <c r="E78" s="38"/>
    </row>
    <row r="79">
      <c r="E79" s="38"/>
    </row>
    <row r="80">
      <c r="E80" s="38"/>
    </row>
    <row r="81">
      <c r="E81" s="38"/>
    </row>
    <row r="82">
      <c r="E82" s="38"/>
    </row>
    <row r="83">
      <c r="E83" s="38"/>
    </row>
    <row r="84">
      <c r="E84" s="38"/>
    </row>
    <row r="85">
      <c r="E85" s="38"/>
    </row>
    <row r="86">
      <c r="E86" s="38"/>
    </row>
    <row r="87">
      <c r="E87" s="38"/>
    </row>
    <row r="88">
      <c r="E88" s="38"/>
    </row>
    <row r="89">
      <c r="E89" s="38"/>
    </row>
    <row r="90">
      <c r="E90" s="38"/>
    </row>
    <row r="91">
      <c r="E91" s="38"/>
    </row>
    <row r="92">
      <c r="E92" s="38"/>
    </row>
    <row r="93">
      <c r="E93" s="38"/>
    </row>
    <row r="94">
      <c r="E94" s="38"/>
    </row>
    <row r="95">
      <c r="E95" s="38"/>
    </row>
    <row r="96">
      <c r="E96" s="38"/>
    </row>
    <row r="97">
      <c r="E97" s="38"/>
    </row>
    <row r="98">
      <c r="E98" s="38"/>
    </row>
    <row r="99">
      <c r="E99" s="38"/>
    </row>
    <row r="100">
      <c r="E100" s="38"/>
    </row>
    <row r="101">
      <c r="E101" s="38"/>
    </row>
    <row r="102">
      <c r="E102" s="38"/>
    </row>
    <row r="103">
      <c r="E103" s="38"/>
    </row>
    <row r="104">
      <c r="E104" s="38"/>
    </row>
    <row r="105">
      <c r="E105" s="38"/>
    </row>
    <row r="106">
      <c r="E106" s="38"/>
    </row>
    <row r="107">
      <c r="E107" s="38"/>
    </row>
    <row r="108">
      <c r="E108" s="38"/>
    </row>
    <row r="109">
      <c r="E109" s="38"/>
    </row>
    <row r="110">
      <c r="E110" s="38"/>
    </row>
    <row r="111">
      <c r="E111" s="38"/>
    </row>
    <row r="112">
      <c r="E112" s="38"/>
    </row>
    <row r="113">
      <c r="E113" s="38"/>
    </row>
    <row r="114">
      <c r="E114" s="38"/>
    </row>
    <row r="115">
      <c r="E115" s="38"/>
    </row>
    <row r="116">
      <c r="E116" s="38"/>
    </row>
    <row r="117">
      <c r="E117" s="38"/>
    </row>
    <row r="118">
      <c r="E118" s="38"/>
    </row>
    <row r="119">
      <c r="E119" s="38"/>
    </row>
    <row r="120">
      <c r="E120" s="38"/>
    </row>
    <row r="121">
      <c r="E121" s="38"/>
    </row>
    <row r="122">
      <c r="E122" s="38"/>
    </row>
    <row r="123">
      <c r="E123" s="38"/>
    </row>
    <row r="124">
      <c r="E124" s="38"/>
    </row>
    <row r="125">
      <c r="E125" s="38"/>
    </row>
    <row r="126">
      <c r="E126" s="38"/>
    </row>
    <row r="127">
      <c r="E127" s="38"/>
    </row>
    <row r="128">
      <c r="E128" s="38"/>
    </row>
    <row r="129">
      <c r="E129" s="38"/>
    </row>
    <row r="130">
      <c r="E130" s="38"/>
    </row>
    <row r="131">
      <c r="E131" s="38"/>
    </row>
    <row r="132">
      <c r="E132" s="38"/>
    </row>
    <row r="133">
      <c r="E133" s="38"/>
    </row>
    <row r="134">
      <c r="E134" s="38"/>
    </row>
    <row r="135">
      <c r="E135" s="38"/>
    </row>
    <row r="136">
      <c r="E136" s="38"/>
    </row>
    <row r="137">
      <c r="E137" s="38"/>
    </row>
    <row r="138">
      <c r="E138" s="38"/>
    </row>
    <row r="139">
      <c r="E139" s="38"/>
    </row>
    <row r="140">
      <c r="E140" s="38"/>
    </row>
    <row r="141">
      <c r="E141" s="38"/>
    </row>
    <row r="142">
      <c r="E142" s="38"/>
    </row>
    <row r="143">
      <c r="E143" s="38"/>
    </row>
    <row r="144">
      <c r="E144" s="38"/>
    </row>
    <row r="145">
      <c r="E145" s="38"/>
    </row>
    <row r="146">
      <c r="E146" s="38"/>
    </row>
    <row r="147">
      <c r="E147" s="38"/>
    </row>
    <row r="148">
      <c r="E148" s="38"/>
    </row>
    <row r="149">
      <c r="E149" s="38"/>
    </row>
    <row r="150">
      <c r="E150" s="38"/>
    </row>
    <row r="151">
      <c r="E151" s="38"/>
    </row>
    <row r="152">
      <c r="E152" s="38"/>
    </row>
    <row r="153">
      <c r="E153" s="38"/>
    </row>
    <row r="154">
      <c r="E154" s="38"/>
    </row>
    <row r="155">
      <c r="E155" s="38"/>
    </row>
    <row r="156">
      <c r="E156" s="38"/>
    </row>
    <row r="157">
      <c r="E157" s="38"/>
    </row>
    <row r="158">
      <c r="E158" s="38"/>
    </row>
    <row r="159">
      <c r="E159" s="38"/>
    </row>
    <row r="160">
      <c r="E160" s="38"/>
    </row>
    <row r="161">
      <c r="E161" s="38"/>
    </row>
    <row r="162">
      <c r="E162" s="38"/>
    </row>
    <row r="163">
      <c r="E163" s="38"/>
    </row>
    <row r="164">
      <c r="E164" s="38"/>
    </row>
    <row r="165">
      <c r="E165" s="38"/>
    </row>
    <row r="166">
      <c r="E166" s="38"/>
    </row>
    <row r="167">
      <c r="E167" s="38"/>
    </row>
    <row r="168">
      <c r="E168" s="38"/>
    </row>
    <row r="169">
      <c r="E169" s="38"/>
    </row>
    <row r="170">
      <c r="E170" s="38"/>
    </row>
    <row r="171">
      <c r="E171" s="38"/>
    </row>
    <row r="172">
      <c r="E172" s="38"/>
    </row>
    <row r="173">
      <c r="E173" s="38"/>
    </row>
    <row r="174">
      <c r="E174" s="38"/>
    </row>
    <row r="175">
      <c r="E175" s="38"/>
    </row>
    <row r="176">
      <c r="E176" s="38"/>
    </row>
    <row r="177">
      <c r="E177" s="38"/>
    </row>
    <row r="178">
      <c r="E178" s="38"/>
    </row>
    <row r="179">
      <c r="E179" s="38"/>
    </row>
    <row r="180">
      <c r="E180" s="38"/>
    </row>
    <row r="181">
      <c r="E181" s="38"/>
    </row>
    <row r="182">
      <c r="E182" s="38"/>
    </row>
    <row r="183">
      <c r="E183" s="38"/>
    </row>
    <row r="184">
      <c r="E184" s="38"/>
    </row>
    <row r="185">
      <c r="E185" s="38"/>
    </row>
    <row r="186">
      <c r="E186" s="38"/>
    </row>
    <row r="187">
      <c r="E187" s="38"/>
    </row>
    <row r="188">
      <c r="E188" s="38"/>
    </row>
    <row r="189">
      <c r="E189" s="38"/>
    </row>
    <row r="190">
      <c r="E190" s="38"/>
    </row>
    <row r="191">
      <c r="E191" s="38"/>
    </row>
    <row r="192">
      <c r="E192" s="38"/>
    </row>
    <row r="193">
      <c r="E193" s="38"/>
    </row>
    <row r="194">
      <c r="E194" s="38"/>
    </row>
    <row r="195">
      <c r="E195" s="38"/>
    </row>
    <row r="196">
      <c r="E196" s="38"/>
    </row>
    <row r="197">
      <c r="E197" s="38"/>
    </row>
    <row r="198">
      <c r="E198" s="38"/>
    </row>
    <row r="199">
      <c r="E199" s="38"/>
    </row>
    <row r="200">
      <c r="E200" s="38"/>
    </row>
    <row r="201">
      <c r="E201" s="38"/>
    </row>
    <row r="202">
      <c r="E202" s="38"/>
    </row>
    <row r="203">
      <c r="E203" s="38"/>
    </row>
    <row r="204">
      <c r="E204" s="38"/>
    </row>
    <row r="205">
      <c r="E205" s="38"/>
    </row>
    <row r="206">
      <c r="E206" s="38"/>
    </row>
    <row r="207">
      <c r="E207" s="38"/>
    </row>
    <row r="208">
      <c r="E208" s="38"/>
    </row>
    <row r="209">
      <c r="E209" s="38"/>
    </row>
    <row r="210">
      <c r="E210" s="38"/>
    </row>
    <row r="211">
      <c r="E211" s="38"/>
    </row>
    <row r="212">
      <c r="E212" s="38"/>
    </row>
    <row r="213">
      <c r="E213" s="38"/>
    </row>
    <row r="214">
      <c r="E214" s="38"/>
    </row>
    <row r="215">
      <c r="E215" s="38"/>
    </row>
    <row r="216">
      <c r="E216" s="38"/>
    </row>
    <row r="217">
      <c r="E217" s="38"/>
    </row>
    <row r="218">
      <c r="E218" s="38"/>
    </row>
    <row r="219">
      <c r="E219" s="38"/>
    </row>
    <row r="220">
      <c r="E220" s="38"/>
    </row>
    <row r="221">
      <c r="E221" s="38"/>
    </row>
    <row r="222">
      <c r="E222" s="38"/>
    </row>
    <row r="223">
      <c r="E223" s="38"/>
    </row>
    <row r="224">
      <c r="E224" s="38"/>
    </row>
    <row r="225">
      <c r="E225" s="38"/>
    </row>
    <row r="226">
      <c r="E226" s="38"/>
    </row>
    <row r="227">
      <c r="E227" s="38"/>
    </row>
    <row r="228">
      <c r="E228" s="38"/>
    </row>
    <row r="229">
      <c r="E229" s="38"/>
    </row>
    <row r="230">
      <c r="E230" s="38"/>
    </row>
    <row r="231">
      <c r="E231" s="38"/>
    </row>
    <row r="232">
      <c r="E232" s="38"/>
    </row>
    <row r="233">
      <c r="E233" s="38"/>
    </row>
    <row r="234">
      <c r="E234" s="38"/>
    </row>
    <row r="235">
      <c r="E235" s="38"/>
    </row>
    <row r="236">
      <c r="E236" s="38"/>
    </row>
    <row r="237">
      <c r="E237" s="38"/>
    </row>
    <row r="238">
      <c r="E238" s="38"/>
    </row>
    <row r="239">
      <c r="E239" s="38"/>
    </row>
    <row r="240">
      <c r="E240" s="38"/>
    </row>
    <row r="241">
      <c r="E241" s="38"/>
    </row>
    <row r="242">
      <c r="E242" s="38"/>
    </row>
    <row r="243">
      <c r="E243" s="38"/>
    </row>
    <row r="244">
      <c r="E244" s="38"/>
    </row>
    <row r="245">
      <c r="E245" s="38"/>
    </row>
    <row r="246">
      <c r="E246" s="38"/>
    </row>
    <row r="247">
      <c r="E247" s="38"/>
    </row>
    <row r="248">
      <c r="E248" s="38"/>
    </row>
    <row r="249">
      <c r="E249" s="38"/>
    </row>
    <row r="250">
      <c r="E250" s="38"/>
    </row>
    <row r="251">
      <c r="E251" s="38"/>
    </row>
    <row r="252">
      <c r="E252" s="38"/>
    </row>
    <row r="253">
      <c r="E253" s="38"/>
    </row>
    <row r="254">
      <c r="E254" s="38"/>
    </row>
    <row r="255">
      <c r="E255" s="38"/>
    </row>
    <row r="256">
      <c r="E256" s="38"/>
    </row>
    <row r="257">
      <c r="E257" s="38"/>
    </row>
    <row r="258">
      <c r="E258" s="38"/>
    </row>
    <row r="259">
      <c r="E259" s="38"/>
    </row>
    <row r="260">
      <c r="E260" s="38"/>
    </row>
    <row r="261">
      <c r="E261" s="38"/>
    </row>
    <row r="262">
      <c r="E262" s="38"/>
    </row>
    <row r="263">
      <c r="E263" s="38"/>
    </row>
    <row r="264">
      <c r="E264" s="38"/>
    </row>
    <row r="265">
      <c r="E265" s="38"/>
    </row>
    <row r="266">
      <c r="E266" s="38"/>
    </row>
    <row r="267">
      <c r="E267" s="38"/>
    </row>
    <row r="268">
      <c r="E268" s="38"/>
    </row>
    <row r="269">
      <c r="E269" s="38"/>
    </row>
    <row r="270">
      <c r="E270" s="38"/>
    </row>
    <row r="271">
      <c r="E271" s="38"/>
    </row>
    <row r="272">
      <c r="E272" s="38"/>
    </row>
    <row r="273">
      <c r="E273" s="38"/>
    </row>
    <row r="274">
      <c r="E274" s="38"/>
    </row>
    <row r="275">
      <c r="E275" s="38"/>
    </row>
    <row r="276">
      <c r="E276" s="38"/>
    </row>
    <row r="277">
      <c r="E277" s="38"/>
    </row>
    <row r="278">
      <c r="E278" s="38"/>
    </row>
    <row r="279">
      <c r="E279" s="38"/>
    </row>
    <row r="280">
      <c r="E280" s="38"/>
    </row>
    <row r="281">
      <c r="E281" s="38"/>
    </row>
    <row r="282">
      <c r="E282" s="38"/>
    </row>
    <row r="283">
      <c r="E283" s="38"/>
    </row>
    <row r="284">
      <c r="E284" s="38"/>
    </row>
    <row r="285">
      <c r="E285" s="38"/>
    </row>
    <row r="286">
      <c r="E286" s="38"/>
    </row>
    <row r="287">
      <c r="E287" s="38"/>
    </row>
    <row r="288">
      <c r="E288" s="38"/>
    </row>
    <row r="289">
      <c r="E289" s="38"/>
    </row>
    <row r="290">
      <c r="E290" s="38"/>
    </row>
    <row r="291">
      <c r="E291" s="38"/>
    </row>
    <row r="292">
      <c r="E292" s="38"/>
    </row>
    <row r="293">
      <c r="E293" s="38"/>
    </row>
    <row r="294">
      <c r="E294" s="38"/>
    </row>
    <row r="295">
      <c r="E295" s="38"/>
    </row>
    <row r="296">
      <c r="E296" s="38"/>
    </row>
    <row r="297">
      <c r="E297" s="38"/>
    </row>
    <row r="298">
      <c r="E298" s="38"/>
    </row>
    <row r="299">
      <c r="E299" s="38"/>
    </row>
    <row r="300">
      <c r="E300" s="38"/>
    </row>
    <row r="301">
      <c r="E301" s="38"/>
    </row>
    <row r="302">
      <c r="E302" s="38"/>
    </row>
    <row r="303">
      <c r="E303" s="38"/>
    </row>
    <row r="304">
      <c r="E304" s="38"/>
    </row>
    <row r="305">
      <c r="E305" s="38"/>
    </row>
    <row r="306">
      <c r="E306" s="38"/>
    </row>
    <row r="307">
      <c r="E307" s="38"/>
    </row>
    <row r="308">
      <c r="E308" s="38"/>
    </row>
    <row r="309">
      <c r="E309" s="38"/>
    </row>
    <row r="310">
      <c r="E310" s="38"/>
    </row>
    <row r="311">
      <c r="E311" s="38"/>
    </row>
    <row r="312">
      <c r="E312" s="38"/>
    </row>
    <row r="313">
      <c r="E313" s="38"/>
    </row>
    <row r="314">
      <c r="E314" s="38"/>
    </row>
    <row r="315">
      <c r="E315" s="38"/>
    </row>
    <row r="316">
      <c r="E316" s="38"/>
    </row>
    <row r="317">
      <c r="E317" s="38"/>
    </row>
    <row r="318">
      <c r="E318" s="38"/>
    </row>
    <row r="319">
      <c r="E319" s="38"/>
    </row>
    <row r="320">
      <c r="E320" s="38"/>
    </row>
    <row r="321">
      <c r="E321" s="38"/>
    </row>
    <row r="322">
      <c r="E322" s="38"/>
    </row>
    <row r="323">
      <c r="E323" s="38"/>
    </row>
    <row r="324">
      <c r="E324" s="38"/>
    </row>
    <row r="325">
      <c r="E325" s="38"/>
    </row>
    <row r="326">
      <c r="E326" s="38"/>
    </row>
    <row r="327">
      <c r="E327" s="38"/>
    </row>
    <row r="328">
      <c r="E328" s="38"/>
    </row>
    <row r="329">
      <c r="E329" s="38"/>
    </row>
    <row r="330">
      <c r="E330" s="38"/>
    </row>
    <row r="331">
      <c r="E331" s="38"/>
    </row>
    <row r="332">
      <c r="E332" s="38"/>
    </row>
    <row r="333">
      <c r="E333" s="38"/>
    </row>
    <row r="334">
      <c r="E334" s="38"/>
    </row>
    <row r="335">
      <c r="E335" s="38"/>
    </row>
    <row r="336">
      <c r="E336" s="38"/>
    </row>
    <row r="337">
      <c r="E337" s="38"/>
    </row>
    <row r="338">
      <c r="E338" s="38"/>
    </row>
    <row r="339">
      <c r="E339" s="38"/>
    </row>
    <row r="340">
      <c r="E340" s="38"/>
    </row>
    <row r="341">
      <c r="E341" s="38"/>
    </row>
    <row r="342">
      <c r="E342" s="38"/>
    </row>
    <row r="343">
      <c r="E343" s="38"/>
    </row>
    <row r="344">
      <c r="E344" s="38"/>
    </row>
    <row r="345">
      <c r="E345" s="38"/>
    </row>
    <row r="346">
      <c r="E346" s="38"/>
    </row>
    <row r="347">
      <c r="E347" s="38"/>
    </row>
    <row r="348">
      <c r="E348" s="38"/>
    </row>
    <row r="349">
      <c r="E349" s="38"/>
    </row>
    <row r="350">
      <c r="E350" s="38"/>
    </row>
    <row r="351">
      <c r="E351" s="38"/>
    </row>
    <row r="352">
      <c r="E352" s="38"/>
    </row>
    <row r="353">
      <c r="E353" s="38"/>
    </row>
    <row r="354">
      <c r="E354" s="38"/>
    </row>
    <row r="355">
      <c r="E355" s="38"/>
    </row>
    <row r="356">
      <c r="E356" s="38"/>
    </row>
    <row r="357">
      <c r="E357" s="38"/>
    </row>
    <row r="358">
      <c r="E358" s="38"/>
    </row>
    <row r="359">
      <c r="E359" s="38"/>
    </row>
    <row r="360">
      <c r="E360" s="38"/>
    </row>
    <row r="361">
      <c r="E361" s="38"/>
    </row>
    <row r="362">
      <c r="E362" s="38"/>
    </row>
    <row r="363">
      <c r="E363" s="38"/>
    </row>
    <row r="364">
      <c r="E364" s="38"/>
    </row>
    <row r="365">
      <c r="E365" s="38"/>
    </row>
    <row r="366">
      <c r="E366" s="38"/>
    </row>
    <row r="367">
      <c r="E367" s="38"/>
    </row>
    <row r="368">
      <c r="E368" s="38"/>
    </row>
    <row r="369">
      <c r="E369" s="38"/>
    </row>
    <row r="370">
      <c r="E370" s="38"/>
    </row>
    <row r="371">
      <c r="E371" s="38"/>
    </row>
    <row r="372">
      <c r="E372" s="38"/>
    </row>
    <row r="373">
      <c r="E373" s="38"/>
    </row>
    <row r="374">
      <c r="E374" s="38"/>
    </row>
    <row r="375">
      <c r="E375" s="38"/>
    </row>
    <row r="376">
      <c r="E376" s="38"/>
    </row>
    <row r="377">
      <c r="E377" s="38"/>
    </row>
    <row r="378">
      <c r="E378" s="38"/>
    </row>
    <row r="379">
      <c r="E379" s="38"/>
    </row>
    <row r="380">
      <c r="E380" s="38"/>
    </row>
    <row r="381">
      <c r="E381" s="38"/>
    </row>
    <row r="382">
      <c r="E382" s="38"/>
    </row>
    <row r="383">
      <c r="E383" s="38"/>
    </row>
    <row r="384">
      <c r="E384" s="38"/>
    </row>
    <row r="385">
      <c r="E385" s="38"/>
    </row>
    <row r="386">
      <c r="E386" s="38"/>
    </row>
    <row r="387">
      <c r="E387" s="38"/>
    </row>
    <row r="388">
      <c r="E388" s="38"/>
    </row>
    <row r="389">
      <c r="E389" s="38"/>
    </row>
    <row r="390">
      <c r="E390" s="38"/>
    </row>
    <row r="391">
      <c r="E391" s="38"/>
    </row>
    <row r="392">
      <c r="E392" s="38"/>
    </row>
    <row r="393">
      <c r="E393" s="38"/>
    </row>
    <row r="394">
      <c r="E394" s="38"/>
    </row>
    <row r="395">
      <c r="E395" s="38"/>
    </row>
    <row r="396">
      <c r="E396" s="38"/>
    </row>
    <row r="397">
      <c r="E397" s="38"/>
    </row>
    <row r="398">
      <c r="E398" s="38"/>
    </row>
    <row r="399">
      <c r="E399" s="38"/>
    </row>
    <row r="400">
      <c r="E400" s="38"/>
    </row>
    <row r="401">
      <c r="E401" s="38"/>
    </row>
    <row r="402">
      <c r="E402" s="38"/>
    </row>
    <row r="403">
      <c r="E403" s="38"/>
    </row>
    <row r="404">
      <c r="E404" s="38"/>
    </row>
    <row r="405">
      <c r="E405" s="38"/>
    </row>
    <row r="406">
      <c r="E406" s="38"/>
    </row>
    <row r="407">
      <c r="E407" s="38"/>
    </row>
    <row r="408">
      <c r="E408" s="38"/>
    </row>
    <row r="409">
      <c r="E409" s="38"/>
    </row>
    <row r="410">
      <c r="E410" s="38"/>
    </row>
    <row r="411">
      <c r="E411" s="38"/>
    </row>
    <row r="412">
      <c r="E412" s="38"/>
    </row>
    <row r="413">
      <c r="E413" s="38"/>
    </row>
    <row r="414">
      <c r="E414" s="38"/>
    </row>
    <row r="415">
      <c r="E415" s="38"/>
    </row>
    <row r="416">
      <c r="E416" s="38"/>
    </row>
    <row r="417">
      <c r="E417" s="38"/>
    </row>
    <row r="418">
      <c r="E418" s="38"/>
    </row>
    <row r="419">
      <c r="E419" s="38"/>
    </row>
    <row r="420">
      <c r="E420" s="38"/>
    </row>
    <row r="421">
      <c r="E421" s="38"/>
    </row>
    <row r="422">
      <c r="E422" s="38"/>
    </row>
    <row r="423">
      <c r="E423" s="38"/>
    </row>
    <row r="424">
      <c r="E424" s="38"/>
    </row>
    <row r="425">
      <c r="E425" s="38"/>
    </row>
    <row r="426">
      <c r="E426" s="38"/>
    </row>
    <row r="427">
      <c r="E427" s="38"/>
    </row>
    <row r="428">
      <c r="E428" s="38"/>
    </row>
    <row r="429">
      <c r="E429" s="38"/>
    </row>
    <row r="430">
      <c r="E430" s="38"/>
    </row>
    <row r="431">
      <c r="E431" s="38"/>
    </row>
    <row r="432">
      <c r="E432" s="38"/>
    </row>
    <row r="433">
      <c r="E433" s="38"/>
    </row>
    <row r="434">
      <c r="E434" s="38"/>
    </row>
    <row r="435">
      <c r="E435" s="38"/>
    </row>
    <row r="436">
      <c r="E436" s="38"/>
    </row>
    <row r="437">
      <c r="E437" s="38"/>
    </row>
    <row r="438">
      <c r="E438" s="38"/>
    </row>
    <row r="439">
      <c r="E439" s="38"/>
    </row>
    <row r="440">
      <c r="E440" s="38"/>
    </row>
    <row r="441">
      <c r="E441" s="38"/>
    </row>
    <row r="442">
      <c r="E442" s="38"/>
    </row>
    <row r="443">
      <c r="E443" s="38"/>
    </row>
    <row r="444">
      <c r="E444" s="38"/>
    </row>
    <row r="445">
      <c r="E445" s="38"/>
    </row>
    <row r="446">
      <c r="E446" s="38"/>
    </row>
    <row r="447">
      <c r="E447" s="38"/>
    </row>
    <row r="448">
      <c r="E448" s="38"/>
    </row>
    <row r="449">
      <c r="E449" s="38"/>
    </row>
    <row r="450">
      <c r="E450" s="38"/>
    </row>
    <row r="451">
      <c r="E451" s="38"/>
    </row>
    <row r="452">
      <c r="E452" s="38"/>
    </row>
    <row r="453">
      <c r="E453" s="38"/>
    </row>
    <row r="454">
      <c r="E454" s="38"/>
    </row>
    <row r="455">
      <c r="E455" s="38"/>
    </row>
    <row r="456">
      <c r="E456" s="38"/>
    </row>
    <row r="457">
      <c r="E457" s="38"/>
    </row>
    <row r="458">
      <c r="E458" s="38"/>
    </row>
    <row r="459">
      <c r="E459" s="38"/>
    </row>
    <row r="460">
      <c r="E460" s="38"/>
    </row>
    <row r="461">
      <c r="E461" s="38"/>
    </row>
    <row r="462">
      <c r="E462" s="38"/>
    </row>
    <row r="463">
      <c r="E463" s="38"/>
    </row>
    <row r="464">
      <c r="E464" s="38"/>
    </row>
    <row r="465">
      <c r="E465" s="38"/>
    </row>
    <row r="466">
      <c r="E466" s="38"/>
    </row>
    <row r="467">
      <c r="E467" s="38"/>
    </row>
    <row r="468">
      <c r="E468" s="38"/>
    </row>
    <row r="469">
      <c r="E469" s="38"/>
    </row>
    <row r="470">
      <c r="E470" s="38"/>
    </row>
    <row r="471">
      <c r="E471" s="38"/>
    </row>
    <row r="472">
      <c r="E472" s="38"/>
    </row>
    <row r="473">
      <c r="E473" s="38"/>
    </row>
    <row r="474">
      <c r="E474" s="38"/>
    </row>
    <row r="475">
      <c r="E475" s="38"/>
    </row>
    <row r="476">
      <c r="E476" s="38"/>
    </row>
    <row r="477">
      <c r="E477" s="38"/>
    </row>
    <row r="478">
      <c r="E478" s="38"/>
    </row>
    <row r="479">
      <c r="E479" s="38"/>
    </row>
    <row r="480">
      <c r="E480" s="38"/>
    </row>
    <row r="481">
      <c r="E481" s="38"/>
    </row>
    <row r="482">
      <c r="E482" s="38"/>
    </row>
    <row r="483">
      <c r="E483" s="38"/>
    </row>
    <row r="484">
      <c r="E484" s="38"/>
    </row>
    <row r="485">
      <c r="E485" s="38"/>
    </row>
    <row r="486">
      <c r="E486" s="38"/>
    </row>
    <row r="487">
      <c r="E487" s="38"/>
    </row>
    <row r="488">
      <c r="E488" s="38"/>
    </row>
    <row r="489">
      <c r="E489" s="38"/>
    </row>
    <row r="490">
      <c r="E490" s="38"/>
    </row>
    <row r="491">
      <c r="E491" s="38"/>
    </row>
    <row r="492">
      <c r="E492" s="38"/>
    </row>
    <row r="493">
      <c r="E493" s="38"/>
    </row>
    <row r="494">
      <c r="E494" s="38"/>
    </row>
    <row r="495">
      <c r="E495" s="38"/>
    </row>
    <row r="496">
      <c r="E496" s="38"/>
    </row>
    <row r="497">
      <c r="E497" s="38"/>
    </row>
    <row r="498">
      <c r="E498" s="38"/>
    </row>
    <row r="499">
      <c r="E499" s="38"/>
    </row>
    <row r="500">
      <c r="E500" s="38"/>
    </row>
    <row r="501">
      <c r="E501" s="38"/>
    </row>
    <row r="502">
      <c r="E502" s="38"/>
    </row>
    <row r="503">
      <c r="E503" s="38"/>
    </row>
    <row r="504">
      <c r="E504" s="38"/>
    </row>
    <row r="505">
      <c r="E505" s="38"/>
    </row>
    <row r="506">
      <c r="E506" s="38"/>
    </row>
    <row r="507">
      <c r="E507" s="38"/>
    </row>
    <row r="508">
      <c r="E508" s="38"/>
    </row>
    <row r="509">
      <c r="E509" s="38"/>
    </row>
    <row r="510">
      <c r="E510" s="38"/>
    </row>
    <row r="511">
      <c r="E511" s="38"/>
    </row>
    <row r="512">
      <c r="E512" s="38"/>
    </row>
    <row r="513">
      <c r="E513" s="38"/>
    </row>
    <row r="514">
      <c r="E514" s="38"/>
    </row>
    <row r="515">
      <c r="E515" s="38"/>
    </row>
    <row r="516">
      <c r="E516" s="38"/>
    </row>
    <row r="517">
      <c r="E517" s="38"/>
    </row>
    <row r="518">
      <c r="E518" s="38"/>
    </row>
    <row r="519">
      <c r="E519" s="38"/>
    </row>
    <row r="520">
      <c r="E520" s="38"/>
    </row>
    <row r="521">
      <c r="E521" s="38"/>
    </row>
    <row r="522">
      <c r="E522" s="38"/>
    </row>
    <row r="523">
      <c r="E523" s="38"/>
    </row>
    <row r="524">
      <c r="E524" s="38"/>
    </row>
    <row r="525">
      <c r="E525" s="38"/>
    </row>
    <row r="526">
      <c r="E526" s="38"/>
    </row>
    <row r="527">
      <c r="E527" s="38"/>
    </row>
    <row r="528">
      <c r="E528" s="38"/>
    </row>
    <row r="529">
      <c r="E529" s="38"/>
    </row>
    <row r="530">
      <c r="E530" s="38"/>
    </row>
    <row r="531">
      <c r="E531" s="38"/>
    </row>
    <row r="532">
      <c r="E532" s="38"/>
    </row>
    <row r="533">
      <c r="E533" s="38"/>
    </row>
    <row r="534">
      <c r="E534" s="38"/>
    </row>
    <row r="535">
      <c r="E535" s="38"/>
    </row>
    <row r="536">
      <c r="E536" s="38"/>
    </row>
    <row r="537">
      <c r="E537" s="38"/>
    </row>
    <row r="538">
      <c r="E538" s="38"/>
    </row>
    <row r="539">
      <c r="E539" s="38"/>
    </row>
    <row r="540">
      <c r="E540" s="38"/>
    </row>
    <row r="541">
      <c r="E541" s="38"/>
    </row>
    <row r="542">
      <c r="E542" s="38"/>
    </row>
    <row r="543">
      <c r="E543" s="38"/>
    </row>
    <row r="544">
      <c r="E544" s="38"/>
    </row>
    <row r="545">
      <c r="E545" s="38"/>
    </row>
    <row r="546">
      <c r="E546" s="38"/>
    </row>
    <row r="547">
      <c r="E547" s="38"/>
    </row>
    <row r="548">
      <c r="E548" s="38"/>
    </row>
    <row r="549">
      <c r="E549" s="38"/>
    </row>
    <row r="550">
      <c r="E550" s="38"/>
    </row>
    <row r="551">
      <c r="E551" s="38"/>
    </row>
    <row r="552">
      <c r="E552" s="38"/>
    </row>
    <row r="553">
      <c r="E553" s="38"/>
    </row>
    <row r="554">
      <c r="E554" s="38"/>
    </row>
    <row r="555">
      <c r="E555" s="38"/>
    </row>
    <row r="556">
      <c r="E556" s="38"/>
    </row>
    <row r="557">
      <c r="E557" s="38"/>
    </row>
    <row r="558">
      <c r="E558" s="38"/>
    </row>
    <row r="559">
      <c r="E559" s="38"/>
    </row>
    <row r="560">
      <c r="E560" s="38"/>
    </row>
    <row r="561">
      <c r="E561" s="38"/>
    </row>
    <row r="562">
      <c r="E562" s="38"/>
    </row>
    <row r="563">
      <c r="E563" s="38"/>
    </row>
    <row r="564">
      <c r="E564" s="38"/>
    </row>
    <row r="565">
      <c r="E565" s="38"/>
    </row>
    <row r="566">
      <c r="E566" s="38"/>
    </row>
    <row r="567">
      <c r="E567" s="38"/>
    </row>
    <row r="568">
      <c r="E568" s="38"/>
    </row>
    <row r="569">
      <c r="E569" s="38"/>
    </row>
    <row r="570">
      <c r="E570" s="38"/>
    </row>
    <row r="571">
      <c r="E571" s="38"/>
    </row>
    <row r="572">
      <c r="E572" s="38"/>
    </row>
    <row r="573">
      <c r="E573" s="38"/>
    </row>
    <row r="574">
      <c r="E574" s="38"/>
    </row>
    <row r="575">
      <c r="E575" s="38"/>
    </row>
    <row r="576">
      <c r="E576" s="38"/>
    </row>
    <row r="577">
      <c r="E577" s="38"/>
    </row>
    <row r="578">
      <c r="E578" s="38"/>
    </row>
    <row r="579">
      <c r="E579" s="38"/>
    </row>
    <row r="580">
      <c r="E580" s="38"/>
    </row>
    <row r="581">
      <c r="E581" s="38"/>
    </row>
    <row r="582">
      <c r="E582" s="38"/>
    </row>
    <row r="583">
      <c r="E583" s="38"/>
    </row>
    <row r="584">
      <c r="E584" s="38"/>
    </row>
    <row r="585">
      <c r="E585" s="38"/>
    </row>
    <row r="586">
      <c r="E586" s="38"/>
    </row>
    <row r="587">
      <c r="E587" s="38"/>
    </row>
    <row r="588">
      <c r="E588" s="38"/>
    </row>
    <row r="589">
      <c r="E589" s="38"/>
    </row>
    <row r="590">
      <c r="E590" s="38"/>
    </row>
    <row r="591">
      <c r="E591" s="38"/>
    </row>
    <row r="592">
      <c r="E592" s="38"/>
    </row>
    <row r="593">
      <c r="E593" s="38"/>
    </row>
    <row r="594">
      <c r="E594" s="38"/>
    </row>
    <row r="595">
      <c r="E595" s="38"/>
    </row>
    <row r="596">
      <c r="E596" s="38"/>
    </row>
    <row r="597">
      <c r="E597" s="38"/>
    </row>
    <row r="598">
      <c r="E598" s="38"/>
    </row>
    <row r="599">
      <c r="E599" s="38"/>
    </row>
    <row r="600">
      <c r="E600" s="38"/>
    </row>
    <row r="601">
      <c r="E601" s="38"/>
    </row>
    <row r="602">
      <c r="E602" s="38"/>
    </row>
    <row r="603">
      <c r="E603" s="38"/>
    </row>
    <row r="604">
      <c r="E604" s="38"/>
    </row>
    <row r="605">
      <c r="E605" s="38"/>
    </row>
    <row r="606">
      <c r="E606" s="38"/>
    </row>
    <row r="607">
      <c r="E607" s="38"/>
    </row>
    <row r="608">
      <c r="E608" s="38"/>
    </row>
    <row r="609">
      <c r="E609" s="38"/>
    </row>
    <row r="610">
      <c r="E610" s="38"/>
    </row>
    <row r="611">
      <c r="E611" s="38"/>
    </row>
    <row r="612">
      <c r="E612" s="38"/>
    </row>
    <row r="613">
      <c r="E613" s="38"/>
    </row>
    <row r="614">
      <c r="E614" s="38"/>
    </row>
    <row r="615">
      <c r="E615" s="38"/>
    </row>
    <row r="616">
      <c r="E616" s="38"/>
    </row>
    <row r="617">
      <c r="E617" s="38"/>
    </row>
    <row r="618">
      <c r="E618" s="38"/>
    </row>
    <row r="619">
      <c r="E619" s="38"/>
    </row>
    <row r="620">
      <c r="E620" s="38"/>
    </row>
    <row r="621">
      <c r="E621" s="38"/>
    </row>
    <row r="622">
      <c r="E622" s="38"/>
    </row>
    <row r="623">
      <c r="E623" s="38"/>
    </row>
    <row r="624">
      <c r="E624" s="38"/>
    </row>
    <row r="625">
      <c r="E625" s="38"/>
    </row>
    <row r="626">
      <c r="E626" s="38"/>
    </row>
    <row r="627">
      <c r="E627" s="38"/>
    </row>
    <row r="628">
      <c r="E628" s="38"/>
    </row>
    <row r="629">
      <c r="E629" s="38"/>
    </row>
    <row r="630">
      <c r="E630" s="38"/>
    </row>
    <row r="631">
      <c r="E631" s="38"/>
    </row>
    <row r="632">
      <c r="E632" s="38"/>
    </row>
    <row r="633">
      <c r="E633" s="38"/>
    </row>
    <row r="634">
      <c r="E634" s="38"/>
    </row>
    <row r="635">
      <c r="E635" s="38"/>
    </row>
    <row r="636">
      <c r="E636" s="38"/>
    </row>
    <row r="637">
      <c r="E637" s="38"/>
    </row>
    <row r="638">
      <c r="E638" s="38"/>
    </row>
    <row r="639">
      <c r="E639" s="38"/>
    </row>
    <row r="640">
      <c r="E640" s="38"/>
    </row>
    <row r="641">
      <c r="E641" s="38"/>
    </row>
    <row r="642">
      <c r="E642" s="38"/>
    </row>
    <row r="643">
      <c r="E643" s="38"/>
    </row>
    <row r="644">
      <c r="E644" s="38"/>
    </row>
    <row r="645">
      <c r="E645" s="38"/>
    </row>
    <row r="646">
      <c r="E646" s="38"/>
    </row>
    <row r="647">
      <c r="E647" s="38"/>
    </row>
    <row r="648">
      <c r="E648" s="38"/>
    </row>
    <row r="649">
      <c r="E649" s="38"/>
    </row>
    <row r="650">
      <c r="E650" s="38"/>
    </row>
    <row r="651">
      <c r="E651" s="38"/>
    </row>
    <row r="652">
      <c r="E652" s="38"/>
    </row>
    <row r="653">
      <c r="E653" s="38"/>
    </row>
    <row r="654">
      <c r="E654" s="38"/>
    </row>
    <row r="655">
      <c r="E655" s="38"/>
    </row>
    <row r="656">
      <c r="E656" s="38"/>
    </row>
    <row r="657">
      <c r="E657" s="38"/>
    </row>
    <row r="658">
      <c r="E658" s="38"/>
    </row>
    <row r="659">
      <c r="E659" s="38"/>
    </row>
    <row r="660">
      <c r="E660" s="38"/>
    </row>
    <row r="661">
      <c r="E661" s="38"/>
    </row>
    <row r="662">
      <c r="E662" s="38"/>
    </row>
    <row r="663">
      <c r="E663" s="38"/>
    </row>
    <row r="664">
      <c r="E664" s="38"/>
    </row>
    <row r="665">
      <c r="E665" s="38"/>
    </row>
    <row r="666">
      <c r="E666" s="38"/>
    </row>
    <row r="667">
      <c r="E667" s="38"/>
    </row>
    <row r="668">
      <c r="E668" s="38"/>
    </row>
    <row r="669">
      <c r="E669" s="38"/>
    </row>
    <row r="670">
      <c r="E670" s="38"/>
    </row>
    <row r="671">
      <c r="E671" s="38"/>
    </row>
    <row r="672">
      <c r="E672" s="38"/>
    </row>
    <row r="673">
      <c r="E673" s="38"/>
    </row>
    <row r="674">
      <c r="E674" s="38"/>
    </row>
    <row r="675">
      <c r="E675" s="38"/>
    </row>
    <row r="676">
      <c r="E676" s="38"/>
    </row>
    <row r="677">
      <c r="E677" s="38"/>
    </row>
    <row r="678">
      <c r="E678" s="38"/>
    </row>
    <row r="679">
      <c r="E679" s="38"/>
    </row>
    <row r="680">
      <c r="E680" s="38"/>
    </row>
    <row r="681">
      <c r="E681" s="38"/>
    </row>
    <row r="682">
      <c r="E682" s="38"/>
    </row>
    <row r="683">
      <c r="E683" s="38"/>
    </row>
    <row r="684">
      <c r="E684" s="38"/>
    </row>
    <row r="685">
      <c r="E685" s="38"/>
    </row>
    <row r="686">
      <c r="E686" s="38"/>
    </row>
    <row r="687">
      <c r="E687" s="38"/>
    </row>
    <row r="688">
      <c r="E688" s="38"/>
    </row>
    <row r="689">
      <c r="E689" s="38"/>
    </row>
    <row r="690">
      <c r="E690" s="38"/>
    </row>
    <row r="691">
      <c r="E691" s="38"/>
    </row>
    <row r="692">
      <c r="E692" s="38"/>
    </row>
    <row r="693">
      <c r="E693" s="38"/>
    </row>
    <row r="694">
      <c r="E694" s="38"/>
    </row>
    <row r="695">
      <c r="E695" s="38"/>
    </row>
    <row r="696">
      <c r="E696" s="38"/>
    </row>
    <row r="697">
      <c r="E697" s="38"/>
    </row>
    <row r="698">
      <c r="E698" s="38"/>
    </row>
    <row r="699">
      <c r="E699" s="38"/>
    </row>
    <row r="700">
      <c r="E700" s="38"/>
    </row>
    <row r="701">
      <c r="E701" s="38"/>
    </row>
    <row r="702">
      <c r="E702" s="38"/>
    </row>
    <row r="703">
      <c r="E703" s="38"/>
    </row>
    <row r="704">
      <c r="E704" s="38"/>
    </row>
    <row r="705">
      <c r="E705" s="38"/>
    </row>
    <row r="706">
      <c r="E706" s="38"/>
    </row>
    <row r="707">
      <c r="E707" s="38"/>
    </row>
    <row r="708">
      <c r="E708" s="38"/>
    </row>
    <row r="709">
      <c r="E709" s="38"/>
    </row>
    <row r="710">
      <c r="E710" s="38"/>
    </row>
    <row r="711">
      <c r="E711" s="38"/>
    </row>
    <row r="712">
      <c r="E712" s="38"/>
    </row>
    <row r="713">
      <c r="E713" s="38"/>
    </row>
    <row r="714">
      <c r="E714" s="38"/>
    </row>
    <row r="715">
      <c r="E715" s="38"/>
    </row>
    <row r="716">
      <c r="E716" s="38"/>
    </row>
    <row r="717">
      <c r="E717" s="38"/>
    </row>
    <row r="718">
      <c r="E718" s="38"/>
    </row>
    <row r="719">
      <c r="E719" s="38"/>
    </row>
    <row r="720">
      <c r="E720" s="38"/>
    </row>
    <row r="721">
      <c r="E721" s="38"/>
    </row>
    <row r="722">
      <c r="E722" s="38"/>
    </row>
    <row r="723">
      <c r="E723" s="38"/>
    </row>
    <row r="724">
      <c r="E724" s="38"/>
    </row>
    <row r="725">
      <c r="E725" s="38"/>
    </row>
    <row r="726">
      <c r="E726" s="38"/>
    </row>
    <row r="727">
      <c r="E727" s="38"/>
    </row>
    <row r="728">
      <c r="E728" s="38"/>
    </row>
    <row r="729">
      <c r="E729" s="38"/>
    </row>
    <row r="730">
      <c r="E730" s="38"/>
    </row>
    <row r="731">
      <c r="E731" s="38"/>
    </row>
    <row r="732">
      <c r="E732" s="38"/>
    </row>
    <row r="733">
      <c r="E733" s="38"/>
    </row>
    <row r="734">
      <c r="E734" s="38"/>
    </row>
    <row r="735">
      <c r="E735" s="38"/>
    </row>
    <row r="736">
      <c r="E736" s="38"/>
    </row>
    <row r="737">
      <c r="E737" s="38"/>
    </row>
    <row r="738">
      <c r="E738" s="38"/>
    </row>
    <row r="739">
      <c r="E739" s="38"/>
    </row>
    <row r="740">
      <c r="E740" s="38"/>
    </row>
    <row r="741">
      <c r="E741" s="38"/>
    </row>
    <row r="742">
      <c r="E742" s="38"/>
    </row>
    <row r="743">
      <c r="E743" s="38"/>
    </row>
    <row r="744">
      <c r="E744" s="38"/>
    </row>
    <row r="745">
      <c r="E745" s="38"/>
    </row>
    <row r="746">
      <c r="E746" s="38"/>
    </row>
    <row r="747">
      <c r="E747" s="38"/>
    </row>
    <row r="748">
      <c r="E748" s="38"/>
    </row>
    <row r="749">
      <c r="E749" s="38"/>
    </row>
    <row r="750">
      <c r="E750" s="38"/>
    </row>
    <row r="751">
      <c r="E751" s="38"/>
    </row>
    <row r="752">
      <c r="E752" s="38"/>
    </row>
    <row r="753">
      <c r="E753" s="38"/>
    </row>
    <row r="754">
      <c r="E754" s="38"/>
    </row>
    <row r="755">
      <c r="E755" s="38"/>
    </row>
    <row r="756">
      <c r="E756" s="38"/>
    </row>
    <row r="757">
      <c r="E757" s="38"/>
    </row>
    <row r="758">
      <c r="E758" s="38"/>
    </row>
    <row r="759">
      <c r="E759" s="38"/>
    </row>
    <row r="760">
      <c r="E760" s="38"/>
    </row>
    <row r="761">
      <c r="E761" s="38"/>
    </row>
    <row r="762">
      <c r="E762" s="38"/>
    </row>
    <row r="763">
      <c r="E763" s="38"/>
    </row>
    <row r="764">
      <c r="E764" s="38"/>
    </row>
    <row r="765">
      <c r="E765" s="38"/>
    </row>
    <row r="766">
      <c r="E766" s="38"/>
    </row>
    <row r="767">
      <c r="E767" s="38"/>
    </row>
    <row r="768">
      <c r="E768" s="38"/>
    </row>
    <row r="769">
      <c r="E769" s="38"/>
    </row>
    <row r="770">
      <c r="E770" s="38"/>
    </row>
    <row r="771">
      <c r="E771" s="38"/>
    </row>
    <row r="772">
      <c r="E772" s="38"/>
    </row>
    <row r="773">
      <c r="E773" s="38"/>
    </row>
    <row r="774">
      <c r="E774" s="38"/>
    </row>
    <row r="775">
      <c r="E775" s="38"/>
    </row>
    <row r="776">
      <c r="E776" s="38"/>
    </row>
    <row r="777">
      <c r="E777" s="38"/>
    </row>
    <row r="778">
      <c r="E778" s="38"/>
    </row>
    <row r="779">
      <c r="E779" s="38"/>
    </row>
    <row r="780">
      <c r="E780" s="38"/>
    </row>
    <row r="781">
      <c r="E781" s="38"/>
    </row>
    <row r="782">
      <c r="E782" s="38"/>
    </row>
    <row r="783">
      <c r="E783" s="38"/>
    </row>
    <row r="784">
      <c r="E784" s="38"/>
    </row>
    <row r="785">
      <c r="E785" s="38"/>
    </row>
    <row r="786">
      <c r="E786" s="38"/>
    </row>
    <row r="787">
      <c r="E787" s="38"/>
    </row>
    <row r="788">
      <c r="E788" s="38"/>
    </row>
    <row r="789">
      <c r="E789" s="38"/>
    </row>
    <row r="790">
      <c r="E790" s="38"/>
    </row>
    <row r="791">
      <c r="E791" s="38"/>
    </row>
    <row r="792">
      <c r="E792" s="38"/>
    </row>
    <row r="793">
      <c r="E793" s="38"/>
    </row>
    <row r="794">
      <c r="E794" s="38"/>
    </row>
    <row r="795">
      <c r="E795" s="38"/>
    </row>
    <row r="796">
      <c r="E796" s="38"/>
    </row>
    <row r="797">
      <c r="E797" s="38"/>
    </row>
    <row r="798">
      <c r="E798" s="38"/>
    </row>
    <row r="799">
      <c r="E799" s="38"/>
    </row>
    <row r="800">
      <c r="E800" s="38"/>
    </row>
    <row r="801">
      <c r="E801" s="38"/>
    </row>
    <row r="802">
      <c r="E802" s="38"/>
    </row>
    <row r="803">
      <c r="E803" s="38"/>
    </row>
    <row r="804">
      <c r="E804" s="38"/>
    </row>
    <row r="805">
      <c r="E805" s="38"/>
    </row>
    <row r="806">
      <c r="E806" s="38"/>
    </row>
    <row r="807">
      <c r="E807" s="38"/>
    </row>
    <row r="808">
      <c r="E808" s="38"/>
    </row>
    <row r="809">
      <c r="E809" s="38"/>
    </row>
    <row r="810">
      <c r="E810" s="38"/>
    </row>
    <row r="811">
      <c r="E811" s="38"/>
    </row>
    <row r="812">
      <c r="E812" s="38"/>
    </row>
    <row r="813">
      <c r="E813" s="38"/>
    </row>
    <row r="814">
      <c r="E814" s="38"/>
    </row>
    <row r="815">
      <c r="E815" s="38"/>
    </row>
    <row r="816">
      <c r="E816" s="38"/>
    </row>
    <row r="817">
      <c r="E817" s="38"/>
    </row>
    <row r="818">
      <c r="E818" s="38"/>
    </row>
    <row r="819">
      <c r="E819" s="38"/>
    </row>
    <row r="820">
      <c r="E820" s="38"/>
    </row>
    <row r="821">
      <c r="E821" s="38"/>
    </row>
    <row r="822">
      <c r="E822" s="38"/>
    </row>
    <row r="823">
      <c r="E823" s="38"/>
    </row>
    <row r="824">
      <c r="E824" s="38"/>
    </row>
    <row r="825">
      <c r="E825" s="38"/>
    </row>
    <row r="826">
      <c r="E826" s="38"/>
    </row>
    <row r="827">
      <c r="E827" s="38"/>
    </row>
    <row r="828">
      <c r="E828" s="38"/>
    </row>
    <row r="829">
      <c r="E829" s="38"/>
    </row>
    <row r="830">
      <c r="E830" s="38"/>
    </row>
    <row r="831">
      <c r="E831" s="38"/>
    </row>
    <row r="832">
      <c r="E832" s="38"/>
    </row>
    <row r="833">
      <c r="E833" s="38"/>
    </row>
    <row r="834">
      <c r="E834" s="38"/>
    </row>
    <row r="835">
      <c r="E835" s="38"/>
    </row>
    <row r="836">
      <c r="E836" s="38"/>
    </row>
    <row r="837">
      <c r="E837" s="38"/>
    </row>
    <row r="838">
      <c r="E838" s="38"/>
    </row>
    <row r="839">
      <c r="E839" s="38"/>
    </row>
    <row r="840">
      <c r="E840" s="38"/>
    </row>
    <row r="841">
      <c r="E841" s="38"/>
    </row>
    <row r="842">
      <c r="E842" s="38"/>
    </row>
    <row r="843">
      <c r="E843" s="38"/>
    </row>
    <row r="844">
      <c r="E844" s="38"/>
    </row>
    <row r="845">
      <c r="E845" s="38"/>
    </row>
    <row r="846">
      <c r="E846" s="38"/>
    </row>
    <row r="847">
      <c r="E847" s="38"/>
    </row>
    <row r="848">
      <c r="E848" s="38"/>
    </row>
    <row r="849">
      <c r="E849" s="38"/>
    </row>
    <row r="850">
      <c r="E850" s="38"/>
    </row>
    <row r="851">
      <c r="E851" s="38"/>
    </row>
    <row r="852">
      <c r="E852" s="38"/>
    </row>
    <row r="853">
      <c r="E853" s="38"/>
    </row>
    <row r="854">
      <c r="E854" s="38"/>
    </row>
    <row r="855">
      <c r="E855" s="38"/>
    </row>
    <row r="856">
      <c r="E856" s="38"/>
    </row>
    <row r="857">
      <c r="E857" s="38"/>
    </row>
    <row r="858">
      <c r="E858" s="38"/>
    </row>
    <row r="859">
      <c r="E859" s="38"/>
    </row>
    <row r="860">
      <c r="E860" s="38"/>
    </row>
    <row r="861">
      <c r="E861" s="38"/>
    </row>
    <row r="862">
      <c r="E862" s="38"/>
    </row>
    <row r="863">
      <c r="E863" s="38"/>
    </row>
    <row r="864">
      <c r="E864" s="38"/>
    </row>
    <row r="865">
      <c r="E865" s="38"/>
    </row>
    <row r="866">
      <c r="E866" s="38"/>
    </row>
    <row r="867">
      <c r="E867" s="38"/>
    </row>
    <row r="868">
      <c r="E868" s="38"/>
    </row>
    <row r="869">
      <c r="E869" s="38"/>
    </row>
    <row r="870">
      <c r="E870" s="38"/>
    </row>
    <row r="871">
      <c r="E871" s="38"/>
    </row>
    <row r="872">
      <c r="E872" s="38"/>
    </row>
    <row r="873">
      <c r="E873" s="38"/>
    </row>
    <row r="874">
      <c r="E874" s="38"/>
    </row>
    <row r="875">
      <c r="E875" s="38"/>
    </row>
    <row r="876">
      <c r="E876" s="38"/>
    </row>
    <row r="877">
      <c r="E877" s="38"/>
    </row>
    <row r="878">
      <c r="E878" s="38"/>
    </row>
    <row r="879">
      <c r="E879" s="38"/>
    </row>
    <row r="880">
      <c r="E880" s="38"/>
    </row>
    <row r="881">
      <c r="E881" s="38"/>
    </row>
    <row r="882">
      <c r="E882" s="38"/>
    </row>
    <row r="883">
      <c r="E883" s="38"/>
    </row>
    <row r="884">
      <c r="E884" s="38"/>
    </row>
    <row r="885">
      <c r="E885" s="38"/>
    </row>
    <row r="886">
      <c r="E886" s="38"/>
    </row>
    <row r="887">
      <c r="E887" s="38"/>
    </row>
    <row r="888">
      <c r="E888" s="38"/>
    </row>
    <row r="889">
      <c r="E889" s="38"/>
    </row>
    <row r="890">
      <c r="E890" s="38"/>
    </row>
    <row r="891">
      <c r="E891" s="38"/>
    </row>
    <row r="892">
      <c r="E892" s="38"/>
    </row>
    <row r="893">
      <c r="E893" s="38"/>
    </row>
    <row r="894">
      <c r="E894" s="38"/>
    </row>
    <row r="895">
      <c r="E895" s="38"/>
    </row>
    <row r="896">
      <c r="E896" s="38"/>
    </row>
    <row r="897">
      <c r="E897" s="38"/>
    </row>
    <row r="898">
      <c r="E898" s="38"/>
    </row>
    <row r="899">
      <c r="E899" s="38"/>
    </row>
    <row r="900">
      <c r="E900" s="38"/>
    </row>
    <row r="901">
      <c r="E901" s="38"/>
    </row>
    <row r="902">
      <c r="E902" s="38"/>
    </row>
    <row r="903">
      <c r="E903" s="38"/>
    </row>
    <row r="904">
      <c r="E904" s="38"/>
    </row>
    <row r="905">
      <c r="E905" s="38"/>
    </row>
    <row r="906">
      <c r="E906" s="38"/>
    </row>
    <row r="907">
      <c r="E907" s="38"/>
    </row>
    <row r="908">
      <c r="E908" s="38"/>
    </row>
    <row r="909">
      <c r="E909" s="38"/>
    </row>
    <row r="910">
      <c r="E910" s="38"/>
    </row>
    <row r="911">
      <c r="E911" s="38"/>
    </row>
    <row r="912">
      <c r="E912" s="38"/>
    </row>
    <row r="913">
      <c r="E913" s="38"/>
    </row>
    <row r="914">
      <c r="E914" s="38"/>
    </row>
    <row r="915">
      <c r="E915" s="38"/>
    </row>
    <row r="916">
      <c r="E916" s="38"/>
    </row>
    <row r="917">
      <c r="E917" s="38"/>
    </row>
    <row r="918">
      <c r="E918" s="38"/>
    </row>
    <row r="919">
      <c r="E919" s="38"/>
    </row>
    <row r="920">
      <c r="E920" s="38"/>
    </row>
    <row r="921">
      <c r="E921" s="38"/>
    </row>
    <row r="922">
      <c r="E922" s="38"/>
    </row>
    <row r="923">
      <c r="E923" s="38"/>
    </row>
    <row r="924">
      <c r="E924" s="38"/>
    </row>
    <row r="925">
      <c r="E925" s="38"/>
    </row>
    <row r="926">
      <c r="E926" s="38"/>
    </row>
    <row r="927">
      <c r="E927" s="38"/>
    </row>
    <row r="928">
      <c r="E928" s="38"/>
    </row>
    <row r="929">
      <c r="E929" s="38"/>
    </row>
    <row r="930">
      <c r="E930" s="38"/>
    </row>
    <row r="931">
      <c r="E931" s="38"/>
    </row>
    <row r="932">
      <c r="E932" s="38"/>
    </row>
    <row r="933">
      <c r="E933" s="38"/>
    </row>
    <row r="934">
      <c r="E934" s="38"/>
    </row>
    <row r="935">
      <c r="E935" s="38"/>
    </row>
    <row r="936">
      <c r="E936" s="38"/>
    </row>
    <row r="937">
      <c r="E937" s="38"/>
    </row>
    <row r="938">
      <c r="E938" s="38"/>
    </row>
    <row r="939">
      <c r="E939" s="38"/>
    </row>
    <row r="940">
      <c r="E940" s="38"/>
    </row>
    <row r="941">
      <c r="E941" s="38"/>
    </row>
    <row r="942">
      <c r="E942" s="38"/>
    </row>
    <row r="943">
      <c r="E943" s="38"/>
    </row>
    <row r="944">
      <c r="E944" s="38"/>
    </row>
    <row r="945">
      <c r="E945" s="38"/>
    </row>
    <row r="946">
      <c r="E946" s="38"/>
    </row>
    <row r="947">
      <c r="E947" s="38"/>
    </row>
    <row r="948">
      <c r="E948" s="38"/>
    </row>
    <row r="949">
      <c r="E949" s="38"/>
    </row>
    <row r="950">
      <c r="E950" s="38"/>
    </row>
    <row r="951">
      <c r="E951" s="38"/>
    </row>
    <row r="952">
      <c r="E952" s="38"/>
    </row>
    <row r="953">
      <c r="E953" s="38"/>
    </row>
    <row r="954">
      <c r="E954" s="38"/>
    </row>
    <row r="955">
      <c r="E955" s="38"/>
    </row>
    <row r="956">
      <c r="E956" s="38"/>
    </row>
    <row r="957">
      <c r="E957" s="38"/>
    </row>
    <row r="958">
      <c r="E958" s="38"/>
    </row>
    <row r="959">
      <c r="E959" s="38"/>
    </row>
    <row r="960">
      <c r="E960" s="38"/>
    </row>
    <row r="961">
      <c r="E961" s="38"/>
    </row>
    <row r="962">
      <c r="E962" s="38"/>
    </row>
    <row r="963">
      <c r="E963" s="38"/>
    </row>
    <row r="964">
      <c r="E964" s="38"/>
    </row>
    <row r="965">
      <c r="E965" s="38"/>
    </row>
    <row r="966">
      <c r="E966" s="38"/>
    </row>
    <row r="967">
      <c r="E967" s="38"/>
    </row>
    <row r="968">
      <c r="E968" s="38"/>
    </row>
    <row r="969">
      <c r="E969" s="38"/>
    </row>
    <row r="970">
      <c r="E970" s="38"/>
    </row>
    <row r="971">
      <c r="E971" s="38"/>
    </row>
    <row r="972">
      <c r="E972" s="38"/>
    </row>
    <row r="973">
      <c r="E973" s="38"/>
    </row>
    <row r="974">
      <c r="E974" s="38"/>
    </row>
    <row r="975">
      <c r="E975" s="38"/>
    </row>
    <row r="976">
      <c r="E976" s="38"/>
    </row>
    <row r="977">
      <c r="E977" s="38"/>
    </row>
  </sheetData>
  <mergeCells count="1">
    <mergeCell ref="J13:K13"/>
  </mergeCells>
  <dataValidations>
    <dataValidation type="decimal" allowBlank="1" showDropDown="1" sqref="A30">
      <formula1>1.0</formula1>
      <formula2>99.0</formula2>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71"/>
    <col customWidth="1" min="2" max="2" width="22.14"/>
    <col customWidth="1" min="4" max="4" width="18.57"/>
    <col customWidth="1" min="5" max="5" width="35.57"/>
    <col customWidth="1" min="6" max="7" width="19.0"/>
    <col customWidth="1" min="8" max="8" width="29.86"/>
    <col customWidth="1" min="9" max="10" width="10.71"/>
    <col customWidth="1" min="11" max="11" width="41.57"/>
    <col customWidth="1" min="13" max="13" width="20.71"/>
    <col customWidth="1" min="14" max="14" width="17.29"/>
  </cols>
  <sheetData>
    <row r="1">
      <c r="F1" s="4"/>
      <c r="G1" s="4" t="s">
        <v>535</v>
      </c>
    </row>
    <row r="3">
      <c r="A3" s="4"/>
      <c r="B3" s="4"/>
      <c r="C3" s="4"/>
      <c r="D3" s="4"/>
      <c r="E3" s="4"/>
    </row>
    <row r="4">
      <c r="A4" s="1" t="s">
        <v>536</v>
      </c>
      <c r="B4" s="1" t="s">
        <v>537</v>
      </c>
      <c r="C4" s="1" t="s">
        <v>538</v>
      </c>
      <c r="D4" s="1" t="s">
        <v>539</v>
      </c>
      <c r="E4" s="1" t="s">
        <v>540</v>
      </c>
      <c r="F4" s="76">
        <f>70%/2</f>
        <v>0.35</v>
      </c>
      <c r="I4" s="154"/>
      <c r="J4" s="189"/>
      <c r="K4" s="1" t="s">
        <v>526</v>
      </c>
      <c r="L4" s="1" t="s">
        <v>541</v>
      </c>
      <c r="M4" s="190" t="s">
        <v>542</v>
      </c>
      <c r="N4" s="1" t="s">
        <v>543</v>
      </c>
    </row>
    <row r="5">
      <c r="A5" s="1" t="s">
        <v>544</v>
      </c>
      <c r="B5" s="148">
        <v>-15.0</v>
      </c>
      <c r="C5" s="191">
        <v>0.35</v>
      </c>
      <c r="D5" s="6" t="s">
        <v>545</v>
      </c>
      <c r="E5" s="6" t="s">
        <v>546</v>
      </c>
      <c r="F5" s="4" t="s">
        <v>13</v>
      </c>
      <c r="G5" s="4" t="s">
        <v>547</v>
      </c>
      <c r="H5" s="4" t="s">
        <v>548</v>
      </c>
      <c r="I5" s="108"/>
      <c r="J5" s="1" t="s">
        <v>491</v>
      </c>
      <c r="K5" s="6">
        <v>0.5</v>
      </c>
      <c r="L5" s="8">
        <f>C9</f>
        <v>23.25</v>
      </c>
      <c r="M5" s="192">
        <f t="shared" ref="M5:M6" si="1">(K5*L5*0.4)/100</f>
        <v>0.0465</v>
      </c>
      <c r="N5" s="8">
        <f t="shared" ref="N5:N6" si="2">K5+M5</f>
        <v>0.5465</v>
      </c>
    </row>
    <row r="6">
      <c r="A6" s="1" t="s">
        <v>549</v>
      </c>
      <c r="B6" s="148">
        <v>30.0</v>
      </c>
      <c r="C6" s="191">
        <v>0.35</v>
      </c>
      <c r="D6" s="6" t="s">
        <v>545</v>
      </c>
      <c r="E6" s="6" t="s">
        <v>546</v>
      </c>
      <c r="F6" s="4" t="s">
        <v>13</v>
      </c>
      <c r="G6" s="4" t="s">
        <v>550</v>
      </c>
      <c r="I6" s="108"/>
      <c r="J6" s="1" t="s">
        <v>124</v>
      </c>
      <c r="K6" s="6">
        <v>0.8</v>
      </c>
      <c r="L6" s="8">
        <f>C14</f>
        <v>60</v>
      </c>
      <c r="M6" s="192">
        <f t="shared" si="1"/>
        <v>0.192</v>
      </c>
      <c r="N6" s="8">
        <f t="shared" si="2"/>
        <v>0.992</v>
      </c>
    </row>
    <row r="7">
      <c r="A7" s="6" t="s">
        <v>551</v>
      </c>
      <c r="B7" s="148">
        <v>50.0</v>
      </c>
      <c r="C7" s="191">
        <v>0.15</v>
      </c>
      <c r="D7" s="6" t="s">
        <v>545</v>
      </c>
      <c r="E7" s="6" t="s">
        <v>546</v>
      </c>
      <c r="F7" s="4" t="s">
        <v>552</v>
      </c>
      <c r="G7" s="4" t="s">
        <v>553</v>
      </c>
      <c r="H7" s="4" t="s">
        <v>56</v>
      </c>
      <c r="I7" s="108"/>
      <c r="J7" s="1" t="s">
        <v>554</v>
      </c>
      <c r="K7" s="6" t="s">
        <v>555</v>
      </c>
      <c r="L7" s="8">
        <f>C20</f>
        <v>52.5</v>
      </c>
      <c r="M7" s="192">
        <f>(0.5*L7*0.4)/100</f>
        <v>0.105</v>
      </c>
      <c r="N7" s="193">
        <f>0.5+M7</f>
        <v>0.605</v>
      </c>
    </row>
    <row r="8">
      <c r="A8" s="6" t="s">
        <v>556</v>
      </c>
      <c r="B8" s="148">
        <v>70.0</v>
      </c>
      <c r="C8" s="191">
        <v>0.15</v>
      </c>
      <c r="D8" s="6" t="s">
        <v>545</v>
      </c>
      <c r="E8" s="6" t="s">
        <v>124</v>
      </c>
      <c r="F8" s="4" t="s">
        <v>552</v>
      </c>
      <c r="G8" s="4" t="s">
        <v>557</v>
      </c>
    </row>
    <row r="9">
      <c r="A9" s="2" t="s">
        <v>558</v>
      </c>
      <c r="C9" s="189">
        <f>SUMPRODUCT(B5:B8,C5:C8)</f>
        <v>23.25</v>
      </c>
      <c r="D9" s="8"/>
      <c r="E9" s="8"/>
      <c r="F9" s="4"/>
      <c r="G9" s="4" t="s">
        <v>559</v>
      </c>
      <c r="M9" s="190" t="s">
        <v>542</v>
      </c>
    </row>
    <row r="10">
      <c r="A10" s="6"/>
      <c r="B10" s="148"/>
      <c r="C10" s="191"/>
      <c r="D10" s="8"/>
      <c r="E10" s="8"/>
      <c r="F10" s="4"/>
      <c r="G10" s="4" t="s">
        <v>560</v>
      </c>
      <c r="K10" s="4" t="s">
        <v>561</v>
      </c>
      <c r="M10" s="4" t="s">
        <v>562</v>
      </c>
    </row>
    <row r="11">
      <c r="A11" s="8"/>
      <c r="B11" s="8"/>
      <c r="C11" s="8"/>
      <c r="D11" s="8"/>
      <c r="E11" s="8"/>
      <c r="F11" s="4"/>
      <c r="G11" s="4" t="s">
        <v>563</v>
      </c>
      <c r="M11" s="4" t="s">
        <v>564</v>
      </c>
    </row>
    <row r="12">
      <c r="A12" s="6" t="s">
        <v>565</v>
      </c>
      <c r="B12" s="148">
        <v>50.0</v>
      </c>
      <c r="C12" s="191">
        <v>0.5</v>
      </c>
      <c r="D12" s="6" t="s">
        <v>124</v>
      </c>
      <c r="E12" s="6" t="s">
        <v>124</v>
      </c>
      <c r="F12" s="4"/>
      <c r="G12" s="4" t="s">
        <v>566</v>
      </c>
      <c r="L12" s="4">
        <v>0.2</v>
      </c>
    </row>
    <row r="13">
      <c r="A13" s="6" t="s">
        <v>567</v>
      </c>
      <c r="B13" s="148">
        <v>70.0</v>
      </c>
      <c r="C13" s="191">
        <v>0.5</v>
      </c>
      <c r="D13" s="6" t="s">
        <v>124</v>
      </c>
      <c r="E13" s="6" t="s">
        <v>124</v>
      </c>
      <c r="F13" s="4"/>
      <c r="G13" s="4" t="s">
        <v>568</v>
      </c>
      <c r="K13" s="4">
        <v>0.2</v>
      </c>
      <c r="L13" s="76">
        <f t="shared" ref="L13:L17" si="3">K13*(1-$L$12)</f>
        <v>0.16</v>
      </c>
      <c r="M13" s="76">
        <f t="shared" ref="M13:M17" si="4">K13-L13</f>
        <v>0.04</v>
      </c>
      <c r="N13" s="76">
        <f t="shared" ref="N13:N17" si="5">K13*(1+$L$12)</f>
        <v>0.24</v>
      </c>
    </row>
    <row r="14">
      <c r="A14" s="2" t="s">
        <v>569</v>
      </c>
      <c r="C14" s="189">
        <f>SUMPRODUCT(B12:B13,C12:C13)</f>
        <v>60</v>
      </c>
      <c r="D14" s="8"/>
      <c r="E14" s="8"/>
      <c r="K14" s="4">
        <v>0.4</v>
      </c>
      <c r="L14" s="76">
        <f t="shared" si="3"/>
        <v>0.32</v>
      </c>
      <c r="M14" s="76">
        <f t="shared" si="4"/>
        <v>0.08</v>
      </c>
      <c r="N14" s="76">
        <f t="shared" si="5"/>
        <v>0.48</v>
      </c>
    </row>
    <row r="15">
      <c r="A15" s="6"/>
      <c r="B15" s="148"/>
      <c r="C15" s="191"/>
      <c r="D15" s="6"/>
      <c r="E15" s="6"/>
      <c r="K15" s="4">
        <v>0.6</v>
      </c>
      <c r="L15" s="76">
        <f t="shared" si="3"/>
        <v>0.48</v>
      </c>
      <c r="M15" s="76">
        <f t="shared" si="4"/>
        <v>0.12</v>
      </c>
      <c r="N15" s="76">
        <f t="shared" si="5"/>
        <v>0.72</v>
      </c>
    </row>
    <row r="16">
      <c r="A16" s="6" t="s">
        <v>570</v>
      </c>
      <c r="B16" s="148">
        <v>70.0</v>
      </c>
      <c r="C16" s="191">
        <v>0.25</v>
      </c>
      <c r="D16" s="6" t="s">
        <v>571</v>
      </c>
      <c r="E16" s="6" t="s">
        <v>546</v>
      </c>
      <c r="G16" s="4">
        <v>1.0</v>
      </c>
      <c r="H16" s="85">
        <v>0.25</v>
      </c>
      <c r="K16" s="4">
        <v>0.8</v>
      </c>
      <c r="L16" s="76">
        <f t="shared" si="3"/>
        <v>0.64</v>
      </c>
      <c r="M16" s="76">
        <f t="shared" si="4"/>
        <v>0.16</v>
      </c>
      <c r="N16" s="76">
        <f t="shared" si="5"/>
        <v>0.96</v>
      </c>
    </row>
    <row r="17">
      <c r="A17" s="6" t="s">
        <v>572</v>
      </c>
      <c r="B17" s="148">
        <v>50.0</v>
      </c>
      <c r="C17" s="191">
        <v>0.25</v>
      </c>
      <c r="D17" s="6" t="s">
        <v>571</v>
      </c>
      <c r="E17" s="6" t="s">
        <v>124</v>
      </c>
      <c r="G17" s="4">
        <v>2.0</v>
      </c>
      <c r="H17" s="85">
        <v>0.25</v>
      </c>
      <c r="K17" s="4">
        <v>0.95</v>
      </c>
      <c r="L17" s="76">
        <f t="shared" si="3"/>
        <v>0.76</v>
      </c>
      <c r="M17" s="76">
        <f t="shared" si="4"/>
        <v>0.19</v>
      </c>
      <c r="N17" s="76">
        <f t="shared" si="5"/>
        <v>1.14</v>
      </c>
    </row>
    <row r="18">
      <c r="A18" s="6" t="s">
        <v>573</v>
      </c>
      <c r="B18" s="148">
        <v>30.0</v>
      </c>
      <c r="C18" s="191">
        <v>0.25</v>
      </c>
      <c r="D18" s="6" t="s">
        <v>571</v>
      </c>
      <c r="E18" s="6" t="s">
        <v>546</v>
      </c>
      <c r="G18" s="4">
        <v>3.0</v>
      </c>
    </row>
    <row r="19">
      <c r="A19" s="6" t="s">
        <v>574</v>
      </c>
      <c r="B19" s="148">
        <v>60.0</v>
      </c>
      <c r="C19" s="191">
        <v>0.25</v>
      </c>
      <c r="D19" s="6" t="s">
        <v>571</v>
      </c>
      <c r="E19" s="6" t="s">
        <v>124</v>
      </c>
      <c r="G19" s="4">
        <v>4.0</v>
      </c>
      <c r="K19" s="4" t="s">
        <v>575</v>
      </c>
    </row>
    <row r="20">
      <c r="A20" s="2" t="s">
        <v>576</v>
      </c>
      <c r="C20" s="189">
        <f>SUMPRODUCT(B16:B19,C16:C19)</f>
        <v>52.5</v>
      </c>
      <c r="D20" s="8"/>
      <c r="E20" s="8"/>
      <c r="G20" s="4">
        <v>5.0</v>
      </c>
    </row>
    <row r="21">
      <c r="H21" s="85">
        <v>0.7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71"/>
    <col customWidth="1" min="2" max="2" width="33.0"/>
    <col customWidth="1" min="3" max="3" width="23.14"/>
    <col customWidth="1" min="4" max="4" width="23.0"/>
  </cols>
  <sheetData>
    <row r="1">
      <c r="A1" s="4" t="s">
        <v>577</v>
      </c>
      <c r="F1" s="108" t="s">
        <v>578</v>
      </c>
    </row>
    <row r="2">
      <c r="A2" s="4" t="s">
        <v>579</v>
      </c>
      <c r="F2" s="4" t="s">
        <v>580</v>
      </c>
    </row>
    <row r="3">
      <c r="A3" s="4" t="s">
        <v>581</v>
      </c>
      <c r="F3" s="4" t="s">
        <v>582</v>
      </c>
    </row>
    <row r="4">
      <c r="A4" s="4" t="s">
        <v>583</v>
      </c>
      <c r="B4" s="4" t="s">
        <v>584</v>
      </c>
      <c r="F4" s="4" t="s">
        <v>585</v>
      </c>
    </row>
    <row r="5">
      <c r="A5" s="108"/>
      <c r="B5" s="108"/>
      <c r="C5" s="108"/>
    </row>
    <row r="6">
      <c r="A6" s="1" t="s">
        <v>586</v>
      </c>
      <c r="B6" s="2" t="s">
        <v>587</v>
      </c>
      <c r="C6" s="1" t="s">
        <v>588</v>
      </c>
      <c r="D6" s="1" t="s">
        <v>589</v>
      </c>
      <c r="F6" s="4" t="s">
        <v>590</v>
      </c>
      <c r="G6" s="4" t="s">
        <v>591</v>
      </c>
    </row>
    <row r="7">
      <c r="A7" s="6" t="s">
        <v>592</v>
      </c>
      <c r="B7" s="6" t="s">
        <v>31</v>
      </c>
      <c r="C7" s="8"/>
      <c r="D7" s="8"/>
      <c r="F7" s="4" t="s">
        <v>593</v>
      </c>
    </row>
    <row r="8">
      <c r="A8" s="6" t="s">
        <v>594</v>
      </c>
      <c r="B8" s="6" t="s">
        <v>31</v>
      </c>
      <c r="C8" s="8"/>
      <c r="D8" s="8"/>
      <c r="F8" s="4" t="s">
        <v>595</v>
      </c>
    </row>
    <row r="9">
      <c r="A9" s="6" t="s">
        <v>596</v>
      </c>
      <c r="B9" s="6" t="s">
        <v>101</v>
      </c>
      <c r="C9" s="8"/>
      <c r="D9" s="8"/>
    </row>
    <row r="10">
      <c r="A10" s="6" t="s">
        <v>597</v>
      </c>
      <c r="B10" s="6" t="s">
        <v>67</v>
      </c>
      <c r="C10" s="8"/>
      <c r="D10" s="8"/>
    </row>
    <row r="11">
      <c r="A11" s="6" t="s">
        <v>598</v>
      </c>
      <c r="B11" s="6" t="s">
        <v>31</v>
      </c>
      <c r="C11" s="8"/>
      <c r="D11" s="8"/>
    </row>
    <row r="12">
      <c r="A12" s="6" t="s">
        <v>599</v>
      </c>
      <c r="B12" s="6" t="s">
        <v>101</v>
      </c>
      <c r="C12" s="8"/>
      <c r="D12" s="8"/>
    </row>
    <row r="13">
      <c r="A13" s="6" t="s">
        <v>600</v>
      </c>
      <c r="B13" s="6" t="s">
        <v>31</v>
      </c>
      <c r="C13" s="8"/>
      <c r="D13" s="8"/>
    </row>
    <row r="14">
      <c r="A14" s="6" t="s">
        <v>601</v>
      </c>
      <c r="B14" s="6" t="s">
        <v>31</v>
      </c>
      <c r="C14" s="8"/>
      <c r="D14" s="8"/>
    </row>
    <row r="15">
      <c r="A15" s="6" t="s">
        <v>602</v>
      </c>
      <c r="B15" s="6" t="s">
        <v>31</v>
      </c>
      <c r="C15" s="8"/>
      <c r="D15" s="8"/>
    </row>
    <row r="16">
      <c r="A16" s="6" t="s">
        <v>603</v>
      </c>
      <c r="B16" s="6" t="s">
        <v>31</v>
      </c>
      <c r="C16" s="8"/>
      <c r="D16" s="8"/>
    </row>
    <row r="17">
      <c r="A17" s="6" t="s">
        <v>604</v>
      </c>
      <c r="B17" s="6" t="s">
        <v>31</v>
      </c>
      <c r="C17" s="8"/>
      <c r="D17" s="8"/>
    </row>
    <row r="18">
      <c r="A18" s="6" t="s">
        <v>605</v>
      </c>
      <c r="B18" s="6" t="s">
        <v>31</v>
      </c>
      <c r="C18" s="8"/>
      <c r="D18" s="8"/>
    </row>
    <row r="19">
      <c r="A19" s="6" t="s">
        <v>606</v>
      </c>
      <c r="B19" s="6" t="s">
        <v>101</v>
      </c>
      <c r="C19" s="8"/>
      <c r="D19" s="8"/>
    </row>
    <row r="20">
      <c r="A20" s="10" t="s">
        <v>607</v>
      </c>
      <c r="B20" s="6" t="s">
        <v>101</v>
      </c>
      <c r="C20" s="8"/>
      <c r="D20" s="8"/>
      <c r="F20" s="6" t="s">
        <v>608</v>
      </c>
    </row>
    <row r="21">
      <c r="A21" s="6" t="s">
        <v>609</v>
      </c>
      <c r="B21" s="6" t="s">
        <v>101</v>
      </c>
      <c r="C21" s="8"/>
      <c r="D21" s="8"/>
    </row>
    <row r="22">
      <c r="A22" s="6" t="s">
        <v>610</v>
      </c>
      <c r="B22" s="6" t="s">
        <v>101</v>
      </c>
      <c r="C22" s="8"/>
      <c r="D22" s="8"/>
    </row>
    <row r="23">
      <c r="A23" s="6" t="s">
        <v>611</v>
      </c>
      <c r="B23" s="6" t="s">
        <v>31</v>
      </c>
      <c r="C23" s="8"/>
      <c r="D23" s="8"/>
    </row>
    <row r="24">
      <c r="A24" s="8"/>
      <c r="B24" s="8"/>
      <c r="C24" s="8"/>
      <c r="D24" s="8"/>
    </row>
    <row r="25">
      <c r="A25" s="8"/>
      <c r="B25" s="8"/>
      <c r="C25" s="8"/>
      <c r="D25" s="8"/>
    </row>
    <row r="26">
      <c r="A26" s="6" t="s">
        <v>612</v>
      </c>
      <c r="B26" s="8"/>
      <c r="C26" s="8"/>
      <c r="D26" s="8"/>
    </row>
    <row r="27">
      <c r="A27" s="6" t="s">
        <v>613</v>
      </c>
      <c r="B27" s="8"/>
      <c r="C27" s="8"/>
      <c r="D27" s="8"/>
    </row>
    <row r="28">
      <c r="A28" s="6" t="s">
        <v>614</v>
      </c>
      <c r="B28" s="8"/>
      <c r="C28" s="8"/>
      <c r="D28" s="8"/>
    </row>
    <row r="29">
      <c r="A29" s="6"/>
      <c r="B29" s="8"/>
      <c r="C29" s="8"/>
      <c r="D29" s="8"/>
    </row>
    <row r="30">
      <c r="A30" s="8"/>
      <c r="B30" s="8"/>
      <c r="C30" s="8"/>
      <c r="D30" s="8"/>
    </row>
    <row r="31">
      <c r="A31" s="6" t="s">
        <v>615</v>
      </c>
      <c r="B31" s="8"/>
      <c r="C31" s="8"/>
      <c r="D31" s="8"/>
    </row>
    <row r="32">
      <c r="A32" s="8"/>
      <c r="B32" s="8"/>
      <c r="C32" s="8"/>
      <c r="D32" s="8"/>
    </row>
    <row r="33">
      <c r="A33" s="8"/>
      <c r="B33" s="8"/>
      <c r="C33" s="8"/>
      <c r="D33" s="8"/>
    </row>
    <row r="34">
      <c r="A34" s="8"/>
      <c r="B34" s="8"/>
      <c r="C34" s="8"/>
      <c r="D34" s="8"/>
    </row>
    <row r="35">
      <c r="A35" s="8"/>
      <c r="B35" s="8"/>
      <c r="C35" s="8"/>
      <c r="D35" s="8"/>
    </row>
    <row r="36">
      <c r="A36" s="8"/>
      <c r="B36" s="8"/>
      <c r="C36" s="8"/>
      <c r="D36" s="8"/>
    </row>
    <row r="37">
      <c r="A37" s="8"/>
      <c r="B37" s="8"/>
      <c r="C37" s="8"/>
      <c r="D37" s="8"/>
    </row>
    <row r="38">
      <c r="A38" s="8"/>
      <c r="B38" s="8"/>
      <c r="C38" s="8"/>
      <c r="D38" s="8"/>
    </row>
    <row r="39">
      <c r="A39" s="8"/>
      <c r="B39" s="8"/>
      <c r="C39" s="8"/>
      <c r="D39" s="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9.29"/>
    <col customWidth="1" min="4" max="4" width="44.43"/>
    <col customWidth="1" min="9" max="9" width="19.57"/>
    <col customWidth="1" min="10" max="10" width="3.86"/>
    <col customWidth="1" min="11" max="12" width="24.14"/>
  </cols>
  <sheetData>
    <row r="1">
      <c r="A1" s="194" t="s">
        <v>616</v>
      </c>
      <c r="B1" s="195" t="s">
        <v>617</v>
      </c>
      <c r="D1" s="196" t="s">
        <v>618</v>
      </c>
      <c r="E1" s="196" t="s">
        <v>619</v>
      </c>
      <c r="G1" s="194" t="s">
        <v>620</v>
      </c>
      <c r="H1" s="194" t="s">
        <v>621</v>
      </c>
      <c r="J1" s="4"/>
      <c r="K1" s="4"/>
      <c r="L1" s="4" t="s">
        <v>622</v>
      </c>
      <c r="M1" s="4">
        <v>55.0</v>
      </c>
      <c r="N1" s="4" t="s">
        <v>623</v>
      </c>
    </row>
    <row r="2">
      <c r="A2" s="197" t="s">
        <v>624</v>
      </c>
      <c r="B2" s="51">
        <v>-30.0</v>
      </c>
      <c r="C2" s="51"/>
      <c r="D2" s="197" t="s">
        <v>625</v>
      </c>
      <c r="E2" s="58">
        <v>70.0</v>
      </c>
      <c r="G2" s="6" t="s">
        <v>626</v>
      </c>
      <c r="H2" s="6">
        <v>-30.0</v>
      </c>
      <c r="I2" s="79" t="s">
        <v>627</v>
      </c>
      <c r="J2" s="198"/>
      <c r="K2" s="4"/>
      <c r="L2" s="4" t="s">
        <v>628</v>
      </c>
      <c r="M2" s="85">
        <v>0.2</v>
      </c>
    </row>
    <row r="3">
      <c r="A3" s="197" t="s">
        <v>629</v>
      </c>
      <c r="B3" s="51">
        <v>-15.0</v>
      </c>
      <c r="C3" s="51"/>
      <c r="D3" s="199" t="s">
        <v>630</v>
      </c>
      <c r="E3" s="200">
        <v>50.0</v>
      </c>
      <c r="G3" s="6" t="s">
        <v>631</v>
      </c>
      <c r="H3" s="6">
        <v>-15.0</v>
      </c>
      <c r="I3" s="79" t="s">
        <v>248</v>
      </c>
      <c r="J3" s="201">
        <v>0.0</v>
      </c>
      <c r="K3" s="4"/>
      <c r="L3" s="4" t="s">
        <v>632</v>
      </c>
      <c r="M3" s="76">
        <f>M1*0.8</f>
        <v>44</v>
      </c>
      <c r="N3" s="4" t="s">
        <v>633</v>
      </c>
    </row>
    <row r="4">
      <c r="A4" s="197" t="s">
        <v>634</v>
      </c>
      <c r="B4" s="58">
        <v>10.0</v>
      </c>
      <c r="C4" s="58"/>
      <c r="D4" s="197" t="s">
        <v>635</v>
      </c>
      <c r="E4" s="58">
        <v>10.0</v>
      </c>
      <c r="G4" s="6" t="s">
        <v>636</v>
      </c>
      <c r="H4" s="6">
        <v>10.0</v>
      </c>
      <c r="I4" s="79" t="s">
        <v>241</v>
      </c>
      <c r="J4" s="201">
        <v>-5.0</v>
      </c>
    </row>
    <row r="5">
      <c r="A5" s="197" t="s">
        <v>637</v>
      </c>
      <c r="B5" s="58">
        <v>30.0</v>
      </c>
      <c r="C5" s="58"/>
      <c r="D5" s="197" t="s">
        <v>638</v>
      </c>
      <c r="E5" s="58">
        <v>-15.0</v>
      </c>
      <c r="G5" s="202" t="s">
        <v>639</v>
      </c>
      <c r="H5" s="202">
        <v>20.0</v>
      </c>
      <c r="I5" s="79" t="s">
        <v>299</v>
      </c>
      <c r="J5" s="79">
        <v>-15.0</v>
      </c>
    </row>
    <row r="6">
      <c r="A6" s="199" t="s">
        <v>640</v>
      </c>
      <c r="B6" s="200">
        <v>50.0</v>
      </c>
      <c r="C6" s="200"/>
      <c r="D6" s="197" t="s">
        <v>229</v>
      </c>
      <c r="E6" s="58">
        <v>-30.0</v>
      </c>
      <c r="F6" s="85"/>
      <c r="G6" s="6" t="s">
        <v>641</v>
      </c>
      <c r="H6" s="6">
        <v>50.0</v>
      </c>
      <c r="I6" s="79" t="s">
        <v>301</v>
      </c>
      <c r="J6" s="201">
        <v>-30.0</v>
      </c>
    </row>
    <row r="7">
      <c r="A7" s="197" t="s">
        <v>642</v>
      </c>
      <c r="B7" s="58">
        <v>70.0</v>
      </c>
      <c r="C7" s="58"/>
      <c r="D7" s="203"/>
      <c r="E7" s="55"/>
      <c r="G7" s="6" t="s">
        <v>643</v>
      </c>
      <c r="H7" s="6">
        <v>70.0</v>
      </c>
    </row>
    <row r="8">
      <c r="A8" s="204"/>
      <c r="B8" s="72"/>
      <c r="D8" s="203"/>
      <c r="E8" s="55"/>
    </row>
    <row r="9">
      <c r="A9" s="205" t="s">
        <v>644</v>
      </c>
      <c r="B9" s="137"/>
      <c r="D9" s="206" t="s">
        <v>645</v>
      </c>
      <c r="E9" s="207" t="s">
        <v>646</v>
      </c>
      <c r="G9" s="194" t="s">
        <v>647</v>
      </c>
      <c r="H9" s="194" t="s">
        <v>621</v>
      </c>
      <c r="M9" s="85"/>
      <c r="O9" s="4">
        <v>50.0</v>
      </c>
      <c r="P9" s="76">
        <v>0.35</v>
      </c>
    </row>
    <row r="10">
      <c r="A10" s="208" t="s">
        <v>648</v>
      </c>
      <c r="B10" s="202">
        <v>0.0</v>
      </c>
      <c r="C10" s="58">
        <v>0.0</v>
      </c>
      <c r="D10" s="6" t="s">
        <v>293</v>
      </c>
      <c r="E10" s="6">
        <v>-30.0</v>
      </c>
      <c r="G10" s="6" t="s">
        <v>626</v>
      </c>
      <c r="H10" s="6">
        <v>-30.0</v>
      </c>
      <c r="I10" s="79" t="s">
        <v>649</v>
      </c>
      <c r="J10" s="198"/>
      <c r="K10" s="4"/>
      <c r="L10" s="4" t="s">
        <v>650</v>
      </c>
      <c r="O10" s="4">
        <v>50.0</v>
      </c>
      <c r="P10" s="76">
        <v>0.2</v>
      </c>
    </row>
    <row r="11">
      <c r="A11" s="209" t="s">
        <v>651</v>
      </c>
      <c r="B11" s="210">
        <v>-5.0</v>
      </c>
      <c r="C11" s="51">
        <v>-15.0</v>
      </c>
      <c r="D11" s="208" t="s">
        <v>292</v>
      </c>
      <c r="E11" s="202">
        <v>-15.0</v>
      </c>
      <c r="F11" s="85"/>
      <c r="G11" s="6" t="s">
        <v>631</v>
      </c>
      <c r="H11" s="6">
        <v>-15.0</v>
      </c>
      <c r="I11" s="79" t="s">
        <v>248</v>
      </c>
      <c r="J11" s="201">
        <v>0.0</v>
      </c>
      <c r="K11" s="4"/>
      <c r="L11" s="4" t="s">
        <v>652</v>
      </c>
      <c r="O11" s="4">
        <v>-15.0</v>
      </c>
      <c r="P11" s="4">
        <v>0.25</v>
      </c>
    </row>
    <row r="12">
      <c r="A12" s="210" t="s">
        <v>653</v>
      </c>
      <c r="B12" s="210">
        <v>-10.0</v>
      </c>
      <c r="C12" s="58">
        <v>-30.0</v>
      </c>
      <c r="D12" s="6" t="s">
        <v>218</v>
      </c>
      <c r="E12" s="6">
        <v>10.0</v>
      </c>
      <c r="G12" s="6" t="s">
        <v>636</v>
      </c>
      <c r="H12" s="6">
        <v>10.0</v>
      </c>
      <c r="I12" s="79" t="s">
        <v>241</v>
      </c>
      <c r="J12" s="201">
        <v>-10.0</v>
      </c>
      <c r="K12" s="4"/>
      <c r="L12" s="4" t="s">
        <v>654</v>
      </c>
      <c r="M12" s="4">
        <v>50.0</v>
      </c>
      <c r="N12" s="85">
        <v>0.2</v>
      </c>
      <c r="O12" s="4" t="s">
        <v>655</v>
      </c>
      <c r="P12" s="4">
        <v>0.1</v>
      </c>
    </row>
    <row r="13">
      <c r="A13" s="210"/>
      <c r="B13" s="210"/>
      <c r="C13" s="58"/>
      <c r="D13" s="6" t="s">
        <v>231</v>
      </c>
      <c r="E13" s="6">
        <v>30.0</v>
      </c>
      <c r="G13" s="6" t="s">
        <v>639</v>
      </c>
      <c r="H13" s="6">
        <v>20.0</v>
      </c>
      <c r="I13" s="79" t="s">
        <v>299</v>
      </c>
      <c r="J13" s="79">
        <v>-15.0</v>
      </c>
      <c r="O13" s="4">
        <v>20.0</v>
      </c>
      <c r="P13" s="4">
        <v>0.05</v>
      </c>
    </row>
    <row r="14">
      <c r="A14" s="211"/>
      <c r="B14" s="211"/>
      <c r="C14" s="200">
        <v>30.0</v>
      </c>
      <c r="D14" s="6" t="s">
        <v>290</v>
      </c>
      <c r="E14" s="6">
        <v>70.0</v>
      </c>
      <c r="G14" s="6" t="s">
        <v>641</v>
      </c>
      <c r="H14" s="6">
        <v>50.0</v>
      </c>
      <c r="I14" s="79" t="s">
        <v>301</v>
      </c>
      <c r="J14" s="201">
        <v>-30.0</v>
      </c>
      <c r="O14" s="4">
        <v>70.0</v>
      </c>
      <c r="P14" s="4">
        <v>0.05</v>
      </c>
    </row>
    <row r="15">
      <c r="A15" s="212"/>
      <c r="B15" s="212"/>
      <c r="G15" s="208" t="s">
        <v>643</v>
      </c>
      <c r="H15" s="202">
        <v>70.0</v>
      </c>
      <c r="J15" s="4"/>
      <c r="K15" s="4"/>
      <c r="L15" s="4" t="s">
        <v>656</v>
      </c>
    </row>
    <row r="16">
      <c r="A16" s="213" t="s">
        <v>657</v>
      </c>
      <c r="B16" s="211"/>
      <c r="D16" s="1" t="s">
        <v>658</v>
      </c>
      <c r="E16" s="1" t="s">
        <v>659</v>
      </c>
      <c r="J16" s="4"/>
      <c r="K16" s="4"/>
      <c r="L16" s="4" t="s">
        <v>660</v>
      </c>
    </row>
    <row r="17">
      <c r="A17" s="208" t="s">
        <v>250</v>
      </c>
      <c r="B17" s="208">
        <v>0.0</v>
      </c>
      <c r="D17" s="6" t="s">
        <v>220</v>
      </c>
      <c r="E17" s="6">
        <v>70.0</v>
      </c>
      <c r="G17" s="108" t="s">
        <v>661</v>
      </c>
      <c r="J17" s="4"/>
      <c r="K17" s="4"/>
      <c r="L17" s="4" t="s">
        <v>662</v>
      </c>
      <c r="N17" s="97" t="s">
        <v>663</v>
      </c>
    </row>
    <row r="18">
      <c r="A18" s="211"/>
      <c r="B18" s="211"/>
      <c r="D18" s="208" t="s">
        <v>218</v>
      </c>
      <c r="E18" s="202">
        <v>50.0</v>
      </c>
    </row>
    <row r="19">
      <c r="A19" s="211"/>
      <c r="B19" s="211"/>
      <c r="D19" s="6" t="s">
        <v>216</v>
      </c>
      <c r="E19" s="6">
        <v>10.0</v>
      </c>
      <c r="J19" s="4"/>
      <c r="K19" s="4"/>
      <c r="L19" s="4" t="s">
        <v>664</v>
      </c>
    </row>
    <row r="20">
      <c r="A20" s="211"/>
      <c r="B20" s="211"/>
      <c r="D20" s="6" t="s">
        <v>214</v>
      </c>
      <c r="E20" s="6">
        <v>-15.0</v>
      </c>
    </row>
    <row r="21">
      <c r="A21" s="211"/>
      <c r="B21" s="211"/>
      <c r="D21" s="6" t="s">
        <v>209</v>
      </c>
      <c r="E21" s="6">
        <v>-30.0</v>
      </c>
      <c r="F21" s="4" t="s">
        <v>665</v>
      </c>
    </row>
    <row r="23">
      <c r="A23" s="1" t="s">
        <v>666</v>
      </c>
      <c r="B23" s="189">
        <f>sumproduct(O9:O14,P9:P14)</f>
        <v>28.25</v>
      </c>
    </row>
    <row r="24">
      <c r="A24" s="1" t="s">
        <v>667</v>
      </c>
      <c r="B24" s="189">
        <f>B23+30</f>
        <v>58.25</v>
      </c>
    </row>
    <row r="25">
      <c r="A25" s="1" t="s">
        <v>668</v>
      </c>
      <c r="B25" s="189">
        <f>B24+0</f>
        <v>58.25</v>
      </c>
    </row>
    <row r="30">
      <c r="F30" s="4">
        <v>100.0</v>
      </c>
    </row>
    <row r="31">
      <c r="A31" s="1" t="s">
        <v>339</v>
      </c>
      <c r="B31" s="8"/>
      <c r="C31" s="8"/>
      <c r="D31" s="4" t="s">
        <v>669</v>
      </c>
      <c r="E31" s="4" t="s">
        <v>670</v>
      </c>
    </row>
    <row r="32">
      <c r="A32" s="6" t="s">
        <v>671</v>
      </c>
      <c r="B32" s="8"/>
      <c r="C32" s="8"/>
      <c r="D32" s="4">
        <v>100.0</v>
      </c>
      <c r="E32" s="4">
        <v>100.0</v>
      </c>
      <c r="F32" s="4" t="s">
        <v>672</v>
      </c>
      <c r="H32" s="4">
        <v>20.0</v>
      </c>
    </row>
    <row r="33">
      <c r="A33" s="6" t="s">
        <v>673</v>
      </c>
      <c r="B33" s="8"/>
      <c r="C33" s="6">
        <v>-10.0</v>
      </c>
      <c r="D33" s="4">
        <v>-20.0</v>
      </c>
      <c r="E33" s="4">
        <v>-20.0</v>
      </c>
    </row>
    <row r="34">
      <c r="A34" s="6" t="s">
        <v>674</v>
      </c>
      <c r="B34" s="8"/>
      <c r="C34" s="6">
        <v>-30.0</v>
      </c>
      <c r="D34" s="4">
        <v>-20.0</v>
      </c>
      <c r="E34" s="76">
        <f>E32+E33</f>
        <v>80</v>
      </c>
      <c r="F34" s="4" t="s">
        <v>675</v>
      </c>
    </row>
    <row r="35">
      <c r="E35" s="4">
        <v>-20.0</v>
      </c>
    </row>
    <row r="36">
      <c r="E36" s="4">
        <v>60.0</v>
      </c>
      <c r="F36" s="4" t="s">
        <v>676</v>
      </c>
    </row>
    <row r="37">
      <c r="E37" s="4">
        <v>10.0</v>
      </c>
    </row>
    <row r="38">
      <c r="E38" s="4">
        <v>70.0</v>
      </c>
      <c r="F38" s="4" t="s">
        <v>677</v>
      </c>
    </row>
    <row r="39">
      <c r="E39" s="4">
        <v>70.0</v>
      </c>
      <c r="F39" s="4" t="s">
        <v>678</v>
      </c>
    </row>
    <row r="40">
      <c r="E40" s="4">
        <v>70.0</v>
      </c>
      <c r="F40" s="4" t="s">
        <v>679</v>
      </c>
    </row>
    <row r="41">
      <c r="E41" s="4">
        <v>70.0</v>
      </c>
      <c r="F41" s="4" t="s">
        <v>680</v>
      </c>
    </row>
    <row r="44">
      <c r="D44" s="4">
        <v>8.0</v>
      </c>
      <c r="E44" s="4" t="s">
        <v>681</v>
      </c>
      <c r="G44" s="85">
        <v>0.3</v>
      </c>
    </row>
    <row r="45">
      <c r="F45" s="4" t="s">
        <v>682</v>
      </c>
    </row>
    <row r="46">
      <c r="D46" s="4">
        <v>8.0</v>
      </c>
      <c r="E46" s="4" t="s">
        <v>683</v>
      </c>
      <c r="G46" s="85">
        <v>0.5</v>
      </c>
    </row>
    <row r="48">
      <c r="G48" s="85">
        <v>0.4</v>
      </c>
    </row>
    <row r="50">
      <c r="B50" s="4" t="s">
        <v>684</v>
      </c>
      <c r="C50" s="4" t="s">
        <v>685</v>
      </c>
      <c r="D50" s="4" t="s">
        <v>686</v>
      </c>
      <c r="E50" s="4" t="s">
        <v>681</v>
      </c>
      <c r="F50" s="4" t="s">
        <v>683</v>
      </c>
      <c r="G50" s="4" t="s">
        <v>687</v>
      </c>
    </row>
    <row r="51">
      <c r="B51" s="4" t="s">
        <v>688</v>
      </c>
      <c r="C51" s="4" t="s">
        <v>688</v>
      </c>
      <c r="D51" s="4" t="s">
        <v>688</v>
      </c>
      <c r="E51" s="4" t="s">
        <v>689</v>
      </c>
      <c r="G51" s="4" t="s">
        <v>690</v>
      </c>
    </row>
    <row r="53">
      <c r="B53" s="4" t="s">
        <v>689</v>
      </c>
      <c r="C53" s="4" t="s">
        <v>689</v>
      </c>
      <c r="D53" s="4" t="s">
        <v>689</v>
      </c>
    </row>
    <row r="65">
      <c r="D65" s="4" t="s">
        <v>691</v>
      </c>
      <c r="E65" s="4">
        <v>0.43</v>
      </c>
      <c r="F65" s="85">
        <v>0.43</v>
      </c>
    </row>
    <row r="68">
      <c r="B68" s="4" t="s">
        <v>692</v>
      </c>
      <c r="C68" s="214">
        <v>44317.0</v>
      </c>
    </row>
    <row r="69">
      <c r="B69" s="4" t="s">
        <v>692</v>
      </c>
      <c r="C69" s="4" t="s">
        <v>693</v>
      </c>
    </row>
  </sheetData>
  <mergeCells count="1">
    <mergeCell ref="A9:B9"/>
  </mergeCells>
  <drawing r:id="rId2"/>
  <legacyDrawing r:id="rId3"/>
</worksheet>
</file>