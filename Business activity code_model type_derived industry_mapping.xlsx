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Industry classification l" sheetId="1" r:id="rId4"/>
    <sheet state="visible" name="Based on MCA Financial keys" sheetId="2" r:id="rId5"/>
    <sheet state="visible" name="Based on GST" sheetId="3" r:id="rId6"/>
    <sheet state="visible" name="Based on mCA" sheetId="4" r:id="rId7"/>
    <sheet state="visible" name="MCA layer for industry" sheetId="5" r:id="rId8"/>
    <sheet state="visible" name="BSE industries" sheetId="6" r:id="rId9"/>
    <sheet state="visible" name="CW industries unique" sheetId="7" r:id="rId10"/>
    <sheet state="visible" name="Sheet18" sheetId="8" r:id="rId11"/>
    <sheet state="visible" name="IBEF" sheetId="9" r:id="rId12"/>
    <sheet state="visible" name="HSN Chapter" sheetId="10" r:id="rId13"/>
    <sheet state="visible" name="FInal (1 to 98) - non services" sheetId="11" r:id="rId14"/>
    <sheet state="visible" name="mfg added logic" sheetId="12" r:id="rId15"/>
    <sheet state="visible" name="MFG - Testing" sheetId="13" r:id="rId16"/>
    <sheet state="visible" name="Pseudocode" sheetId="14" r:id="rId17"/>
    <sheet state="visible" name="Final 99 and SAC - services" sheetId="15" r:id="rId18"/>
    <sheet state="visible" name="Construction test" sheetId="16" r:id="rId19"/>
    <sheet state="visible" name="SAC codes" sheetId="17" r:id="rId20"/>
    <sheet state="visible" name="nse bse common" sheetId="18" r:id="rId21"/>
    <sheet state="visible" name="To eqaro" sheetId="19" r:id="rId22"/>
    <sheet state="visible" name="Copy of nse bse common" sheetId="20" r:id="rId23"/>
    <sheet state="visible" name="SPO - Testing" sheetId="21" r:id="rId24"/>
    <sheet state="visible" name="Peer identificationrecommendati" sheetId="22" r:id="rId25"/>
    <sheet state="visible" name="Non metallic minerals" sheetId="23" r:id="rId26"/>
    <sheet state="visible" name="GST revenue collection" sheetId="24" r:id="rId27"/>
    <sheet state="visible" name="Codes based on ITR 2020" sheetId="25" r:id="rId28"/>
    <sheet state="visible" name="New rules" sheetId="26" r:id="rId29"/>
  </sheets>
  <definedNames>
    <definedName hidden="1" localSheetId="3" name="Z_65399088_E676_4CD0_8518_00A732F7C1AD_.wvu.FilterData">'Based on mCA'!$A$1:$AA$101</definedName>
    <definedName hidden="1" localSheetId="14" name="Z_65399088_E676_4CD0_8518_00A732F7C1AD_.wvu.FilterData">'Final 99 and SAC - services'!$A$1:$H$124</definedName>
  </definedNames>
  <calcPr/>
  <customWorkbookViews>
    <customWorkbookView activeSheetId="0" maximized="1" windowHeight="0" windowWidth="0" guid="{65399088-E676-4CD0-8518-00A732F7C1A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@tejash.k@crediwatch.com
	-Nishi Jain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@rajaram.bsr@crediwatch.com 
to be checked if updated
_Assigned to _
	-Tejash Khairnar
@tejash.k@crediwatch.com - Any example companies for this?
_Reassigned to tejash.k@crediwatch.com_
	-Deleted user</t>
      </text>
    </comment>
  </commentList>
</comments>
</file>

<file path=xl/sharedStrings.xml><?xml version="1.0" encoding="utf-8"?>
<sst xmlns="http://schemas.openxmlformats.org/spreadsheetml/2006/main" count="7547" uniqueCount="2840">
  <si>
    <t>if business activity code is K series then Financial services</t>
  </si>
  <si>
    <t>if mca industry is infrastructure then infrastructure</t>
  </si>
  <si>
    <t>if mca industry and gst industry is null or NA, then mca key v2</t>
  </si>
  <si>
    <t>if gst industry is null or NA, then mca industry</t>
  </si>
  <si>
    <t>if mca ind = mca keys, then that mca industry</t>
  </si>
  <si>
    <t>else GST industry</t>
  </si>
  <si>
    <t>mca key v2, other services = services</t>
  </si>
  <si>
    <t>mca extracted_industry</t>
  </si>
  <si>
    <t>(normalised) extracted_industry</t>
  </si>
  <si>
    <t>Not Available</t>
  </si>
  <si>
    <t>infrastructure</t>
  </si>
  <si>
    <t>Infrastructure</t>
  </si>
  <si>
    <t>manufacturing</t>
  </si>
  <si>
    <t>Manufacturing</t>
  </si>
  <si>
    <t>trading</t>
  </si>
  <si>
    <t>Trading</t>
  </si>
  <si>
    <t>services</t>
  </si>
  <si>
    <t>Other Services</t>
  </si>
  <si>
    <t>fintech</t>
  </si>
  <si>
    <t>Financia Services</t>
  </si>
  <si>
    <t>blank</t>
  </si>
  <si>
    <t>core_business_activity</t>
  </si>
  <si>
    <t>gst_industry (normalise key)</t>
  </si>
  <si>
    <t>SPO</t>
  </si>
  <si>
    <t>MFT</t>
  </si>
  <si>
    <t>TRD:TRR</t>
  </si>
  <si>
    <t>TRD:TWD</t>
  </si>
  <si>
    <t>no_activity</t>
  </si>
  <si>
    <t>Industry as per FINANCIAL KEYS : max of below</t>
  </si>
  <si>
    <t>num</t>
  </si>
  <si>
    <t>denom</t>
  </si>
  <si>
    <t>max of</t>
  </si>
  <si>
    <r>
      <rPr>
        <rFont val="Arial"/>
        <color theme="1"/>
      </rPr>
      <t xml:space="preserve">domestic_turnover_sale_of_goods_manufactured </t>
    </r>
    <r>
      <rPr>
        <rFont val="Arial"/>
        <b/>
        <color theme="1"/>
      </rPr>
      <t>+</t>
    </r>
    <r>
      <rPr>
        <rFont val="Arial"/>
        <color theme="1"/>
      </rPr>
      <t xml:space="preserve"> ("export_sale_manufactured_goods </t>
    </r>
    <r>
      <rPr>
        <rFont val="Arial"/>
        <b/>
        <color theme="1"/>
      </rPr>
      <t>or</t>
    </r>
    <r>
      <rPr>
        <rFont val="Arial"/>
        <color theme="1"/>
      </rPr>
      <t xml:space="preserve"> export_turnover_sale_or_goods_manufactured")</t>
    </r>
  </si>
  <si>
    <t>revenue_from_operations
if revenue_from_operations  = 0, then revenue</t>
  </si>
  <si>
    <t>num / denom</t>
  </si>
  <si>
    <r>
      <rPr>
        <rFont val="Arial"/>
        <color theme="1"/>
      </rPr>
      <t xml:space="preserve">domestic_turnover_sale_of_goods_traded </t>
    </r>
    <r>
      <rPr>
        <rFont val="Arial"/>
        <b/>
        <color theme="1"/>
      </rPr>
      <t>+</t>
    </r>
    <r>
      <rPr>
        <rFont val="Arial"/>
        <color theme="1"/>
      </rPr>
      <t xml:space="preserve"> (export_sale_traded_goods </t>
    </r>
    <r>
      <rPr>
        <rFont val="Arial"/>
        <b/>
        <color theme="1"/>
      </rPr>
      <t>or</t>
    </r>
    <r>
      <rPr>
        <rFont val="Arial"/>
        <color theme="1"/>
      </rPr>
      <t xml:space="preserve"> export_turnover_sale_or_goods_traded)</t>
    </r>
  </si>
  <si>
    <r>
      <rPr>
        <rFont val="Arial"/>
        <color theme="1"/>
      </rPr>
      <t xml:space="preserve">revenue_from_sale_of_services </t>
    </r>
    <r>
      <rPr>
        <rFont val="Arial"/>
        <b/>
        <color theme="1"/>
      </rPr>
      <t>or</t>
    </r>
    <r>
      <rPr>
        <rFont val="Arial"/>
        <color theme="1"/>
      </rPr>
      <t xml:space="preserve"> 
(domestic_revenue_services </t>
    </r>
    <r>
      <rPr>
        <rFont val="Arial"/>
        <b/>
        <color theme="1"/>
      </rPr>
      <t>or</t>
    </r>
    <r>
      <rPr>
        <rFont val="Arial"/>
        <color theme="1"/>
      </rPr>
      <t xml:space="preserve"> domestic_turnover_sale_or_supply_of_services </t>
    </r>
    <r>
      <rPr>
        <rFont val="Arial"/>
        <b/>
        <color theme="1"/>
      </rPr>
      <t>+</t>
    </r>
    <r>
      <rPr>
        <rFont val="Arial"/>
        <color theme="1"/>
      </rPr>
      <t xml:space="preserve"> export_revenue_services </t>
    </r>
    <r>
      <rPr>
        <rFont val="Arial"/>
        <b/>
        <color theme="1"/>
      </rPr>
      <t>or</t>
    </r>
    <r>
      <rPr>
        <rFont val="Arial"/>
        <color theme="1"/>
      </rPr>
      <t xml:space="preserve"> export_turnover_sale_or_supply_of_services)</t>
    </r>
  </si>
  <si>
    <t>Financial Services</t>
  </si>
  <si>
    <t>interest_income</t>
  </si>
  <si>
    <t>revenue (direct key)
if revenue = 0, then revenue_from_operations</t>
  </si>
  <si>
    <t>`</t>
  </si>
  <si>
    <t>Model</t>
  </si>
  <si>
    <t>GST derived classification</t>
  </si>
  <si>
    <t>Nature of core business activity key value is manufacturing
Max count of all active gstns = mfg</t>
  </si>
  <si>
    <t>Nature of core business activity key value is trading
Max count of all active gstns = trd</t>
  </si>
  <si>
    <t>Infra</t>
  </si>
  <si>
    <r>
      <rPr>
        <rFont val="Calibri"/>
        <b/>
        <color theme="1"/>
      </rPr>
      <t xml:space="preserve">Use this after filtering out manufacturing and trading as per above:
</t>
    </r>
    <r>
      <rPr>
        <rFont val="Calibri"/>
        <color theme="1"/>
      </rPr>
      <t xml:space="preserve">
Hsn codes include:
(hsn_code': '00440290'
hsn_code': '00440233'
hsn_code': '00440334'
hsn_code': '00440616'
All hsn_code beginning from "9954")
</t>
    </r>
    <r>
      <rPr>
        <rFont val="Calibri"/>
        <color rgb="FFFF0000"/>
      </rPr>
      <t>hsn_code': '00440410' (this is works contract hence debatable)
Nba = works contract
or,</t>
    </r>
    <r>
      <rPr>
        <rFont val="Calibri"/>
        <color theme="1"/>
      </rPr>
      <t xml:space="preserve">
</t>
    </r>
    <r>
      <rPr>
        <rFont val="Calibri"/>
        <color rgb="FFFF0000"/>
      </rPr>
      <t xml:space="preserve">remove red logic
</t>
    </r>
    <r>
      <rPr>
        <rFont val="Calibri"/>
        <color theme="1"/>
      </rPr>
      <t xml:space="preserve">
</t>
    </r>
  </si>
  <si>
    <r>
      <rPr>
        <rFont val="Calibri"/>
        <b/>
        <color theme="1"/>
      </rPr>
      <t xml:space="preserve">Use this after filtering oit manufacturing, trading, and infra
</t>
    </r>
    <r>
      <rPr>
        <rFont val="Calibri"/>
        <color theme="1"/>
      </rPr>
      <t>Nature of core business activity is services + hsn_code is not as that of infra</t>
    </r>
  </si>
  <si>
    <t>Financial institute</t>
  </si>
  <si>
    <t>WIP - as mostly we will get for all from MCA</t>
  </si>
  <si>
    <t>QC to be done</t>
  </si>
  <si>
    <t>Issue</t>
  </si>
  <si>
    <t>Step 1</t>
  </si>
  <si>
    <t>Filter out basis mfg and trading basis GST</t>
  </si>
  <si>
    <t>Check if matches MCA classification</t>
  </si>
  <si>
    <t>MCA has highest revenue contr logic
this gets solved from nature of core business activity</t>
  </si>
  <si>
    <t>Step 2</t>
  </si>
  <si>
    <r>
      <rPr>
        <rFont val="Calibri"/>
        <color theme="1"/>
      </rPr>
      <t>Filter out FInancial inst from MCA,</t>
    </r>
    <r>
      <rPr>
        <rFont val="Calibri"/>
        <color rgb="FFFF0000"/>
      </rPr>
      <t xml:space="preserve"> if not present in MCA-fins use CMIE fin classification</t>
    </r>
  </si>
  <si>
    <t>Check if GST also has fin services</t>
  </si>
  <si>
    <t>Not tested this</t>
  </si>
  <si>
    <t>Can we switch 3 and 4</t>
  </si>
  <si>
    <t>Step 3</t>
  </si>
  <si>
    <r>
      <rPr>
        <rFont val="Calibri"/>
        <color theme="1"/>
      </rPr>
      <t>Filter out Infra from MCA</t>
    </r>
    <r>
      <rPr>
        <rFont val="Calibri"/>
        <color rgb="FFFF0000"/>
      </rPr>
      <t>, if CMIE then use CMIE classification</t>
    </r>
  </si>
  <si>
    <t>Step 4</t>
  </si>
  <si>
    <t>Filter out Infra from GST</t>
  </si>
  <si>
    <t>Step 5</t>
  </si>
  <si>
    <t>Left out = services</t>
  </si>
  <si>
    <r>
      <rPr>
        <rFont val="Calibri"/>
        <color theme="1"/>
      </rPr>
      <t xml:space="preserve">MCA classification is also services
</t>
    </r>
    <r>
      <rPr>
        <rFont val="Calibri"/>
        <color rgb="FFFF0000"/>
      </rPr>
      <t>CMIE classification is also services</t>
    </r>
  </si>
  <si>
    <t>Red means seek claarity from Sandeep</t>
  </si>
  <si>
    <r>
      <rPr>
        <rFont val="Lato, Inter"/>
        <color rgb="FF212529"/>
        <sz val="11.0"/>
      </rPr>
      <t xml:space="preserve">if nba = ["Office / Sale Office"] , then "other services"
</t>
    </r>
    <r>
      <rPr>
        <rFont val="Lato, Inter"/>
        <color rgb="FF1155CC"/>
        <sz val="11.0"/>
        <u/>
      </rPr>
      <t>https://console.crediwatch.io/data/moola/registrations/64a4240489e1ab0a539f662a</t>
    </r>
  </si>
  <si>
    <t>m</t>
  </si>
  <si>
    <r>
      <rPr>
        <rFont val="Times New Roman"/>
        <b/>
        <color rgb="FF231F20"/>
        <sz val="12.0"/>
      </rPr>
      <t>Description  of  Main Activity group</t>
    </r>
  </si>
  <si>
    <r>
      <rPr>
        <rFont val="Times New Roman"/>
        <b/>
        <color rgb="FF231F20"/>
        <sz val="12.0"/>
      </rPr>
      <t>Business Activity Code</t>
    </r>
  </si>
  <si>
    <r>
      <rPr>
        <rFont val="Times New Roman"/>
        <b/>
        <color rgb="FF231F20"/>
        <sz val="12.0"/>
      </rPr>
      <t>Description  of Business Activity</t>
    </r>
  </si>
  <si>
    <t>Detailed description of business activity</t>
  </si>
  <si>
    <t>TSR Model</t>
  </si>
  <si>
    <t>Industry 1</t>
  </si>
  <si>
    <t>Industry 2</t>
  </si>
  <si>
    <t>Industry 3</t>
  </si>
  <si>
    <t>Industry 4</t>
  </si>
  <si>
    <t>Final industry</t>
  </si>
  <si>
    <t>HSN Chapter</t>
  </si>
  <si>
    <r>
      <rPr>
        <rFont val="Times New Roman"/>
        <color rgb="FF231F20"/>
        <sz val="12.0"/>
      </rPr>
      <t>A</t>
    </r>
  </si>
  <si>
    <t>Agriculture, forestry, fishing</t>
  </si>
  <si>
    <r>
      <rPr>
        <rFont val="Times New Roman"/>
        <color rgb="FF231F20"/>
        <sz val="12.0"/>
      </rPr>
      <t>A1</t>
    </r>
  </si>
  <si>
    <r>
      <rPr>
        <rFont val="Times New Roman"/>
        <color rgb="FF231F20"/>
        <sz val="12.0"/>
      </rPr>
      <t>Production of crops and animals</t>
    </r>
  </si>
  <si>
    <t xml:space="preserve">Growing and manufacturing of tea
Growing and manufacturing of coffee
Growing and manufacturing of rubber
"Market gardening and horticulture
specialties"
Raising of silk worms and production of silk
Raising of bees and production of honey
Raising of poultry and production of eggs
Rearing of sheep and production of wool
"Rearing of animals and production of
animal products"
</t>
  </si>
  <si>
    <t xml:space="preserve">AGRICULTURE AND ALLIED INDUSTRIES
</t>
  </si>
  <si>
    <t>Chapter 1</t>
  </si>
  <si>
    <t>Chapter 4</t>
  </si>
  <si>
    <t>Honey, Eggs and Dairy Products</t>
  </si>
  <si>
    <r>
      <rPr>
        <rFont val="Times New Roman"/>
        <color rgb="FF231F20"/>
        <sz val="12.0"/>
      </rPr>
      <t>A2</t>
    </r>
  </si>
  <si>
    <r>
      <rPr>
        <rFont val="Times New Roman"/>
        <color rgb="FF231F20"/>
        <sz val="12.0"/>
      </rPr>
      <t>Forestry and logging</t>
    </r>
  </si>
  <si>
    <t>Forestry service activities, timber cruising, afforestation and reforestation
Logging service activities, transport of logs within the forest
"Other agriculture, animal husbandry or
forestry activity n.e.c"</t>
  </si>
  <si>
    <t>No idea</t>
  </si>
  <si>
    <r>
      <rPr>
        <rFont val="Times New Roman"/>
        <color rgb="FF231F20"/>
        <sz val="12.0"/>
      </rPr>
      <t>Forestry and logging</t>
    </r>
  </si>
  <si>
    <t>Chapter 5</t>
  </si>
  <si>
    <t>Inedible animal products (unspecified)</t>
  </si>
  <si>
    <r>
      <rPr>
        <rFont val="Times New Roman"/>
        <color rgb="FF231F20"/>
        <sz val="12.0"/>
      </rPr>
      <t>A3</t>
    </r>
  </si>
  <si>
    <r>
      <rPr>
        <rFont val="Times New Roman"/>
        <color rgb="FF231F20"/>
        <sz val="12.0"/>
      </rPr>
      <t>Fishing and aquaculture</t>
    </r>
  </si>
  <si>
    <t>"Fishing on commercial basis in inland
waters"
Fishing on commercial basis in ocean and coastal areas
Fish farming
"Gathering of marine materials such as
natural pearls, sponges, coral etc."
Services related to marine and fresh water fisheries, fish hatcheries and fish farms
Other Fish farming activity n.e.c</t>
  </si>
  <si>
    <t>Services</t>
  </si>
  <si>
    <r>
      <rPr>
        <rFont val="Times New Roman"/>
        <color rgb="FF231F20"/>
        <sz val="12.0"/>
      </rPr>
      <t>Fishing and aquaculture</t>
    </r>
  </si>
  <si>
    <r>
      <rPr>
        <rFont val="Times New Roman"/>
        <color rgb="FF231F20"/>
        <sz val="12.0"/>
      </rPr>
      <t>Fishing and aquaculture</t>
    </r>
  </si>
  <si>
    <t>Chapter 11</t>
  </si>
  <si>
    <t>Milling Industry Products</t>
  </si>
  <si>
    <r>
      <rPr>
        <rFont val="Times New Roman"/>
        <color rgb="FF231F20"/>
        <sz val="12.0"/>
      </rPr>
      <t>A4</t>
    </r>
  </si>
  <si>
    <r>
      <rPr>
        <rFont val="Times New Roman"/>
        <color rgb="FF231F20"/>
        <sz val="12.0"/>
      </rPr>
      <t xml:space="preserve">Support activities to agriculture and Other
</t>
    </r>
    <r>
      <rPr>
        <rFont val="Times New Roman"/>
        <color rgb="FF231F20"/>
        <sz val="12.0"/>
      </rPr>
      <t>Activities including hunting</t>
    </r>
  </si>
  <si>
    <t>Agricultural and animal husbandry services
"Soil conservation, soil testing and soil desalination services"
Hunting, trapping and game propagation services
Growing of timber, plantation, operation of tree nurseries and conserving of forest
Gathering of tendu leaves
Gathering of other wild growing materials</t>
  </si>
  <si>
    <t>Agriculture</t>
  </si>
  <si>
    <t>Agriculture and animal husbandary</t>
  </si>
  <si>
    <t>Chapter 12</t>
  </si>
  <si>
    <t>Medicinal Plants, seeds and fruits</t>
  </si>
  <si>
    <r>
      <rPr>
        <rFont val="Times New Roman"/>
        <color rgb="FF231F20"/>
        <sz val="12.0"/>
      </rPr>
      <t>B</t>
    </r>
  </si>
  <si>
    <t>Mining and quarrying</t>
  </si>
  <si>
    <r>
      <rPr>
        <rFont val="Times New Roman"/>
        <color rgb="FF231F20"/>
        <sz val="12.0"/>
      </rPr>
      <t>B1</t>
    </r>
  </si>
  <si>
    <r>
      <rPr>
        <rFont val="Times New Roman"/>
        <color rgb="FF231F20"/>
        <sz val="12.0"/>
      </rPr>
      <t>Mining of Coal and lignite</t>
    </r>
  </si>
  <si>
    <t>Mining and agglomeration of hard coal
Mining and agglomeration of lignite
Extraction and agglomeration of peat
Extraction of crude petroleum and natural gas
Service activities incidental to oil and gas extraction excluding surveying
Mining of uranium and thorium ores
Mining of iron ores
Mining of non-ferrous metal ores, except uranium and thorium ores
Mining of gemstones
Mining of chemical and fertilizer minerals
Mining of quarrying of abrasive materials
Mining of mica, graphite and asbestos
"Quarrying of stones (marble/granite/dolomite), sand and clay"
Other mining and quarrying
Mining and production of salt
Other mining and quarrying n.e.c</t>
  </si>
  <si>
    <t>Mining, Quarrying &amp; Minerals</t>
  </si>
  <si>
    <t>Chapter 27</t>
  </si>
  <si>
    <t>Salts and Marbles</t>
  </si>
  <si>
    <t>Chapter 25</t>
  </si>
  <si>
    <r>
      <rPr>
        <rFont val="Times New Roman"/>
        <color rgb="FF231F20"/>
        <sz val="12.0"/>
      </rPr>
      <t>B2</t>
    </r>
  </si>
  <si>
    <r>
      <rPr>
        <rFont val="Times New Roman"/>
        <color rgb="FF231F20"/>
        <sz val="12.0"/>
      </rPr>
      <t>Extraction of Crude Petroleum &amp; Natural gas</t>
    </r>
  </si>
  <si>
    <t>Oil and Gas Exploration</t>
  </si>
  <si>
    <t>Chapter 55</t>
  </si>
  <si>
    <t>Man-made staple fibres</t>
  </si>
  <si>
    <r>
      <rPr>
        <rFont val="Times New Roman"/>
        <color rgb="FF231F20"/>
        <sz val="12.0"/>
      </rPr>
      <t>B3</t>
    </r>
  </si>
  <si>
    <t>Mining of Metal Ores</t>
  </si>
  <si>
    <t>Chapter 56</t>
  </si>
  <si>
    <t>Cables,ropes, felt and nonwovens,cordage, wadding; special yarns; twine and articles thereof</t>
  </si>
  <si>
    <r>
      <rPr>
        <rFont val="Times New Roman"/>
        <color rgb="FF231F20"/>
        <sz val="12.0"/>
      </rPr>
      <t>B4</t>
    </r>
  </si>
  <si>
    <t>Other Mining &amp; Quarrying Activities</t>
  </si>
  <si>
    <t>Chapter 70</t>
  </si>
  <si>
    <t xml:space="preserve">Glass and glassware products
</t>
  </si>
  <si>
    <r>
      <rPr>
        <rFont val="Times New Roman"/>
        <color rgb="FF231F20"/>
        <sz val="12.0"/>
      </rPr>
      <t>B5</t>
    </r>
  </si>
  <si>
    <t>Mining Support Services activities</t>
  </si>
  <si>
    <r>
      <rPr>
        <rFont val="Times New Roman"/>
        <color rgb="FF231F20"/>
        <sz val="12.0"/>
      </rPr>
      <t>C</t>
    </r>
  </si>
  <si>
    <r>
      <rPr>
        <rFont val="Times New Roman"/>
        <color rgb="FF231F20"/>
        <sz val="12.0"/>
      </rPr>
      <t>Manufacturing</t>
    </r>
  </si>
  <si>
    <r>
      <rPr>
        <rFont val="Times New Roman"/>
        <b/>
        <color rgb="FF231F20"/>
        <sz val="12.0"/>
      </rPr>
      <t>C1</t>
    </r>
  </si>
  <si>
    <t>Food, beverages and tobacco products</t>
  </si>
  <si>
    <t>Production, processing and preservation of meat and meat products
Production, processing and preservation of fish and fish products
Manufacture of vegetable oil, animal oil and fats
Processing of fruits, vegetables and edible nuts
Manufacture of dairy products
Manufacture of sugar
Manufacture of cocoa, chocolates and sugar confectionery
Flour milling
Rice milling
Dal milling
Manufacture of other grain mill products
Manufacture of bakery products
Manufacture of starch products
Manufacture of animal feeds
Manufacture of other food products
Manufacturing of wines
Manufacture of beer
Manufacture of malt liquors
Distilling and blending of spirits, production of ethyl alcohol
Manufacture of mineral water
Manufacture of soft drinks
Manufacture of other non-alcoholic
beverages
Manufacture of tobacco products</t>
  </si>
  <si>
    <r>
      <rPr>
        <rFont val="Times New Roman"/>
        <color rgb="FF231F20"/>
        <sz val="12.0"/>
      </rPr>
      <t>Food, beverages and tobacco products</t>
    </r>
  </si>
  <si>
    <r>
      <rPr>
        <rFont val="Times New Roman"/>
        <color rgb="FF231F20"/>
        <sz val="12.0"/>
      </rPr>
      <t>Food, beverages and tobacco products</t>
    </r>
  </si>
  <si>
    <t>Chapter 24
Chapter 21
Chapter 20
Chapter 19
Chapter 18
Chapter 15
Chapter 22
Chapter 17
Meat
Chapter 2
Chapter 3
Chapter 4</t>
  </si>
  <si>
    <r>
      <rPr>
        <rFont val="Times New Roman"/>
        <color rgb="FF231F20"/>
        <sz val="12.0"/>
      </rPr>
      <t>C2</t>
    </r>
  </si>
  <si>
    <r>
      <rPr>
        <rFont val="Times New Roman"/>
        <color rgb="FF231F20"/>
        <sz val="12.0"/>
      </rPr>
      <t>Textile, leather and other apparel products</t>
    </r>
  </si>
  <si>
    <t>Manufacture of textiles (other than by handloom)"
Manufacture of textiles using handlooms (khadi)
Manufacture of carpet, rugs, blankets, shawls etc. (other than by hand)"
Manufacture of carpet, rugs, blankets, shawls etc. by hand"
Manufacture of wearing apparel
Tanning and dressing of leather
Manufacture of luggage, handbags and the like saddler and harness
Manufacture of footwear
Manufacture of man-made fibers</t>
  </si>
  <si>
    <t>Textile</t>
  </si>
  <si>
    <t>Leather</t>
  </si>
  <si>
    <r>
      <rPr>
        <rFont val="Times New Roman"/>
        <color rgb="FF231F20"/>
        <sz val="12.0"/>
      </rPr>
      <t>Textile, leather and other apparel products</t>
    </r>
  </si>
  <si>
    <t>Leather:
Chapter 41
Chapter 42
Chapter 43
Chapter 64
Textile:
Chapter 50
Chapter 51
Chapter 52
Chapter 53
Chapter 54
Chapter 57
Chapter 58
Chapter 59
Chapter 60
Chapter 61
Chapter 62
Chapter 63</t>
  </si>
  <si>
    <r>
      <rPr>
        <rFont val="Times New Roman"/>
        <color rgb="FF231F20"/>
        <sz val="12.0"/>
      </rPr>
      <t>C3</t>
    </r>
  </si>
  <si>
    <r>
      <rPr>
        <rFont val="Times New Roman"/>
        <color rgb="FF231F20"/>
        <sz val="12.0"/>
      </rPr>
      <t xml:space="preserve">Wood and wood products, furniture, paper
</t>
    </r>
    <r>
      <rPr>
        <rFont val="Times New Roman"/>
        <color rgb="FF231F20"/>
        <sz val="12.0"/>
      </rPr>
      <t>and paper products</t>
    </r>
  </si>
  <si>
    <t>Manufacture of wood and wood products, cork, straw and plaiting material
Manufacture of paper and paper products</t>
  </si>
  <si>
    <t>Paper - industrial</t>
  </si>
  <si>
    <t>Furniture</t>
  </si>
  <si>
    <t xml:space="preserve">Paper and furniture </t>
  </si>
  <si>
    <t>Wood:
Chapter 44
Chapter 47</t>
  </si>
  <si>
    <r>
      <rPr>
        <rFont val="Times New Roman"/>
        <color rgb="FF231F20"/>
        <sz val="12.0"/>
      </rPr>
      <t>C4</t>
    </r>
  </si>
  <si>
    <r>
      <rPr>
        <rFont val="Times New Roman"/>
        <color rgb="FF231F20"/>
        <sz val="12.0"/>
      </rPr>
      <t>Printing, reproduction of recorded media</t>
    </r>
  </si>
  <si>
    <t>Publishing, printing and reproduction of recorded media</t>
  </si>
  <si>
    <t>Paper - non industrial</t>
  </si>
  <si>
    <t>Chapter 48
Chapter 49</t>
  </si>
  <si>
    <r>
      <rPr>
        <rFont val="Times New Roman"/>
        <color rgb="FF231F20"/>
        <sz val="12.0"/>
      </rPr>
      <t>C5</t>
    </r>
  </si>
  <si>
    <r>
      <rPr>
        <rFont val="Times New Roman"/>
        <color rgb="FF231F20"/>
        <sz val="12.0"/>
      </rPr>
      <t>Coke and refined petroleum products</t>
    </r>
  </si>
  <si>
    <t>Manufacture of coke oven products
Manufacture of refined petroleum products</t>
  </si>
  <si>
    <t>Petroleum and petroleum Products</t>
  </si>
  <si>
    <r>
      <rPr>
        <rFont val="Times New Roman"/>
        <color rgb="FF231F20"/>
        <sz val="12.0"/>
      </rPr>
      <t>C6</t>
    </r>
  </si>
  <si>
    <r>
      <rPr>
        <rFont val="Times New Roman"/>
        <color rgb="FF231F20"/>
        <sz val="12.0"/>
      </rPr>
      <t>Chemical and chemical products, pharmaceuticals, medicinal chemical and botanical products</t>
    </r>
  </si>
  <si>
    <t>Processing of nuclear fuel
Manufacture of fertilizers and nitrogen compounds"
Manufacture of paints, varnishes and similar coatings"
Manufacture of pharmaceuticals, medicinal chemicals and botanical products
Manufacture of soap and detergents
Manufacture of other chemical products</t>
  </si>
  <si>
    <t>Pharmaceuticals</t>
  </si>
  <si>
    <t>Chemicals</t>
  </si>
  <si>
    <t>Chemicals and Pharmaceuticals</t>
  </si>
  <si>
    <t>Chapter 30
Chapter 31
Chapter 34
Chapter 36
Chapter 38</t>
  </si>
  <si>
    <r>
      <rPr>
        <rFont val="Times New Roman"/>
        <color rgb="FF231F20"/>
        <sz val="12.0"/>
      </rPr>
      <t>C7</t>
    </r>
  </si>
  <si>
    <t>Metal and metal products</t>
  </si>
  <si>
    <r>
      <rPr>
        <rFont val="Times New Roman"/>
        <color rgb="FF231F20"/>
        <sz val="12.0"/>
      </rPr>
      <t>Metal and metal products</t>
    </r>
  </si>
  <si>
    <r>
      <rPr>
        <rFont val="Times New Roman"/>
        <color rgb="FF231F20"/>
        <sz val="12.0"/>
      </rPr>
      <t>Metal and metal products</t>
    </r>
  </si>
  <si>
    <t>Chapter 72
Chapter 74
Chapter 75
Chapter 76
Chapter 78
Chapter 79
Chapter 80
Chapter 81
Chapter 82
Chapter 83
Chapter 84
Chapter 85
Chapter 86</t>
  </si>
  <si>
    <r>
      <rPr>
        <rFont val="Times New Roman"/>
        <color rgb="FF231F20"/>
        <sz val="12.0"/>
      </rPr>
      <t>C8</t>
    </r>
  </si>
  <si>
    <r>
      <rPr>
        <rFont val="Times New Roman"/>
        <color rgb="FF231F20"/>
        <sz val="12.0"/>
      </rPr>
      <t xml:space="preserve">Plastic products, non-metallic mineral products, rubber products, fabricated metal products
</t>
    </r>
    <r>
      <rPr>
        <rFont val="Times New Roman"/>
        <i/>
        <color rgb="FF231F20"/>
        <sz val="12.0"/>
      </rPr>
      <t xml:space="preserve">Note Tejash: 
Clay Product and Refractory Manufacturing
Glass and Glass Product Manufacturing
Cement and Concrete Product Manufacturing
Lime and Gypsum Product Manufacturing
Sand, gravel, stone (refer list non metallic minerals)
Fabricated metals are those that take a shape post fabrication
</t>
    </r>
    <r>
      <rPr>
        <rFont val="Times New Roman"/>
        <color rgb="FF231F20"/>
        <sz val="12.0"/>
      </rPr>
      <t xml:space="preserve">List of non metallic mineral products: </t>
    </r>
    <r>
      <rPr>
        <rFont val="Times New Roman"/>
        <color rgb="FF1155CC"/>
        <sz val="12.0"/>
        <u/>
      </rPr>
      <t xml:space="preserve">https://ibm.gov.in/?c=pages&amp;m=index&amp;id=359
</t>
    </r>
    <r>
      <rPr>
        <rFont val="Times New Roman"/>
        <color rgb="FF231F20"/>
        <sz val="12.0"/>
      </rPr>
      <t>Non-metallic mineral products comprise of the production of cement, ceramics, glass, and lime. These manufacturing sectors are characterised by the transformation of naturally occurring minerals such as limestone, silica, and clays through an energy‑intensive process. The end products range from bricks and tiles to glass and tableware.</t>
    </r>
  </si>
  <si>
    <t xml:space="preserve">Manufacture of plastics in primary forms and of synthetic rubber
Manufacture of rubber products
Manufacture of plastic products
</t>
  </si>
  <si>
    <t>Plastic</t>
  </si>
  <si>
    <t>Rubber &amp; Rubber Products</t>
  </si>
  <si>
    <t>Fabricated metal</t>
  </si>
  <si>
    <t xml:space="preserve"> non-metallic products</t>
  </si>
  <si>
    <t>Plastic products, non-metallic mineral products, rubber products, fabricated metal products</t>
  </si>
  <si>
    <t>Chapter 26
Chapter 39
Chapter 40</t>
  </si>
  <si>
    <r>
      <rPr>
        <rFont val="Times New Roman"/>
        <color rgb="FF231F20"/>
        <sz val="12.0"/>
      </rPr>
      <t>C9</t>
    </r>
  </si>
  <si>
    <r>
      <rPr>
        <rFont val="Times New Roman"/>
        <color rgb="FF231F20"/>
        <sz val="12.0"/>
      </rPr>
      <t xml:space="preserve">Computer, electronic, Communication and
</t>
    </r>
    <r>
      <rPr>
        <rFont val="Times New Roman"/>
        <color rgb="FF231F20"/>
        <sz val="12.0"/>
      </rPr>
      <t>scientific measuring &amp; control equipment</t>
    </r>
  </si>
  <si>
    <t>Electric Equipment</t>
  </si>
  <si>
    <r>
      <rPr>
        <rFont val="Times New Roman"/>
        <color rgb="FF231F20"/>
        <sz val="12.0"/>
      </rPr>
      <t>C10</t>
    </r>
  </si>
  <si>
    <t>Electrical equipment, General Purpose and Special purpose Machinery &amp; equipment, Transport equipment</t>
  </si>
  <si>
    <t>Capital goods</t>
  </si>
  <si>
    <t>Electrical:
Chapter 85
Equipment
Chapter 86</t>
  </si>
  <si>
    <t>Chapter 88</t>
  </si>
  <si>
    <t>Aircrafts, satellites, parachutes</t>
  </si>
  <si>
    <r>
      <rPr>
        <rFont val="Times New Roman"/>
        <color rgb="FF231F20"/>
        <sz val="12.0"/>
      </rPr>
      <t>C11</t>
    </r>
  </si>
  <si>
    <r>
      <rPr>
        <rFont val="Times New Roman"/>
        <color rgb="FF231F20"/>
        <sz val="12.0"/>
      </rPr>
      <t xml:space="preserve">Motor vehicles, trailers, semi-trailers and other
</t>
    </r>
    <r>
      <rPr>
        <rFont val="Times New Roman"/>
        <color rgb="FF231F20"/>
        <sz val="12.0"/>
      </rPr>
      <t>Transport Vehicles</t>
    </r>
  </si>
  <si>
    <t>Automobiles</t>
  </si>
  <si>
    <t>Chapter 87</t>
  </si>
  <si>
    <t>Chapter 89</t>
  </si>
  <si>
    <t>Boats, ships, cargo vessels</t>
  </si>
  <si>
    <r>
      <rPr>
        <rFont val="Times New Roman"/>
        <color rgb="FF231F20"/>
        <sz val="12.0"/>
      </rPr>
      <t>C12</t>
    </r>
  </si>
  <si>
    <t>Repair &amp; installation of machinery &amp;
equipment, motor vehicles</t>
  </si>
  <si>
    <t>Engineering &amp; Machinery</t>
  </si>
  <si>
    <r>
      <rPr>
        <rFont val="Times New Roman"/>
        <color rgb="FF231F20"/>
        <sz val="12.0"/>
      </rPr>
      <t>C13</t>
    </r>
  </si>
  <si>
    <r>
      <rPr>
        <rFont val="Times New Roman"/>
        <color rgb="FF231F20"/>
        <sz val="12.0"/>
      </rPr>
      <t>Other manufacturing including jewelry, musical instruments, medical instruments, sports goods, etc. activities</t>
    </r>
  </si>
  <si>
    <t>Manufacture of cement, lime and plaster</t>
  </si>
  <si>
    <t>Gems and Jewellery Exports</t>
  </si>
  <si>
    <t>Others</t>
  </si>
  <si>
    <t>Gemns and Jewellery and other manufacturing</t>
  </si>
  <si>
    <t>Chapter 66
Chapter 67
Chapter 71
Chapter 91
Chapter 92
Chapter 93
Chapter 95        
Chapter 96</t>
  </si>
  <si>
    <r>
      <rPr>
        <rFont val="Times New Roman"/>
        <color rgb="FF231F20"/>
        <sz val="12.0"/>
      </rPr>
      <t>D</t>
    </r>
  </si>
  <si>
    <r>
      <rPr>
        <rFont val="Times New Roman"/>
        <color rgb="FF231F20"/>
        <sz val="12.0"/>
      </rPr>
      <t>Electricity, gas, steam and air condition supply</t>
    </r>
  </si>
  <si>
    <r>
      <rPr>
        <rFont val="Times New Roman"/>
        <color rgb="FF231F20"/>
        <sz val="12.0"/>
      </rPr>
      <t>D1</t>
    </r>
  </si>
  <si>
    <t>Electric power generation, transmission and distribution</t>
  </si>
  <si>
    <t>Power</t>
  </si>
  <si>
    <t>Chapter 28</t>
  </si>
  <si>
    <r>
      <rPr>
        <rFont val="Times New Roman"/>
        <color rgb="FF231F20"/>
        <sz val="12.0"/>
      </rPr>
      <t>D2</t>
    </r>
  </si>
  <si>
    <r>
      <rPr>
        <rFont val="Times New Roman"/>
        <color rgb="FF231F20"/>
        <sz val="12.0"/>
      </rPr>
      <t xml:space="preserve">Manufacture of gas, distribution of gaseous
</t>
    </r>
    <r>
      <rPr>
        <rFont val="Times New Roman"/>
        <color rgb="FF231F20"/>
        <sz val="12.0"/>
      </rPr>
      <t>fuels</t>
    </r>
  </si>
  <si>
    <r>
      <rPr>
        <rFont val="Times New Roman"/>
        <color rgb="FF231F20"/>
        <sz val="12.0"/>
      </rPr>
      <t>D3</t>
    </r>
  </si>
  <si>
    <r>
      <rPr>
        <rFont val="Times New Roman"/>
        <color rgb="FF231F20"/>
        <sz val="12.0"/>
      </rPr>
      <t>Steam and air conditioning supply</t>
    </r>
  </si>
  <si>
    <r>
      <rPr>
        <rFont val="Times New Roman"/>
        <color rgb="FF231F20"/>
        <sz val="12.0"/>
      </rPr>
      <t>E</t>
    </r>
  </si>
  <si>
    <r>
      <rPr>
        <rFont val="Times New Roman"/>
        <color rgb="FF231F20"/>
        <sz val="12.0"/>
      </rPr>
      <t xml:space="preserve">Water supply, sewerage and
</t>
    </r>
    <r>
      <rPr>
        <rFont val="Times New Roman"/>
        <color rgb="FF231F20"/>
        <sz val="12.0"/>
      </rPr>
      <t>waste management</t>
    </r>
  </si>
  <si>
    <r>
      <rPr>
        <rFont val="Times New Roman"/>
        <color rgb="FF231F20"/>
        <sz val="12.0"/>
      </rPr>
      <t>E1</t>
    </r>
  </si>
  <si>
    <t>Water collection, treatment and supply</t>
  </si>
  <si>
    <r>
      <rPr>
        <rFont val="Times New Roman"/>
        <color rgb="FF231F20"/>
        <sz val="12.0"/>
      </rPr>
      <t>E2</t>
    </r>
  </si>
  <si>
    <t>Sewerage</t>
  </si>
  <si>
    <r>
      <rPr>
        <rFont val="Times New Roman"/>
        <color rgb="FF231F20"/>
        <sz val="12.0"/>
      </rPr>
      <t>E3</t>
    </r>
  </si>
  <si>
    <r>
      <rPr>
        <rFont val="Times New Roman"/>
        <color rgb="FF231F20"/>
        <sz val="12.0"/>
      </rPr>
      <t>Waste collection, treatment and disposal activities, materials recovery and Other waste management services</t>
    </r>
  </si>
  <si>
    <r>
      <rPr>
        <rFont val="Times New Roman"/>
        <color rgb="FF231F20"/>
        <sz val="12.0"/>
      </rPr>
      <t>F</t>
    </r>
  </si>
  <si>
    <r>
      <rPr>
        <rFont val="Times New Roman"/>
        <b/>
        <color rgb="FF231F20"/>
        <sz val="12.0"/>
      </rPr>
      <t>Construction</t>
    </r>
  </si>
  <si>
    <r>
      <rPr>
        <rFont val="Times New Roman"/>
        <b/>
        <color rgb="FF231F20"/>
        <sz val="12.0"/>
      </rPr>
      <t>F1</t>
    </r>
  </si>
  <si>
    <r>
      <rPr>
        <rFont val="Times New Roman"/>
        <b/>
        <color rgb="FF231F20"/>
        <sz val="12.0"/>
      </rPr>
      <t>Buildings</t>
    </r>
  </si>
  <si>
    <t>Chapter 68
Chapter 69</t>
  </si>
  <si>
    <r>
      <rPr>
        <rFont val="Times New Roman"/>
        <b/>
        <color rgb="FF231F20"/>
        <sz val="12.0"/>
      </rPr>
      <t>F2</t>
    </r>
  </si>
  <si>
    <t>Roads, railways, Utility projects</t>
  </si>
  <si>
    <r>
      <rPr>
        <rFont val="Times New Roman"/>
        <b/>
        <color rgb="FF231F20"/>
        <sz val="12.0"/>
      </rPr>
      <t>F3</t>
    </r>
  </si>
  <si>
    <r>
      <rPr>
        <rFont val="Times New Roman"/>
        <b/>
        <color rgb="FF231F20"/>
        <sz val="12.0"/>
      </rPr>
      <t>Demolition &amp; site preparation, Electrical, plumbing &amp; other Specialized construction Activities</t>
    </r>
  </si>
  <si>
    <r>
      <rPr>
        <rFont val="Times New Roman"/>
        <color rgb="FF231F20"/>
        <sz val="12.0"/>
      </rPr>
      <t>G</t>
    </r>
  </si>
  <si>
    <r>
      <rPr>
        <rFont val="Times New Roman"/>
        <color rgb="FF231F20"/>
        <sz val="12.0"/>
      </rPr>
      <t>Trade</t>
    </r>
  </si>
  <si>
    <r>
      <rPr>
        <rFont val="Times New Roman"/>
        <color rgb="FF231F20"/>
        <sz val="12.0"/>
      </rPr>
      <t>G1</t>
    </r>
  </si>
  <si>
    <t>Wholesale Trading</t>
  </si>
  <si>
    <r>
      <rPr>
        <rFont val="Times New Roman"/>
        <color rgb="FF231F20"/>
        <sz val="12.0"/>
      </rPr>
      <t>G2</t>
    </r>
  </si>
  <si>
    <r>
      <rPr>
        <rFont val="Times New Roman"/>
        <color rgb="FF231F20"/>
        <sz val="12.0"/>
      </rPr>
      <t>Retail Trading</t>
    </r>
  </si>
  <si>
    <r>
      <rPr>
        <rFont val="Times New Roman"/>
        <color rgb="FF231F20"/>
        <sz val="12.0"/>
      </rPr>
      <t>H</t>
    </r>
  </si>
  <si>
    <r>
      <rPr>
        <rFont val="Times New Roman"/>
        <color rgb="FF231F20"/>
        <sz val="12.0"/>
      </rPr>
      <t>Transport and storage</t>
    </r>
  </si>
  <si>
    <r>
      <rPr>
        <rFont val="Times New Roman"/>
        <color rgb="FF231F20"/>
        <sz val="12.0"/>
      </rPr>
      <t>H1</t>
    </r>
  </si>
  <si>
    <r>
      <rPr>
        <rFont val="Times New Roman"/>
        <color rgb="FF231F20"/>
        <sz val="12.0"/>
      </rPr>
      <t>Land Transport via Road</t>
    </r>
  </si>
  <si>
    <t>Transportation</t>
  </si>
  <si>
    <r>
      <rPr>
        <rFont val="Times New Roman"/>
        <color rgb="FF231F20"/>
        <sz val="12.0"/>
      </rPr>
      <t>H2</t>
    </r>
  </si>
  <si>
    <r>
      <rPr>
        <rFont val="Times New Roman"/>
        <color rgb="FF231F20"/>
        <sz val="12.0"/>
      </rPr>
      <t>Land transport via Railways &amp; Pipelines</t>
    </r>
  </si>
  <si>
    <r>
      <rPr>
        <rFont val="Times New Roman"/>
        <color rgb="FF231F20"/>
        <sz val="12.0"/>
      </rPr>
      <t>H3</t>
    </r>
  </si>
  <si>
    <r>
      <rPr>
        <rFont val="Times New Roman"/>
        <color rgb="FF231F20"/>
        <sz val="12.0"/>
      </rPr>
      <t>Water transport</t>
    </r>
  </si>
  <si>
    <r>
      <rPr>
        <rFont val="Times New Roman"/>
        <color rgb="FF231F20"/>
        <sz val="12.0"/>
      </rPr>
      <t>H4</t>
    </r>
  </si>
  <si>
    <r>
      <rPr>
        <rFont val="Times New Roman"/>
        <color rgb="FF231F20"/>
        <sz val="12.0"/>
      </rPr>
      <t>Air transport</t>
    </r>
  </si>
  <si>
    <r>
      <rPr>
        <rFont val="Times New Roman"/>
        <color rgb="FF231F20"/>
        <sz val="12.0"/>
      </rPr>
      <t>H5</t>
    </r>
  </si>
  <si>
    <r>
      <rPr>
        <rFont val="Times New Roman"/>
        <color rgb="FF231F20"/>
        <sz val="12.0"/>
      </rPr>
      <t xml:space="preserve">Services incidental to land, water &amp; air
</t>
    </r>
    <r>
      <rPr>
        <rFont val="Times New Roman"/>
        <color rgb="FF231F20"/>
        <sz val="12.0"/>
      </rPr>
      <t>transportation</t>
    </r>
  </si>
  <si>
    <r>
      <rPr>
        <rFont val="Times New Roman"/>
        <color rgb="FF231F20"/>
        <sz val="12.0"/>
      </rPr>
      <t>H6</t>
    </r>
  </si>
  <si>
    <r>
      <rPr>
        <rFont val="Times New Roman"/>
        <color rgb="FF231F20"/>
        <sz val="12.0"/>
      </rPr>
      <t>Warehousing and storage</t>
    </r>
  </si>
  <si>
    <r>
      <rPr>
        <rFont val="Times New Roman"/>
        <color rgb="FF231F20"/>
        <sz val="12.0"/>
      </rPr>
      <t>H7</t>
    </r>
  </si>
  <si>
    <r>
      <rPr>
        <rFont val="Times New Roman"/>
        <color rgb="FF231F20"/>
        <sz val="12.0"/>
      </rPr>
      <t>Postal &amp; Courier activities</t>
    </r>
  </si>
  <si>
    <t>Services - others</t>
  </si>
  <si>
    <r>
      <rPr>
        <rFont val="Times New Roman"/>
        <color rgb="FF231F20"/>
        <sz val="12.0"/>
      </rPr>
      <t>I</t>
    </r>
  </si>
  <si>
    <r>
      <rPr>
        <rFont val="Times New Roman"/>
        <b/>
        <color rgb="FF231F20"/>
        <sz val="12.0"/>
      </rPr>
      <t>Accommodation and Food</t>
    </r>
  </si>
  <si>
    <r>
      <rPr>
        <rFont val="Times New Roman"/>
        <b/>
        <color rgb="FF231F20"/>
        <sz val="12.0"/>
      </rPr>
      <t>I1</t>
    </r>
  </si>
  <si>
    <r>
      <rPr>
        <rFont val="Times New Roman"/>
        <b/>
        <color rgb="FF231F20"/>
        <sz val="12.0"/>
      </rPr>
      <t>Accommodation services provided by Hotel,</t>
    </r>
  </si>
  <si>
    <t>Hotel</t>
  </si>
  <si>
    <r>
      <rPr>
        <rFont val="Times New Roman"/>
        <b/>
        <color rgb="FF231F20"/>
        <sz val="12.0"/>
      </rPr>
      <t>I2</t>
    </r>
  </si>
  <si>
    <r>
      <rPr>
        <rFont val="Times New Roman"/>
        <b/>
        <color rgb="FF231F20"/>
        <sz val="12.0"/>
      </rPr>
      <t>Food and beverage services provided by</t>
    </r>
  </si>
  <si>
    <r>
      <rPr>
        <rFont val="Times New Roman"/>
        <color rgb="FF231F20"/>
        <sz val="12.0"/>
      </rPr>
      <t>J</t>
    </r>
  </si>
  <si>
    <r>
      <rPr>
        <rFont val="Times New Roman"/>
        <color rgb="FF231F20"/>
        <sz val="12.0"/>
      </rPr>
      <t>Information and</t>
    </r>
  </si>
  <si>
    <r>
      <rPr>
        <rFont val="Times New Roman"/>
        <color rgb="FF231F20"/>
        <sz val="12.0"/>
      </rPr>
      <t>J1</t>
    </r>
  </si>
  <si>
    <r>
      <rPr>
        <rFont val="Times New Roman"/>
        <color rgb="FF231F20"/>
        <sz val="12.0"/>
      </rPr>
      <t>Publishing of Newspapers, Books, periodicals,</t>
    </r>
  </si>
  <si>
    <t>Media, Entertainment &amp; Advertisement</t>
  </si>
  <si>
    <r>
      <rPr>
        <rFont val="Times New Roman"/>
        <color rgb="FF231F20"/>
        <sz val="12.0"/>
      </rPr>
      <t>J2</t>
    </r>
  </si>
  <si>
    <r>
      <rPr>
        <rFont val="Times New Roman"/>
        <color rgb="FF231F20"/>
        <sz val="12.0"/>
      </rPr>
      <t>Publishing of computer operating systems,</t>
    </r>
  </si>
  <si>
    <r>
      <rPr>
        <rFont val="Times New Roman"/>
        <color rgb="FF231F20"/>
        <sz val="12.0"/>
      </rPr>
      <t>J3</t>
    </r>
  </si>
  <si>
    <r>
      <rPr>
        <rFont val="Times New Roman"/>
        <color rgb="FF231F20"/>
        <sz val="12.0"/>
      </rPr>
      <t>Motion picture, video and television</t>
    </r>
  </si>
  <si>
    <t>Chapter 37</t>
  </si>
  <si>
    <r>
      <rPr>
        <rFont val="Times New Roman"/>
        <color rgb="FF231F20"/>
        <sz val="12.0"/>
      </rPr>
      <t>J4</t>
    </r>
  </si>
  <si>
    <r>
      <rPr>
        <rFont val="Times New Roman"/>
        <color rgb="FF231F20"/>
        <sz val="12.0"/>
      </rPr>
      <t>Broadcasting and programming activities</t>
    </r>
  </si>
  <si>
    <r>
      <rPr>
        <rFont val="Times New Roman"/>
        <color rgb="FF231F20"/>
        <sz val="12.0"/>
      </rPr>
      <t>J5</t>
    </r>
  </si>
  <si>
    <r>
      <rPr>
        <rFont val="Times New Roman"/>
        <color rgb="FF231F20"/>
        <sz val="12.0"/>
      </rPr>
      <t>Wired, wireless or satellite Telecommunication</t>
    </r>
  </si>
  <si>
    <r>
      <rPr>
        <rFont val="Times New Roman"/>
        <color rgb="FF231F20"/>
        <sz val="12.0"/>
      </rPr>
      <t>J6</t>
    </r>
  </si>
  <si>
    <r>
      <rPr>
        <rFont val="Times New Roman"/>
        <color rgb="FF231F20"/>
        <sz val="12.0"/>
      </rPr>
      <t>Computer programming, consultancy and</t>
    </r>
  </si>
  <si>
    <t>IT</t>
  </si>
  <si>
    <r>
      <rPr>
        <rFont val="Times New Roman"/>
        <color rgb="FF231F20"/>
        <sz val="12.0"/>
      </rPr>
      <t>J7</t>
    </r>
  </si>
  <si>
    <r>
      <rPr>
        <rFont val="Times New Roman"/>
        <color rgb="FF231F20"/>
        <sz val="12.0"/>
      </rPr>
      <t>Data processing, hosting and related activities;</t>
    </r>
  </si>
  <si>
    <r>
      <rPr>
        <rFont val="Times New Roman"/>
        <color rgb="FF231F20"/>
        <sz val="12.0"/>
      </rPr>
      <t>J8</t>
    </r>
  </si>
  <si>
    <r>
      <rPr>
        <rFont val="Times New Roman"/>
        <color rgb="FF231F20"/>
        <sz val="12.0"/>
      </rPr>
      <t>Other information &amp; communication service</t>
    </r>
  </si>
  <si>
    <r>
      <rPr>
        <rFont val="Times New Roman"/>
        <color rgb="FF231F20"/>
        <sz val="12.0"/>
      </rPr>
      <t>K</t>
    </r>
  </si>
  <si>
    <r>
      <rPr>
        <rFont val="Times New Roman"/>
        <color rgb="FF231F20"/>
        <sz val="12.0"/>
      </rPr>
      <t>Financial and insurance Service</t>
    </r>
  </si>
  <si>
    <r>
      <rPr>
        <rFont val="Times New Roman"/>
        <b/>
        <color rgb="FF231F20"/>
        <sz val="12.0"/>
      </rPr>
      <t>K1</t>
    </r>
  </si>
  <si>
    <r>
      <rPr>
        <rFont val="Times New Roman"/>
        <b/>
        <color rgb="FF231F20"/>
        <sz val="12.0"/>
      </rPr>
      <t>Banking activities by Central, Commercial and</t>
    </r>
  </si>
  <si>
    <t>Banking</t>
  </si>
  <si>
    <r>
      <rPr>
        <rFont val="Times New Roman"/>
        <b/>
        <color rgb="FF231F20"/>
        <sz val="12.0"/>
      </rPr>
      <t>K2</t>
    </r>
  </si>
  <si>
    <r>
      <rPr>
        <rFont val="Times New Roman"/>
        <b/>
        <color rgb="FF231F20"/>
        <sz val="12.0"/>
      </rPr>
      <t>Activities by Trusts, funds and other financial</t>
    </r>
  </si>
  <si>
    <r>
      <rPr>
        <rFont val="Times New Roman"/>
        <b/>
        <color rgb="FF231F20"/>
        <sz val="12.0"/>
      </rPr>
      <t>K3</t>
    </r>
  </si>
  <si>
    <r>
      <rPr>
        <rFont val="Times New Roman"/>
        <b/>
        <color rgb="FF231F20"/>
        <sz val="12.0"/>
      </rPr>
      <t>Life/Non-life Insurance and Reinsurance</t>
    </r>
  </si>
  <si>
    <t>Life insurance</t>
  </si>
  <si>
    <r>
      <rPr>
        <rFont val="Times New Roman"/>
        <b/>
        <color rgb="FF231F20"/>
        <sz val="12.0"/>
      </rPr>
      <t>K4</t>
    </r>
  </si>
  <si>
    <r>
      <rPr>
        <rFont val="Times New Roman"/>
        <b/>
        <color rgb="FF231F20"/>
        <sz val="12.0"/>
      </rPr>
      <t>Pension Fund activities</t>
    </r>
  </si>
  <si>
    <t>Financial services other than banking</t>
  </si>
  <si>
    <r>
      <rPr>
        <rFont val="Times New Roman"/>
        <b/>
        <color rgb="FF231F20"/>
        <sz val="12.0"/>
      </rPr>
      <t>K5</t>
    </r>
  </si>
  <si>
    <r>
      <rPr>
        <rFont val="Times New Roman"/>
        <b/>
        <color rgb="FF231F20"/>
        <sz val="12.0"/>
      </rPr>
      <t>Financial and Credit leasing activities</t>
    </r>
  </si>
  <si>
    <r>
      <rPr>
        <rFont val="Times New Roman"/>
        <b/>
        <color rgb="FF231F20"/>
        <sz val="12.0"/>
      </rPr>
      <t>K6</t>
    </r>
  </si>
  <si>
    <r>
      <rPr>
        <rFont val="Times New Roman"/>
        <b/>
        <color rgb="FF231F20"/>
        <sz val="12.0"/>
      </rPr>
      <t>Fund Management Services</t>
    </r>
  </si>
  <si>
    <r>
      <rPr>
        <rFont val="Times New Roman"/>
        <b/>
        <color rgb="FF231F20"/>
        <sz val="12.0"/>
      </rPr>
      <t>K7</t>
    </r>
  </si>
  <si>
    <r>
      <rPr>
        <rFont val="Times New Roman"/>
        <b/>
        <color rgb="FF231F20"/>
        <sz val="12.0"/>
      </rPr>
      <t>Financial Advisory, brokerage and Consultancy</t>
    </r>
  </si>
  <si>
    <r>
      <rPr>
        <rFont val="Times New Roman"/>
        <b/>
        <color rgb="FF231F20"/>
        <sz val="12.0"/>
      </rPr>
      <t>K8</t>
    </r>
  </si>
  <si>
    <r>
      <rPr>
        <rFont val="Times New Roman"/>
        <b/>
        <color rgb="FF231F20"/>
        <sz val="12.0"/>
      </rPr>
      <t>Other financial activities</t>
    </r>
  </si>
  <si>
    <r>
      <rPr>
        <rFont val="Times New Roman"/>
        <color rgb="FF231F20"/>
        <sz val="12.0"/>
      </rPr>
      <t>L</t>
    </r>
  </si>
  <si>
    <r>
      <rPr>
        <rFont val="Times New Roman"/>
        <color rgb="FF231F20"/>
        <sz val="12.0"/>
      </rPr>
      <t>Real Estate</t>
    </r>
  </si>
  <si>
    <r>
      <rPr>
        <rFont val="Times New Roman"/>
        <color rgb="FF231F20"/>
        <sz val="12.0"/>
      </rPr>
      <t>L1</t>
    </r>
  </si>
  <si>
    <r>
      <rPr>
        <rFont val="Times New Roman"/>
        <color rgb="FF231F20"/>
        <sz val="12.0"/>
      </rPr>
      <t>Real estate activities with own or leased</t>
    </r>
  </si>
  <si>
    <t>Real estate</t>
  </si>
  <si>
    <r>
      <rPr>
        <rFont val="Times New Roman"/>
        <color rgb="FF231F20"/>
        <sz val="12.0"/>
      </rPr>
      <t>L2</t>
    </r>
  </si>
  <si>
    <r>
      <rPr>
        <rFont val="Times New Roman"/>
        <color rgb="FF231F20"/>
        <sz val="12.0"/>
      </rPr>
      <t>Real estate activities on fee or contract basis</t>
    </r>
  </si>
  <si>
    <r>
      <rPr>
        <rFont val="Times New Roman"/>
        <color rgb="FF231F20"/>
        <sz val="12.0"/>
      </rPr>
      <t>M</t>
    </r>
  </si>
  <si>
    <r>
      <rPr>
        <rFont val="Times New Roman"/>
        <color rgb="FF231F20"/>
        <sz val="12.0"/>
      </rPr>
      <t>Professional, Scientific and</t>
    </r>
  </si>
  <si>
    <r>
      <rPr>
        <rFont val="Times New Roman"/>
        <color rgb="FF231F20"/>
        <sz val="12.0"/>
      </rPr>
      <t>M1</t>
    </r>
  </si>
  <si>
    <r>
      <rPr>
        <rFont val="Times New Roman"/>
        <color rgb="FF231F20"/>
        <sz val="12.0"/>
      </rPr>
      <t>Legal activities</t>
    </r>
  </si>
  <si>
    <r>
      <rPr>
        <rFont val="Times New Roman"/>
        <color rgb="FF231F20"/>
        <sz val="12.0"/>
      </rPr>
      <t>M2</t>
    </r>
  </si>
  <si>
    <r>
      <rPr>
        <rFont val="Times New Roman"/>
        <color rgb="FF231F20"/>
        <sz val="12.0"/>
      </rPr>
      <t>Accounting, book keeping and auditing</t>
    </r>
  </si>
  <si>
    <r>
      <rPr>
        <rFont val="Times New Roman"/>
        <color rgb="FF231F20"/>
        <sz val="12.0"/>
      </rPr>
      <t>M3</t>
    </r>
  </si>
  <si>
    <r>
      <rPr>
        <rFont val="Times New Roman"/>
        <color rgb="FF231F20"/>
        <sz val="12.0"/>
      </rPr>
      <t>Management consultancy activities</t>
    </r>
  </si>
  <si>
    <t>Serivces - others</t>
  </si>
  <si>
    <r>
      <rPr>
        <rFont val="Times New Roman"/>
        <color rgb="FF231F20"/>
        <sz val="12.0"/>
      </rPr>
      <t>M4</t>
    </r>
  </si>
  <si>
    <r>
      <rPr>
        <rFont val="Times New Roman"/>
        <color rgb="FF231F20"/>
        <sz val="12.0"/>
      </rPr>
      <t>Architecture, engineering activities, technical</t>
    </r>
  </si>
  <si>
    <r>
      <rPr>
        <rFont val="Times New Roman"/>
        <color rgb="FF231F20"/>
        <sz val="12.0"/>
      </rPr>
      <t>M5</t>
    </r>
  </si>
  <si>
    <r>
      <rPr>
        <rFont val="Times New Roman"/>
        <color rgb="FF231F20"/>
        <sz val="12.0"/>
      </rPr>
      <t>Scientific research and development</t>
    </r>
  </si>
  <si>
    <r>
      <rPr>
        <rFont val="Times New Roman"/>
        <color rgb="FF231F20"/>
        <sz val="12.0"/>
      </rPr>
      <t>M6</t>
    </r>
  </si>
  <si>
    <r>
      <rPr>
        <rFont val="Times New Roman"/>
        <color rgb="FF231F20"/>
        <sz val="12.0"/>
      </rPr>
      <t>Advertising and market research</t>
    </r>
  </si>
  <si>
    <r>
      <rPr>
        <rFont val="Times New Roman"/>
        <color rgb="FF231F20"/>
        <sz val="12.0"/>
      </rPr>
      <t>M7</t>
    </r>
  </si>
  <si>
    <r>
      <rPr>
        <rFont val="Times New Roman"/>
        <color rgb="FF231F20"/>
        <sz val="12.0"/>
      </rPr>
      <t>Specialized Design &amp; Photographic activities</t>
    </r>
  </si>
  <si>
    <r>
      <rPr>
        <rFont val="Times New Roman"/>
        <color rgb="FF231F20"/>
        <sz val="12.0"/>
      </rPr>
      <t>M8</t>
    </r>
  </si>
  <si>
    <r>
      <rPr>
        <rFont val="Times New Roman"/>
        <color rgb="FF231F20"/>
        <sz val="12.0"/>
      </rPr>
      <t>Veterinary activities</t>
    </r>
  </si>
  <si>
    <r>
      <rPr>
        <rFont val="Times New Roman"/>
        <color rgb="FF231F20"/>
        <sz val="12.0"/>
      </rPr>
      <t>M9</t>
    </r>
  </si>
  <si>
    <r>
      <rPr>
        <rFont val="Times New Roman"/>
        <color rgb="FF231F20"/>
        <sz val="12.0"/>
      </rPr>
      <t>Other professional, scientific and technical</t>
    </r>
  </si>
  <si>
    <r>
      <rPr>
        <rFont val="Times New Roman"/>
        <color rgb="FF231F20"/>
        <sz val="12.0"/>
      </rPr>
      <t>N</t>
    </r>
  </si>
  <si>
    <r>
      <rPr>
        <rFont val="Times New Roman"/>
        <color rgb="FF231F20"/>
        <sz val="12.0"/>
      </rPr>
      <t>Support service to</t>
    </r>
  </si>
  <si>
    <r>
      <rPr>
        <rFont val="Times New Roman"/>
        <color rgb="FF231F20"/>
        <sz val="12.0"/>
      </rPr>
      <t>N1</t>
    </r>
  </si>
  <si>
    <t>Rental and leasing of motor vehicles,</t>
  </si>
  <si>
    <r>
      <rPr>
        <rFont val="Times New Roman"/>
        <color rgb="FF231F20"/>
        <sz val="12.0"/>
      </rPr>
      <t>N2</t>
    </r>
  </si>
  <si>
    <t>Placement agencies and HR management</t>
  </si>
  <si>
    <r>
      <rPr>
        <rFont val="Times New Roman"/>
        <color rgb="FF231F20"/>
        <sz val="12.0"/>
      </rPr>
      <t>N3</t>
    </r>
  </si>
  <si>
    <r>
      <rPr>
        <rFont val="Times New Roman"/>
        <color rgb="FF231F20"/>
        <sz val="12.0"/>
      </rPr>
      <t>Travel agency and tour operators</t>
    </r>
  </si>
  <si>
    <r>
      <rPr>
        <rFont val="Times New Roman"/>
        <color rgb="FF231F20"/>
        <sz val="12.0"/>
      </rPr>
      <t>N4</t>
    </r>
  </si>
  <si>
    <r>
      <rPr>
        <rFont val="Times New Roman"/>
        <color rgb="FF231F20"/>
        <sz val="12.0"/>
      </rPr>
      <t>Security and investigation activities</t>
    </r>
  </si>
  <si>
    <r>
      <rPr>
        <rFont val="Times New Roman"/>
        <color rgb="FF231F20"/>
        <sz val="12.0"/>
      </rPr>
      <t>N5</t>
    </r>
  </si>
  <si>
    <r>
      <rPr>
        <rFont val="Times New Roman"/>
        <color rgb="FF231F20"/>
        <sz val="12.0"/>
      </rPr>
      <t>Housekeeping &amp; maintenance service</t>
    </r>
  </si>
  <si>
    <r>
      <rPr>
        <rFont val="Times New Roman"/>
        <color rgb="FF231F20"/>
        <sz val="12.0"/>
      </rPr>
      <t>N6</t>
    </r>
  </si>
  <si>
    <r>
      <rPr>
        <rFont val="Times New Roman"/>
        <color rgb="FF231F20"/>
        <sz val="12.0"/>
      </rPr>
      <t>Office administrative and other business</t>
    </r>
  </si>
  <si>
    <r>
      <rPr>
        <rFont val="Times New Roman"/>
        <color rgb="FF231F20"/>
        <sz val="12.0"/>
      </rPr>
      <t>N7</t>
    </r>
  </si>
  <si>
    <r>
      <rPr>
        <rFont val="Times New Roman"/>
        <color rgb="FF231F20"/>
        <sz val="12.0"/>
      </rPr>
      <t>Other support services to organizations</t>
    </r>
  </si>
  <si>
    <r>
      <rPr>
        <rFont val="Times New Roman"/>
        <color rgb="FF231F20"/>
        <sz val="12.0"/>
      </rPr>
      <t>O</t>
    </r>
  </si>
  <si>
    <r>
      <rPr>
        <rFont val="Times New Roman"/>
        <color rgb="FF231F20"/>
        <sz val="12.0"/>
      </rPr>
      <t>Public Services by Government</t>
    </r>
  </si>
  <si>
    <r>
      <rPr>
        <rFont val="Times New Roman"/>
        <color rgb="FF231F20"/>
        <sz val="12.0"/>
      </rPr>
      <t>O1</t>
    </r>
  </si>
  <si>
    <r>
      <rPr>
        <rFont val="Times New Roman"/>
        <color rgb="FF231F20"/>
        <sz val="12.0"/>
      </rPr>
      <t>Administration relating to Executive,</t>
    </r>
  </si>
  <si>
    <r>
      <rPr>
        <rFont val="Times New Roman"/>
        <color rgb="FF231F20"/>
        <sz val="12.0"/>
      </rPr>
      <t>O2</t>
    </r>
  </si>
  <si>
    <r>
      <rPr>
        <rFont val="Times New Roman"/>
        <color rgb="FF231F20"/>
        <sz val="12.0"/>
      </rPr>
      <t>Regulation of healthcare, education, cultural</t>
    </r>
  </si>
  <si>
    <r>
      <rPr>
        <rFont val="Times New Roman"/>
        <color rgb="FF231F20"/>
        <sz val="12.0"/>
      </rPr>
      <t>O3</t>
    </r>
  </si>
  <si>
    <r>
      <rPr>
        <rFont val="Times New Roman"/>
        <color rgb="FF231F20"/>
        <sz val="12.0"/>
      </rPr>
      <t>Administration of activities relating to Foreign</t>
    </r>
  </si>
  <si>
    <r>
      <rPr>
        <rFont val="Times New Roman"/>
        <color rgb="FF231F20"/>
        <sz val="12.0"/>
      </rPr>
      <t>P</t>
    </r>
  </si>
  <si>
    <r>
      <rPr>
        <rFont val="Times New Roman"/>
        <color rgb="FF231F20"/>
        <sz val="12.0"/>
      </rPr>
      <t>Education</t>
    </r>
  </si>
  <si>
    <r>
      <rPr>
        <rFont val="Times New Roman"/>
        <color rgb="FF231F20"/>
        <sz val="12.0"/>
      </rPr>
      <t>P1</t>
    </r>
  </si>
  <si>
    <r>
      <rPr>
        <rFont val="Times New Roman"/>
        <color rgb="FF231F20"/>
        <sz val="12.0"/>
      </rPr>
      <t>Primary &amp; Secondary Education services</t>
    </r>
  </si>
  <si>
    <t>Education</t>
  </si>
  <si>
    <r>
      <rPr>
        <rFont val="Times New Roman"/>
        <color rgb="FF231F20"/>
        <sz val="12.0"/>
      </rPr>
      <t>P2</t>
    </r>
  </si>
  <si>
    <r>
      <rPr>
        <rFont val="Times New Roman"/>
        <color rgb="FF231F20"/>
        <sz val="12.0"/>
      </rPr>
      <t>Higher education, technical &amp; vocational</t>
    </r>
  </si>
  <si>
    <r>
      <rPr>
        <rFont val="Times New Roman"/>
        <color rgb="FF231F20"/>
        <sz val="12.0"/>
      </rPr>
      <t>P3</t>
    </r>
  </si>
  <si>
    <r>
      <rPr>
        <rFont val="Times New Roman"/>
        <color rgb="FF231F20"/>
        <sz val="12.0"/>
      </rPr>
      <t>Sports, recreation, cultural and other</t>
    </r>
  </si>
  <si>
    <t>Chapter 97</t>
  </si>
  <si>
    <r>
      <rPr>
        <rFont val="Times New Roman"/>
        <color rgb="FF231F20"/>
        <sz val="12.0"/>
      </rPr>
      <t>P4</t>
    </r>
  </si>
  <si>
    <r>
      <rPr>
        <rFont val="Times New Roman"/>
        <color rgb="FF231F20"/>
        <sz val="12.0"/>
      </rPr>
      <t>Educational support services</t>
    </r>
  </si>
  <si>
    <r>
      <rPr>
        <rFont val="Times New Roman"/>
        <color rgb="FF231F20"/>
        <sz val="12.0"/>
      </rPr>
      <t>Q</t>
    </r>
  </si>
  <si>
    <r>
      <rPr>
        <rFont val="Times New Roman"/>
        <color rgb="FF231F20"/>
        <sz val="12.0"/>
      </rPr>
      <t>Hospital and Medical Care</t>
    </r>
  </si>
  <si>
    <r>
      <rPr>
        <rFont val="Times New Roman"/>
        <color rgb="FF231F20"/>
        <sz val="12.0"/>
      </rPr>
      <t>Q1</t>
    </r>
  </si>
  <si>
    <r>
      <rPr>
        <rFont val="Times New Roman"/>
        <color rgb="FF231F20"/>
        <sz val="12.0"/>
      </rPr>
      <t>Hospital activities</t>
    </r>
  </si>
  <si>
    <t>Healthcare</t>
  </si>
  <si>
    <r>
      <rPr>
        <rFont val="Times New Roman"/>
        <color rgb="FF231F20"/>
        <sz val="12.0"/>
      </rPr>
      <t>Q2</t>
    </r>
  </si>
  <si>
    <r>
      <rPr>
        <rFont val="Times New Roman"/>
        <color rgb="FF231F20"/>
        <sz val="12.0"/>
      </rPr>
      <t>Medical and dental practice, Nursing,</t>
    </r>
  </si>
  <si>
    <r>
      <rPr>
        <rFont val="Times New Roman"/>
        <color rgb="FF231F20"/>
        <sz val="12.0"/>
      </rPr>
      <t>Q3</t>
    </r>
  </si>
  <si>
    <r>
      <rPr>
        <rFont val="Times New Roman"/>
        <color rgb="FF231F20"/>
        <sz val="12.0"/>
      </rPr>
      <t>Residential Nursing care activities</t>
    </r>
  </si>
  <si>
    <r>
      <rPr>
        <rFont val="Times New Roman"/>
        <color rgb="FF231F20"/>
        <sz val="12.0"/>
      </rPr>
      <t>Q4</t>
    </r>
  </si>
  <si>
    <r>
      <rPr>
        <rFont val="Times New Roman"/>
        <color rgb="FF231F20"/>
        <sz val="12.0"/>
      </rPr>
      <t>Residential care for elderly, disabled and other</t>
    </r>
  </si>
  <si>
    <r>
      <rPr>
        <rFont val="Times New Roman"/>
        <color rgb="FF231F20"/>
        <sz val="12.0"/>
      </rPr>
      <t>Q5</t>
    </r>
  </si>
  <si>
    <r>
      <rPr>
        <rFont val="Times New Roman"/>
        <color rgb="FF231F20"/>
        <sz val="12.0"/>
      </rPr>
      <t>Counseling, welfare, referral activities without</t>
    </r>
  </si>
  <si>
    <r>
      <rPr>
        <rFont val="Times New Roman"/>
        <color rgb="FF231F20"/>
        <sz val="12.0"/>
      </rPr>
      <t>Q6</t>
    </r>
  </si>
  <si>
    <r>
      <rPr>
        <rFont val="Times New Roman"/>
        <color rgb="FF231F20"/>
        <sz val="12.0"/>
      </rPr>
      <t>Other Hospital and Medical Care Activities</t>
    </r>
  </si>
  <si>
    <r>
      <rPr>
        <rFont val="Times New Roman"/>
        <color rgb="FF231F20"/>
        <sz val="12.0"/>
      </rPr>
      <t>R</t>
    </r>
  </si>
  <si>
    <r>
      <rPr>
        <rFont val="Times New Roman"/>
        <color rgb="FF231F20"/>
        <sz val="12.0"/>
      </rPr>
      <t>Arts, entertainment and</t>
    </r>
  </si>
  <si>
    <r>
      <rPr>
        <rFont val="Times New Roman"/>
        <color rgb="FF231F20"/>
        <sz val="12.0"/>
      </rPr>
      <t>R1</t>
    </r>
  </si>
  <si>
    <r>
      <rPr>
        <rFont val="Times New Roman"/>
        <color rgb="FF231F20"/>
        <sz val="12.0"/>
      </rPr>
      <t>Creative, arts and entertainment activities</t>
    </r>
  </si>
  <si>
    <t>Arts and culture</t>
  </si>
  <si>
    <r>
      <rPr>
        <rFont val="Times New Roman"/>
        <color rgb="FF231F20"/>
        <sz val="12.0"/>
      </rPr>
      <t>R2</t>
    </r>
  </si>
  <si>
    <r>
      <rPr>
        <rFont val="Times New Roman"/>
        <color rgb="FF231F20"/>
        <sz val="12.0"/>
      </rPr>
      <t>Library, archives, museums and other cultural</t>
    </r>
  </si>
  <si>
    <r>
      <rPr>
        <rFont val="Times New Roman"/>
        <color rgb="FF231F20"/>
        <sz val="12.0"/>
      </rPr>
      <t>R3</t>
    </r>
  </si>
  <si>
    <t>Gambling &amp; betting activities</t>
  </si>
  <si>
    <r>
      <rPr>
        <rFont val="Times New Roman"/>
        <color rgb="FF231F20"/>
        <sz val="12.0"/>
      </rPr>
      <t>R4</t>
    </r>
  </si>
  <si>
    <r>
      <rPr>
        <rFont val="Times New Roman"/>
        <color rgb="FF231F20"/>
        <sz val="12.0"/>
      </rPr>
      <t>Sports, amusement and recreation activities</t>
    </r>
  </si>
  <si>
    <r>
      <rPr>
        <rFont val="Times New Roman"/>
        <color rgb="FF231F20"/>
        <sz val="12.0"/>
      </rPr>
      <t>S</t>
    </r>
  </si>
  <si>
    <r>
      <rPr>
        <rFont val="Times New Roman"/>
        <color rgb="FF231F20"/>
        <sz val="12.0"/>
      </rPr>
      <t>Personal and Household service</t>
    </r>
  </si>
  <si>
    <r>
      <rPr>
        <rFont val="Times New Roman"/>
        <color rgb="FF231F20"/>
        <sz val="12.0"/>
      </rPr>
      <t>S1</t>
    </r>
  </si>
  <si>
    <r>
      <rPr>
        <rFont val="Times New Roman"/>
        <color rgb="FF231F20"/>
        <sz val="12.0"/>
      </rPr>
      <t>Activities of membership organisations</t>
    </r>
  </si>
  <si>
    <r>
      <rPr>
        <rFont val="Times New Roman"/>
        <color rgb="FF231F20"/>
        <sz val="12.0"/>
      </rPr>
      <t>S2</t>
    </r>
  </si>
  <si>
    <r>
      <rPr>
        <rFont val="Times New Roman"/>
        <color rgb="FF231F20"/>
        <sz val="12.0"/>
      </rPr>
      <t>Repair of computers and personal and</t>
    </r>
  </si>
  <si>
    <r>
      <rPr>
        <rFont val="Times New Roman"/>
        <color rgb="FF231F20"/>
        <sz val="12.0"/>
      </rPr>
      <t>S3</t>
    </r>
  </si>
  <si>
    <r>
      <rPr>
        <rFont val="Times New Roman"/>
        <color rgb="FF231F20"/>
        <sz val="12.0"/>
      </rPr>
      <t>Washing and cleaning of textile and fur</t>
    </r>
  </si>
  <si>
    <r>
      <rPr>
        <rFont val="Times New Roman"/>
        <color rgb="FF231F20"/>
        <sz val="12.0"/>
      </rPr>
      <t>S4</t>
    </r>
  </si>
  <si>
    <r>
      <rPr>
        <rFont val="Times New Roman"/>
        <color rgb="FF231F20"/>
        <sz val="12.0"/>
      </rPr>
      <t>Other Personal service activities</t>
    </r>
  </si>
  <si>
    <r>
      <rPr>
        <rFont val="Times New Roman"/>
        <color rgb="FF231F20"/>
        <sz val="12.0"/>
      </rPr>
      <t>T</t>
    </r>
  </si>
  <si>
    <r>
      <rPr>
        <rFont val="Times New Roman"/>
        <color rgb="FF231F20"/>
        <sz val="12.0"/>
      </rPr>
      <t>Goods and service producing</t>
    </r>
  </si>
  <si>
    <r>
      <rPr>
        <rFont val="Times New Roman"/>
        <color rgb="FF231F20"/>
        <sz val="12.0"/>
      </rPr>
      <t>T1</t>
    </r>
  </si>
  <si>
    <r>
      <rPr>
        <rFont val="Times New Roman"/>
        <color rgb="FF231F20"/>
        <sz val="12.0"/>
      </rPr>
      <t>Activities of households as employers of</t>
    </r>
  </si>
  <si>
    <r>
      <rPr>
        <rFont val="Times New Roman"/>
        <color rgb="FF231F20"/>
        <sz val="12.0"/>
      </rPr>
      <t>T2</t>
    </r>
  </si>
  <si>
    <r>
      <rPr>
        <rFont val="Times New Roman"/>
        <color rgb="FF231F20"/>
        <sz val="12.0"/>
      </rPr>
      <t>Undifferentiated goods and service producing</t>
    </r>
  </si>
  <si>
    <r>
      <rPr>
        <rFont val="Times New Roman"/>
        <color rgb="FF231F20"/>
        <sz val="12.0"/>
      </rPr>
      <t>U</t>
    </r>
  </si>
  <si>
    <r>
      <rPr>
        <rFont val="Times New Roman"/>
        <color rgb="FF231F20"/>
        <sz val="12.0"/>
      </rPr>
      <t>Activities of extraterritorial</t>
    </r>
  </si>
  <si>
    <r>
      <rPr>
        <rFont val="Times New Roman"/>
        <color rgb="FF231F20"/>
        <sz val="12.0"/>
      </rPr>
      <t>U1</t>
    </r>
  </si>
  <si>
    <r>
      <rPr>
        <rFont val="Times New Roman"/>
        <color rgb="FF231F20"/>
        <sz val="12.0"/>
      </rPr>
      <t>Activities of extraterritorial organizations such</t>
    </r>
  </si>
  <si>
    <t>Steel (or could be in metal and metal products)</t>
  </si>
  <si>
    <t>Chapter 72</t>
  </si>
  <si>
    <t>Copper and copper alloy products</t>
  </si>
  <si>
    <t>Chapter 74</t>
  </si>
  <si>
    <t>Nickel and nickel alloy products</t>
  </si>
  <si>
    <t>Chapter 75</t>
  </si>
  <si>
    <t>Aluminium and aluminium products</t>
  </si>
  <si>
    <t>Chapter 76</t>
  </si>
  <si>
    <t>Lead, lead foils and sheets</t>
  </si>
  <si>
    <t>Chapter 78</t>
  </si>
  <si>
    <t>Zinc bars,Zinc dust and sheets</t>
  </si>
  <si>
    <t>Chapter 79</t>
  </si>
  <si>
    <t>Tin, tin bars and profiles</t>
  </si>
  <si>
    <t>Chapter 80</t>
  </si>
  <si>
    <t>Cobalt, Magnesium, Bismuth and other base metals</t>
  </si>
  <si>
    <t>Chapter 81</t>
  </si>
  <si>
    <t>Chapter 82</t>
  </si>
  <si>
    <t>Chapter 83</t>
  </si>
  <si>
    <t>Chapter 84</t>
  </si>
  <si>
    <t>Chapter 85</t>
  </si>
  <si>
    <t>Chapter 86</t>
  </si>
  <si>
    <t>CW Industry</t>
  </si>
  <si>
    <t>MCA combos based on highest revenue share</t>
  </si>
  <si>
    <t>Comment</t>
  </si>
  <si>
    <t>MCA two year cut off</t>
  </si>
  <si>
    <t>AGRICULTURE AND ALLIED INDUSTRIES</t>
  </si>
  <si>
    <t>A1</t>
  </si>
  <si>
    <t>A2</t>
  </si>
  <si>
    <t>A3</t>
  </si>
  <si>
    <t>A4</t>
  </si>
  <si>
    <r>
      <rPr>
        <rFont val="Times New Roman"/>
        <color rgb="FF231F20"/>
        <sz val="12.0"/>
      </rPr>
      <t>B1</t>
    </r>
  </si>
  <si>
    <t>Create industry</t>
  </si>
  <si>
    <r>
      <rPr>
        <rFont val="Times New Roman"/>
        <color rgb="FF231F20"/>
        <sz val="12.0"/>
      </rPr>
      <t>B2</t>
    </r>
  </si>
  <si>
    <r>
      <rPr>
        <rFont val="Times New Roman"/>
        <color rgb="FF231F20"/>
        <sz val="12.0"/>
      </rPr>
      <t>B3</t>
    </r>
  </si>
  <si>
    <r>
      <rPr>
        <rFont val="Times New Roman"/>
        <color rgb="FF231F20"/>
        <sz val="12.0"/>
      </rPr>
      <t>B4</t>
    </r>
  </si>
  <si>
    <t>B5</t>
  </si>
  <si>
    <t>Food and beverages</t>
  </si>
  <si>
    <t>C1 + none of the HSN code doesnt include Chapter 24 codes</t>
  </si>
  <si>
    <t>Combo to me made</t>
  </si>
  <si>
    <t>NA</t>
  </si>
  <si>
    <t>C2</t>
  </si>
  <si>
    <t xml:space="preserve">Wood &amp; Wood Products / Paper industry
</t>
  </si>
  <si>
    <t>C3</t>
  </si>
  <si>
    <t xml:space="preserve">Cw industry: Chemicals, pharmaceuticals, and allied Industries
</t>
  </si>
  <si>
    <t>Advertising , media, and entertainment</t>
  </si>
  <si>
    <t>c4</t>
  </si>
  <si>
    <t>cba: MFG final</t>
  </si>
  <si>
    <t>Coke and refined petroleum products</t>
  </si>
  <si>
    <t>c5</t>
  </si>
  <si>
    <t xml:space="preserve">Chemicals, pharmaceuticals, and allied Industries
</t>
  </si>
  <si>
    <t>C6</t>
  </si>
  <si>
    <t>If find c7, run HSN code. If conclude auto components or automobiles then continue or else use C7</t>
  </si>
  <si>
    <t>C8</t>
  </si>
  <si>
    <t>Electronics and electrical equiment</t>
  </si>
  <si>
    <t>C9</t>
  </si>
  <si>
    <t>ENGINEERING AND CAPITAL GOODS</t>
  </si>
  <si>
    <t>If find c10, run HSN code. If conclude auto components or automobiles then continue or else use C10</t>
  </si>
  <si>
    <t>C11</t>
  </si>
  <si>
    <t>C12</t>
  </si>
  <si>
    <t>C13</t>
  </si>
  <si>
    <t xml:space="preserve">Electric Utilities </t>
  </si>
  <si>
    <t>D1</t>
  </si>
  <si>
    <t>Produce Gas and distribution of gaseous fuels</t>
  </si>
  <si>
    <t>D2</t>
  </si>
  <si>
    <t>Steam and air conditioning supply</t>
  </si>
  <si>
    <t>D3</t>
  </si>
  <si>
    <t>Water supply, sewerage and waste management</t>
  </si>
  <si>
    <t>E1</t>
  </si>
  <si>
    <t>E2</t>
  </si>
  <si>
    <t>E3</t>
  </si>
  <si>
    <t>Construction - Buildings</t>
  </si>
  <si>
    <t>F1</t>
  </si>
  <si>
    <t>Construction -  Roads, railways, Utility projects</t>
  </si>
  <si>
    <t>F2</t>
  </si>
  <si>
    <t>Construction - Demolition &amp; site preparation, Electrical, plumbing &amp; other Specialized construction Activities</t>
  </si>
  <si>
    <t>F3</t>
  </si>
  <si>
    <t>G1</t>
  </si>
  <si>
    <t>G2</t>
  </si>
  <si>
    <t>Transportation - road</t>
  </si>
  <si>
    <r>
      <rPr>
        <rFont val="Times New Roman"/>
        <color rgb="FF231F20"/>
        <sz val="12.0"/>
      </rPr>
      <t>H1</t>
    </r>
  </si>
  <si>
    <t>Transportation - rail and pipelines</t>
  </si>
  <si>
    <r>
      <rPr>
        <rFont val="Times New Roman"/>
        <color rgb="FF231F20"/>
        <sz val="12.0"/>
      </rPr>
      <t>H2</t>
    </r>
  </si>
  <si>
    <t>Transportation - water</t>
  </si>
  <si>
    <r>
      <rPr>
        <rFont val="Times New Roman"/>
        <color rgb="FF231F20"/>
        <sz val="12.0"/>
      </rPr>
      <t>H3</t>
    </r>
  </si>
  <si>
    <t>Transportation - air</t>
  </si>
  <si>
    <r>
      <rPr>
        <rFont val="Times New Roman"/>
        <color rgb="FF231F20"/>
        <sz val="12.0"/>
      </rPr>
      <t>H4</t>
    </r>
  </si>
  <si>
    <r>
      <rPr>
        <rFont val="Times New Roman"/>
        <color rgb="FF231F20"/>
        <sz val="12.0"/>
      </rPr>
      <t>H5</t>
    </r>
  </si>
  <si>
    <t>Warehousing and storage</t>
  </si>
  <si>
    <r>
      <rPr>
        <rFont val="Times New Roman"/>
        <color rgb="FF231F20"/>
        <sz val="12.0"/>
      </rPr>
      <t>H6</t>
    </r>
  </si>
  <si>
    <t>Mail and courier</t>
  </si>
  <si>
    <r>
      <rPr>
        <rFont val="Times New Roman"/>
        <color rgb="FF231F20"/>
        <sz val="12.0"/>
      </rPr>
      <t>H7</t>
    </r>
  </si>
  <si>
    <t>Hotel, restaurants, catering - Accomodation</t>
  </si>
  <si>
    <r>
      <rPr>
        <rFont val="Times New Roman"/>
        <color rgb="FF231F20"/>
        <sz val="12.0"/>
      </rPr>
      <t>I1</t>
    </r>
  </si>
  <si>
    <t>Hotel, restaurants, catering - Restaurants</t>
  </si>
  <si>
    <r>
      <rPr>
        <rFont val="Times New Roman"/>
        <color rgb="FF231F20"/>
        <sz val="12.0"/>
      </rPr>
      <t>I2</t>
    </r>
  </si>
  <si>
    <t>Publishing of Newspapers, Books, periodicals,</t>
  </si>
  <si>
    <r>
      <rPr>
        <rFont val="Times New Roman"/>
        <color rgb="FF231F20"/>
        <sz val="12.0"/>
      </rPr>
      <t>J1</t>
    </r>
  </si>
  <si>
    <r>
      <rPr>
        <rFont val="Times New Roman"/>
        <color rgb="FF231F20"/>
        <sz val="12.0"/>
      </rPr>
      <t>J2</t>
    </r>
  </si>
  <si>
    <t>Advertising , media, and entertainment - Media and Entertainment</t>
  </si>
  <si>
    <r>
      <rPr>
        <rFont val="Times New Roman"/>
        <color rgb="FF231F20"/>
        <sz val="12.0"/>
      </rPr>
      <t>J3</t>
    </r>
  </si>
  <si>
    <t>Advertising , media, and entertainment - Broadcasting</t>
  </si>
  <si>
    <r>
      <rPr>
        <rFont val="Times New Roman"/>
        <color rgb="FF231F20"/>
        <sz val="12.0"/>
      </rPr>
      <t>J4</t>
    </r>
  </si>
  <si>
    <r>
      <rPr>
        <rFont val="Times New Roman"/>
        <color rgb="FF231F20"/>
        <sz val="12.0"/>
      </rPr>
      <t>Wired, wireless or satellite Telecommunication</t>
    </r>
  </si>
  <si>
    <r>
      <rPr>
        <rFont val="Times New Roman"/>
        <color rgb="FF231F20"/>
        <sz val="12.0"/>
      </rPr>
      <t>J5</t>
    </r>
  </si>
  <si>
    <r>
      <rPr>
        <rFont val="Times New Roman"/>
        <color rgb="FF231F20"/>
        <sz val="12.0"/>
      </rPr>
      <t>J6</t>
    </r>
  </si>
  <si>
    <r>
      <rPr>
        <rFont val="Times New Roman"/>
        <color rgb="FF231F20"/>
        <sz val="12.0"/>
      </rPr>
      <t>J7</t>
    </r>
  </si>
  <si>
    <r>
      <rPr>
        <rFont val="Times New Roman"/>
        <color rgb="FF231F20"/>
        <sz val="12.0"/>
      </rPr>
      <t>J8</t>
    </r>
  </si>
  <si>
    <t>Financial services - Banking</t>
  </si>
  <si>
    <r>
      <rPr>
        <rFont val="Times New Roman"/>
        <color rgb="FF231F20"/>
        <sz val="12.0"/>
      </rPr>
      <t>K1</t>
    </r>
  </si>
  <si>
    <t>Financial services - Trusts and funds</t>
  </si>
  <si>
    <r>
      <rPr>
        <rFont val="Times New Roman"/>
        <color rgb="FF231F20"/>
        <sz val="12.0"/>
      </rPr>
      <t>K2</t>
    </r>
  </si>
  <si>
    <t>Financial services - Insurance</t>
  </si>
  <si>
    <r>
      <rPr>
        <rFont val="Times New Roman"/>
        <color rgb="FF231F20"/>
        <sz val="12.0"/>
      </rPr>
      <t>K3</t>
    </r>
  </si>
  <si>
    <t>Financial services - Pension fund activities</t>
  </si>
  <si>
    <r>
      <rPr>
        <rFont val="Times New Roman"/>
        <color rgb="FF231F20"/>
        <sz val="12.0"/>
      </rPr>
      <t>K4</t>
    </r>
  </si>
  <si>
    <t>Financial services - Financial and Credit leasing activities</t>
  </si>
  <si>
    <r>
      <rPr>
        <rFont val="Times New Roman"/>
        <color rgb="FF231F20"/>
        <sz val="12.0"/>
      </rPr>
      <t>K5</t>
    </r>
  </si>
  <si>
    <t>Financial services - Financial Advisory, brokerage and Consultancy</t>
  </si>
  <si>
    <r>
      <rPr>
        <rFont val="Times New Roman"/>
        <color rgb="FF231F20"/>
        <sz val="12.0"/>
      </rPr>
      <t>K6</t>
    </r>
  </si>
  <si>
    <t>Financial services - NBFCs and others</t>
  </si>
  <si>
    <r>
      <rPr>
        <rFont val="Times New Roman"/>
        <color rgb="FF231F20"/>
        <sz val="12.0"/>
      </rPr>
      <t>K7</t>
    </r>
  </si>
  <si>
    <t>Financial services - Others</t>
  </si>
  <si>
    <r>
      <rPr>
        <rFont val="Times New Roman"/>
        <color rgb="FF231F20"/>
        <sz val="12.0"/>
      </rPr>
      <t>K8</t>
    </r>
  </si>
  <si>
    <r>
      <rPr>
        <rFont val="Times New Roman"/>
        <color rgb="FF231F20"/>
        <sz val="12.0"/>
      </rPr>
      <t>L1</t>
    </r>
  </si>
  <si>
    <r>
      <rPr>
        <rFont val="Times New Roman"/>
        <color rgb="FF231F20"/>
        <sz val="12.0"/>
      </rPr>
      <t>L2</t>
    </r>
  </si>
  <si>
    <t>Professional services - Legal</t>
  </si>
  <si>
    <r>
      <rPr>
        <rFont val="Times New Roman"/>
        <color rgb="FF231F20"/>
        <sz val="12.0"/>
      </rPr>
      <t>M1</t>
    </r>
  </si>
  <si>
    <t>Professional services - Accounting, book keeping and auditing</t>
  </si>
  <si>
    <r>
      <rPr>
        <rFont val="Times New Roman"/>
        <color rgb="FF231F20"/>
        <sz val="12.0"/>
      </rPr>
      <t>M2</t>
    </r>
  </si>
  <si>
    <t>Professional services - Management consulting</t>
  </si>
  <si>
    <r>
      <rPr>
        <rFont val="Times New Roman"/>
        <color rgb="FF231F20"/>
        <sz val="12.0"/>
      </rPr>
      <t>M3</t>
    </r>
  </si>
  <si>
    <t>Professional services - Architecture, engineering activities, technical</t>
  </si>
  <si>
    <r>
      <rPr>
        <rFont val="Times New Roman"/>
        <color rgb="FF231F20"/>
        <sz val="12.0"/>
      </rPr>
      <t>M4</t>
    </r>
  </si>
  <si>
    <t>Professional services - Scientific research and development</t>
  </si>
  <si>
    <r>
      <rPr>
        <rFont val="Times New Roman"/>
        <color rgb="FF231F20"/>
        <sz val="12.0"/>
      </rPr>
      <t>M5</t>
    </r>
  </si>
  <si>
    <t>Professional services - Advertising and market research</t>
  </si>
  <si>
    <r>
      <rPr>
        <rFont val="Times New Roman"/>
        <color rgb="FF231F20"/>
        <sz val="12.0"/>
      </rPr>
      <t>M6</t>
    </r>
  </si>
  <si>
    <t>Professional services - Others</t>
  </si>
  <si>
    <r>
      <rPr>
        <rFont val="Times New Roman"/>
        <color rgb="FF231F20"/>
        <sz val="12.0"/>
      </rPr>
      <t>M7</t>
    </r>
  </si>
  <si>
    <t>Professional services - Veterinary activities</t>
  </si>
  <si>
    <r>
      <rPr>
        <rFont val="Times New Roman"/>
        <color rgb="FF231F20"/>
        <sz val="12.0"/>
      </rPr>
      <t>M8</t>
    </r>
  </si>
  <si>
    <r>
      <rPr>
        <rFont val="Times New Roman"/>
        <color rgb="FF231F20"/>
        <sz val="12.0"/>
      </rPr>
      <t>M9</t>
    </r>
  </si>
  <si>
    <t>Support services - Rental and leasing of motor vehicles</t>
  </si>
  <si>
    <r>
      <rPr>
        <rFont val="Times New Roman"/>
        <color rgb="FF231F20"/>
        <sz val="12.0"/>
      </rPr>
      <t>N1</t>
    </r>
  </si>
  <si>
    <t>Support services - Placement agencies and HR management</t>
  </si>
  <si>
    <r>
      <rPr>
        <rFont val="Times New Roman"/>
        <color rgb="FF231F20"/>
        <sz val="12.0"/>
      </rPr>
      <t>N2</t>
    </r>
  </si>
  <si>
    <t>Support services - Travel agency and tour operators</t>
  </si>
  <si>
    <r>
      <rPr>
        <rFont val="Times New Roman"/>
        <color rgb="FF231F20"/>
        <sz val="12.0"/>
      </rPr>
      <t>N3</t>
    </r>
  </si>
  <si>
    <t>Support services - Security and investigation activities</t>
  </si>
  <si>
    <r>
      <rPr>
        <rFont val="Times New Roman"/>
        <color rgb="FF231F20"/>
        <sz val="12.0"/>
      </rPr>
      <t>N4</t>
    </r>
  </si>
  <si>
    <t>Support services - Housekeeping &amp; maintenance service</t>
  </si>
  <si>
    <r>
      <rPr>
        <rFont val="Times New Roman"/>
        <color rgb="FF231F20"/>
        <sz val="12.0"/>
      </rPr>
      <t>N5</t>
    </r>
  </si>
  <si>
    <t>Support services - Office administration</t>
  </si>
  <si>
    <r>
      <rPr>
        <rFont val="Times New Roman"/>
        <color rgb="FF231F20"/>
        <sz val="12.0"/>
      </rPr>
      <t>N6</t>
    </r>
  </si>
  <si>
    <t>Support services - Others</t>
  </si>
  <si>
    <r>
      <rPr>
        <rFont val="Times New Roman"/>
        <color rgb="FF231F20"/>
        <sz val="12.0"/>
      </rPr>
      <t>N7</t>
    </r>
  </si>
  <si>
    <r>
      <rPr>
        <rFont val="Times New Roman"/>
        <color rgb="FF231F20"/>
        <sz val="12.0"/>
      </rPr>
      <t>O1</t>
    </r>
  </si>
  <si>
    <r>
      <rPr>
        <rFont val="Times New Roman"/>
        <color rgb="FF231F20"/>
        <sz val="12.0"/>
      </rPr>
      <t>O2</t>
    </r>
  </si>
  <si>
    <r>
      <rPr>
        <rFont val="Times New Roman"/>
        <color rgb="FF231F20"/>
        <sz val="12.0"/>
      </rPr>
      <t>O3</t>
    </r>
  </si>
  <si>
    <r>
      <rPr>
        <rFont val="Times New Roman"/>
        <color rgb="FF231F20"/>
        <sz val="12.0"/>
      </rPr>
      <t>P1</t>
    </r>
  </si>
  <si>
    <r>
      <rPr>
        <rFont val="Times New Roman"/>
        <color rgb="FF231F20"/>
        <sz val="12.0"/>
      </rPr>
      <t>P2</t>
    </r>
  </si>
  <si>
    <r>
      <rPr>
        <rFont val="Times New Roman"/>
        <color rgb="FF231F20"/>
        <sz val="12.0"/>
      </rPr>
      <t>P3</t>
    </r>
  </si>
  <si>
    <r>
      <rPr>
        <rFont val="Times New Roman"/>
        <color rgb="FF231F20"/>
        <sz val="12.0"/>
      </rPr>
      <t>P4</t>
    </r>
  </si>
  <si>
    <t>Health - Hospital</t>
  </si>
  <si>
    <r>
      <rPr>
        <rFont val="Times New Roman"/>
        <color rgb="FF231F20"/>
        <sz val="12.0"/>
      </rPr>
      <t>Q1</t>
    </r>
  </si>
  <si>
    <t>Health - Medical care</t>
  </si>
  <si>
    <r>
      <rPr>
        <rFont val="Times New Roman"/>
        <color rgb="FF231F20"/>
        <sz val="12.0"/>
      </rPr>
      <t>Q2</t>
    </r>
  </si>
  <si>
    <r>
      <rPr>
        <rFont val="Times New Roman"/>
        <color rgb="FF231F20"/>
        <sz val="12.0"/>
      </rPr>
      <t>Q3</t>
    </r>
  </si>
  <si>
    <r>
      <rPr>
        <rFont val="Times New Roman"/>
        <color rgb="FF231F20"/>
        <sz val="12.0"/>
      </rPr>
      <t>Q4</t>
    </r>
  </si>
  <si>
    <r>
      <rPr>
        <rFont val="Times New Roman"/>
        <color rgb="FF231F20"/>
        <sz val="12.0"/>
      </rPr>
      <t>Q5</t>
    </r>
  </si>
  <si>
    <r>
      <rPr>
        <rFont val="Times New Roman"/>
        <color rgb="FF231F20"/>
        <sz val="12.0"/>
      </rPr>
      <t>Q6</t>
    </r>
  </si>
  <si>
    <r>
      <rPr>
        <rFont val="Times New Roman"/>
        <color rgb="FF231F20"/>
        <sz val="12.0"/>
      </rPr>
      <t>R1</t>
    </r>
  </si>
  <si>
    <t>Library, archives, museums and other cultural</t>
  </si>
  <si>
    <r>
      <rPr>
        <rFont val="Times New Roman"/>
        <color rgb="FF231F20"/>
        <sz val="12.0"/>
      </rPr>
      <t>R2</t>
    </r>
  </si>
  <si>
    <r>
      <rPr>
        <rFont val="Times New Roman"/>
        <color rgb="FF231F20"/>
        <sz val="12.0"/>
      </rPr>
      <t>R3</t>
    </r>
  </si>
  <si>
    <t>Sports, amusement and recreation activities</t>
  </si>
  <si>
    <r>
      <rPr>
        <rFont val="Times New Roman"/>
        <color rgb="FF231F20"/>
        <sz val="12.0"/>
      </rPr>
      <t>R4</t>
    </r>
  </si>
  <si>
    <r>
      <rPr>
        <rFont val="Times New Roman"/>
        <color rgb="FF231F20"/>
        <sz val="12.0"/>
      </rPr>
      <t>Personal and Household service</t>
    </r>
  </si>
  <si>
    <r>
      <rPr>
        <rFont val="Times New Roman"/>
        <color rgb="FF231F20"/>
        <sz val="12.0"/>
      </rPr>
      <t>S1</t>
    </r>
  </si>
  <si>
    <r>
      <rPr>
        <rFont val="Times New Roman"/>
        <color rgb="FF231F20"/>
        <sz val="12.0"/>
      </rPr>
      <t>Personal and Household service</t>
    </r>
  </si>
  <si>
    <r>
      <rPr>
        <rFont val="Times New Roman"/>
        <color rgb="FF231F20"/>
        <sz val="12.0"/>
      </rPr>
      <t>S2</t>
    </r>
  </si>
  <si>
    <r>
      <rPr>
        <rFont val="Times New Roman"/>
        <color rgb="FF231F20"/>
        <sz val="12.0"/>
      </rPr>
      <t>Personal and Household service</t>
    </r>
  </si>
  <si>
    <r>
      <rPr>
        <rFont val="Times New Roman"/>
        <color rgb="FF231F20"/>
        <sz val="12.0"/>
      </rPr>
      <t>S3</t>
    </r>
  </si>
  <si>
    <r>
      <rPr>
        <rFont val="Times New Roman"/>
        <color rgb="FF231F20"/>
        <sz val="12.0"/>
      </rPr>
      <t>Personal and Household service</t>
    </r>
  </si>
  <si>
    <r>
      <rPr>
        <rFont val="Times New Roman"/>
        <color rgb="FF231F20"/>
        <sz val="12.0"/>
      </rPr>
      <t>S4</t>
    </r>
  </si>
  <si>
    <r>
      <rPr>
        <rFont val="Times New Roman"/>
        <color rgb="FF231F20"/>
        <sz val="12.0"/>
      </rPr>
      <t>T1</t>
    </r>
  </si>
  <si>
    <r>
      <rPr>
        <rFont val="Times New Roman"/>
        <color rgb="FF231F20"/>
        <sz val="12.0"/>
      </rPr>
      <t>T2</t>
    </r>
  </si>
  <si>
    <r>
      <rPr>
        <rFont val="Times New Roman"/>
        <color rgb="FF231F20"/>
        <sz val="12.0"/>
      </rPr>
      <t>U1</t>
    </r>
  </si>
  <si>
    <t>Sector in public</t>
  </si>
  <si>
    <t>CW industry + sub industry</t>
  </si>
  <si>
    <t>Advance</t>
  </si>
  <si>
    <t>Decline</t>
  </si>
  <si>
    <t>Unchanged</t>
  </si>
  <si>
    <t>Total entities</t>
  </si>
  <si>
    <t>As % of total entities</t>
  </si>
  <si>
    <t>Business activity code</t>
  </si>
  <si>
    <t>Consolidated sector req</t>
  </si>
  <si>
    <t>Common sector name</t>
  </si>
  <si>
    <t>HSN chapters</t>
  </si>
  <si>
    <t>2/3 Wheelers</t>
  </si>
  <si>
    <t xml:space="preserve">Automobiles-Automobiles - Motor vehicles
</t>
  </si>
  <si>
    <t>Yes</t>
  </si>
  <si>
    <t>Automotives</t>
  </si>
  <si>
    <t>Advertising &amp; Media</t>
  </si>
  <si>
    <t xml:space="preserve">How to arrive:
Services-Advertising , media, and entertainment-Advertisement
</t>
  </si>
  <si>
    <t>J7, J1</t>
  </si>
  <si>
    <t>Advertising, Media, and Entertainment</t>
  </si>
  <si>
    <t>Aerospace</t>
  </si>
  <si>
    <t>ENGINEERING AND CAPITAL GOODS-Transportation</t>
  </si>
  <si>
    <t>C12, C10</t>
  </si>
  <si>
    <t>Machinery and Equipment</t>
  </si>
  <si>
    <t>Agrochemicals</t>
  </si>
  <si>
    <t>Chemicals, pharmaceuticals, and allied Industries</t>
  </si>
  <si>
    <t>Chapter 38</t>
  </si>
  <si>
    <t>Airlines</t>
  </si>
  <si>
    <t>Services-Travel and tourism-Passenger transport (Air)</t>
  </si>
  <si>
    <t>H4</t>
  </si>
  <si>
    <t>Transportation
Airlines</t>
  </si>
  <si>
    <t xml:space="preserve">Air Transport:
440362
440266
</t>
  </si>
  <si>
    <t>Aluminium</t>
  </si>
  <si>
    <t>Metal and metal products-Aluminum</t>
  </si>
  <si>
    <t>Asset Management Cos.</t>
  </si>
  <si>
    <t xml:space="preserve">Services-Financial services-Asset and fund management
</t>
  </si>
  <si>
    <t>Auto Parts &amp; Equipment</t>
  </si>
  <si>
    <t>Auto Tyres &amp; Rubber Products</t>
  </si>
  <si>
    <t>Banks</t>
  </si>
  <si>
    <t xml:space="preserve">Services-Financial services-Banking and non-banking financial services
</t>
  </si>
  <si>
    <t>Biotechnology</t>
  </si>
  <si>
    <t>BPO/KPO</t>
  </si>
  <si>
    <t>Services-Consulting and management-Management Or Business Consultant Service</t>
  </si>
  <si>
    <t>Breweries &amp; Distilleries</t>
  </si>
  <si>
    <t>Broadcasting &amp; Cable TV</t>
  </si>
  <si>
    <t xml:space="preserve">Services-Advertising , media, and entertainment-Broadcasting Service
</t>
  </si>
  <si>
    <t>Carbon Black</t>
  </si>
  <si>
    <t>Cars &amp; Utility Vehicles</t>
  </si>
  <si>
    <t>Cement &amp; Cement Products</t>
  </si>
  <si>
    <t xml:space="preserve">Cement , construction material and glass-Cement , construction material and glass
</t>
  </si>
  <si>
    <t>Cigarettes,Tobacco Products</t>
  </si>
  <si>
    <t xml:space="preserve">Food and beverages-Tobacco and tobacco products
</t>
  </si>
  <si>
    <t>Coal</t>
  </si>
  <si>
    <t xml:space="preserve">Minerals-Coal, Petroleum and other fossil fuels
</t>
  </si>
  <si>
    <t>Comm.Printing/Stationery</t>
  </si>
  <si>
    <t>Others-Gift Articles,Toys &amp; Cards, stationary
or
Wood &amp; Wood Products / Paper industry</t>
  </si>
  <si>
    <t>Comm.Trading &amp; Distribution</t>
  </si>
  <si>
    <t>Commercial Vehicles</t>
  </si>
  <si>
    <t>Commodity Chemicals</t>
  </si>
  <si>
    <t>Computer Hardware</t>
  </si>
  <si>
    <t>Construction &amp; Engineering</t>
  </si>
  <si>
    <t>Services-Construction-Erection, Commissioning And Installation Services</t>
  </si>
  <si>
    <t>Construction Materials</t>
  </si>
  <si>
    <t xml:space="preserve">Cement , construction material and glass
</t>
  </si>
  <si>
    <t>Consulting Services</t>
  </si>
  <si>
    <t>Services-Consulting and management</t>
  </si>
  <si>
    <t>Consumer Electronics</t>
  </si>
  <si>
    <t>Containers &amp; Packaging</t>
  </si>
  <si>
    <t>Copper</t>
  </si>
  <si>
    <t>Metal and metal products-Copper</t>
  </si>
  <si>
    <t>Defence</t>
  </si>
  <si>
    <t>ENGINEERING AND CAPITAL GOODS-Arms and Military weapons</t>
  </si>
  <si>
    <t>Department Stores</t>
  </si>
  <si>
    <t>CBA = Trader - retailer 
and following series in most of the GSTNs
1006
~0802
6210
3924
1701</t>
  </si>
  <si>
    <t>Distributors</t>
  </si>
  <si>
    <t>Diversified</t>
  </si>
  <si>
    <t>Edible Oils</t>
  </si>
  <si>
    <t>Food and beverages-Edible oil</t>
  </si>
  <si>
    <t xml:space="preserve">Services-Education-Coaching and training
</t>
  </si>
  <si>
    <t>Electric Utilities</t>
  </si>
  <si>
    <t>Electronic Components</t>
  </si>
  <si>
    <t>Exploration &amp; Production</t>
  </si>
  <si>
    <t>Fertilizers</t>
  </si>
  <si>
    <t>Fibres &amp; Plastics</t>
  </si>
  <si>
    <t>Finance (including NBFCs)</t>
  </si>
  <si>
    <t>Financial Institutions</t>
  </si>
  <si>
    <t>Food &amp; Drugs Retailing</t>
  </si>
  <si>
    <t>Footwear</t>
  </si>
  <si>
    <t xml:space="preserve">Footwear-Footwear
</t>
  </si>
  <si>
    <t>Forest Products</t>
  </si>
  <si>
    <t>Furniture,Furnishing,Paints</t>
  </si>
  <si>
    <t>Wood &amp; Wood Products</t>
  </si>
  <si>
    <t>General Insurance</t>
  </si>
  <si>
    <t xml:space="preserve">Services-Financial services-General insurance
</t>
  </si>
  <si>
    <t>Gift Articles,Toys &amp; Cards</t>
  </si>
  <si>
    <t>"Others-Gift Articles,Toys &amp; Cards, stationary</t>
  </si>
  <si>
    <t>Healthcare Facilities</t>
  </si>
  <si>
    <t>Services-Health</t>
  </si>
  <si>
    <t>Healthcare Services</t>
  </si>
  <si>
    <t>Healthcare Supplies</t>
  </si>
  <si>
    <t>Heavy Electrical Equipment</t>
  </si>
  <si>
    <t xml:space="preserve">ENGINEERING AND CAPITAL GOODS-Industrial
</t>
  </si>
  <si>
    <t>Holding Companies</t>
  </si>
  <si>
    <t>Hotels</t>
  </si>
  <si>
    <t>Services-Hotel, restaurants, catering  -Accomodation and Hotel</t>
  </si>
  <si>
    <t>Household Appliances</t>
  </si>
  <si>
    <t>Household Products</t>
  </si>
  <si>
    <t>Houseware</t>
  </si>
  <si>
    <t>Housing Finance</t>
  </si>
  <si>
    <t>Industrial Gases</t>
  </si>
  <si>
    <t>Industrial Machinery</t>
  </si>
  <si>
    <t>ENGINEERING AND CAPITAL GOODS-Industrial</t>
  </si>
  <si>
    <t>Integrated Oil &amp; Gas</t>
  </si>
  <si>
    <t>Internet &amp; Catalogue Retail</t>
  </si>
  <si>
    <t>Services-Others-Internet Cafe
and 
Services-Others-Internet Telecommunication Service</t>
  </si>
  <si>
    <t>Internet Software &amp; Services</t>
  </si>
  <si>
    <t>Services-Information technology</t>
  </si>
  <si>
    <t>Investment Companies</t>
  </si>
  <si>
    <t>Unavailable but Services-Financial services-Asset and fund management</t>
  </si>
  <si>
    <t>Iron &amp; Steel Products</t>
  </si>
  <si>
    <t>Metal and metal products-Iron and steel</t>
  </si>
  <si>
    <t>Iron &amp; Steel/Interm.Products</t>
  </si>
  <si>
    <t>IT Consulting &amp; Software</t>
  </si>
  <si>
    <t>IT Networking Equipment</t>
  </si>
  <si>
    <t>IT Software Products</t>
  </si>
  <si>
    <t>IT Training Services</t>
  </si>
  <si>
    <t>Jute &amp; Jute Products</t>
  </si>
  <si>
    <t>Textiles-Paper yarn/Jute</t>
  </si>
  <si>
    <t>Life Insurance</t>
  </si>
  <si>
    <t>Services-Financial services-Life insurance</t>
  </si>
  <si>
    <t>Marine Port &amp; Services</t>
  </si>
  <si>
    <t>Services-Others-Port services</t>
  </si>
  <si>
    <t>Medical Equipment</t>
  </si>
  <si>
    <t>Medical equipment</t>
  </si>
  <si>
    <t>Mining</t>
  </si>
  <si>
    <t>Services-Mining-Mining</t>
  </si>
  <si>
    <t>Misc.Commercial Services</t>
  </si>
  <si>
    <t>Movies &amp; Entertainment</t>
  </si>
  <si>
    <t>Services-Advertising , media, and entertainment-Video production</t>
  </si>
  <si>
    <t>Non-alcoholic Beverages</t>
  </si>
  <si>
    <t>Food and beverages-Beverages</t>
  </si>
  <si>
    <t>Non-Durable Household Prod.</t>
  </si>
  <si>
    <t>Oil Equipment &amp; Services</t>
  </si>
  <si>
    <t>Oil Marketing &amp; Distribution</t>
  </si>
  <si>
    <t>Other Agricultural Products</t>
  </si>
  <si>
    <t>Other Apparels &amp; Accessories</t>
  </si>
  <si>
    <t>Other Elect.Equip./ Prod.</t>
  </si>
  <si>
    <t>Other Financial Services</t>
  </si>
  <si>
    <t>Services-Financial services 
(except for below)
Services-Financial services-Asset and fund management
Services-Financial services-Banking and non-banking financial services
Services-Financial services-General insurance
Services-Financial services-Life insurance</t>
  </si>
  <si>
    <t>Other Food Products</t>
  </si>
  <si>
    <t>Other Industrial Goods</t>
  </si>
  <si>
    <t>Other Industrial Products</t>
  </si>
  <si>
    <t>Other Leisure Facilities</t>
  </si>
  <si>
    <t>Other Non-Ferrous Metals</t>
  </si>
  <si>
    <r>
      <rPr>
        <rFont val="Arial"/>
        <color rgb="FF000000"/>
      </rPr>
      <t xml:space="preserve">Metal and metal products-other non-ferrous
</t>
    </r>
    <r>
      <rPr>
        <rFont val="Arial"/>
        <i/>
        <color rgb="FF000000"/>
      </rPr>
      <t>identified through HSN codes except aluminum, copper, lead, zinc and tin, as well as precious metals like gold and silver</t>
    </r>
  </si>
  <si>
    <t>Other Telecom Services</t>
  </si>
  <si>
    <t>Services-Others-Internet Telecommunication Service</t>
  </si>
  <si>
    <t>Packaged Foods</t>
  </si>
  <si>
    <t>Food and beverages-Packakged foods</t>
  </si>
  <si>
    <t>Paper &amp; Paper Products</t>
  </si>
  <si>
    <t>Wood &amp; Wood Products / Paper industry</t>
  </si>
  <si>
    <t>Personal Products</t>
  </si>
  <si>
    <t>Petrochemicals</t>
  </si>
  <si>
    <r>
      <rPr>
        <rFont val="Arial"/>
        <color rgb="FF000000"/>
      </rPr>
      <t xml:space="preserve">Chemicals, pharmaceuticals, and allied Industries
</t>
    </r>
    <r>
      <rPr>
        <rFont val="Arial"/>
        <i/>
        <color rgb="FF000000"/>
      </rPr>
      <t>within this need to identify list of all petrochemicals</t>
    </r>
  </si>
  <si>
    <t>Photographic Products</t>
  </si>
  <si>
    <t>Others-photographic products</t>
  </si>
  <si>
    <t>Plastic Products</t>
  </si>
  <si>
    <t>Plastic and plastic products</t>
  </si>
  <si>
    <t>Publishing</t>
  </si>
  <si>
    <t>Real Estate Investment</t>
  </si>
  <si>
    <t>Realty</t>
  </si>
  <si>
    <t>Services-Construction-Real estate - residential
Services-Construction-Real estate - commercial</t>
  </si>
  <si>
    <t>Refineries/ Petro-Products</t>
  </si>
  <si>
    <t>Unclear
Minerals-Coal, Petroleum and other fossil fuels</t>
  </si>
  <si>
    <t>Restaurants</t>
  </si>
  <si>
    <t xml:space="preserve">Services-Hotel, restaurants, catering-Restaurants
</t>
  </si>
  <si>
    <t>Roads &amp; Highways</t>
  </si>
  <si>
    <t>Services-Construction-highways, streets, roads, railways and airfield runways, bridges and tunnels</t>
  </si>
  <si>
    <t>Shipping</t>
  </si>
  <si>
    <t>Services-Transportation, warehousing, logistics-Sea transport of goods</t>
  </si>
  <si>
    <t>Sp.Consumer Services</t>
  </si>
  <si>
    <t>Services-others</t>
  </si>
  <si>
    <t>Specialty Chemicals</t>
  </si>
  <si>
    <r>
      <rPr>
        <rFont val="Arial"/>
        <color rgb="FF000000"/>
      </rPr>
      <t xml:space="preserve">Chemicals, pharmaceuticals, and allied Industries
</t>
    </r>
    <r>
      <rPr>
        <rFont val="Arial"/>
        <i/>
        <color rgb="FF000000"/>
      </rPr>
      <t>within this need to identify list of all speciality chemicals</t>
    </r>
  </si>
  <si>
    <t>Specialty Retail</t>
  </si>
  <si>
    <t>Storage Media &amp; Peripherals</t>
  </si>
  <si>
    <t>Sugar</t>
  </si>
  <si>
    <t>Food and beverages-Sugar
or
Sugar</t>
  </si>
  <si>
    <t>Surface Transportation</t>
  </si>
  <si>
    <t>Services-Transportation, warehousing, logistics-Rail transport of goods
Services-Transportation, warehousing, logistics-Road transport of goods</t>
  </si>
  <si>
    <t>Tea &amp; Coffee</t>
  </si>
  <si>
    <t>Food and beverages-Tea
Food and beverages-Coffee</t>
  </si>
  <si>
    <t>Telecom Cables</t>
  </si>
  <si>
    <t>Cable</t>
  </si>
  <si>
    <t>Telecom Equipment</t>
  </si>
  <si>
    <t>Telecom Services</t>
  </si>
  <si>
    <t>Textiles</t>
  </si>
  <si>
    <t>Transport Related Services</t>
  </si>
  <si>
    <t>Transport and logistics</t>
  </si>
  <si>
    <t>Transportation - Logistics</t>
  </si>
  <si>
    <t>Travel Support Services</t>
  </si>
  <si>
    <t>Trave</t>
  </si>
  <si>
    <t>Utilities:Non-Elec.</t>
  </si>
  <si>
    <t>Zinc</t>
  </si>
  <si>
    <t>Total companies</t>
  </si>
  <si>
    <t>Industry</t>
  </si>
  <si>
    <t>Sub-Industry</t>
  </si>
  <si>
    <t>Non services industry and sub industry</t>
  </si>
  <si>
    <t>Services industry and sub industry (3 level)
(All "Services-others-XXX" to be clubbed into "services-others"</t>
  </si>
  <si>
    <t>Animal &amp; Animal Products</t>
  </si>
  <si>
    <t>AGRICULTURE AND ALLIED INDUSTRIES-Animal &amp; Animal Products</t>
  </si>
  <si>
    <t>Vegetables and Fruits</t>
  </si>
  <si>
    <t>AGRICULTURE AND ALLIED INDUSTRIES-Vegetables and Fruits</t>
  </si>
  <si>
    <t>Services-Advertising , media, and entertainment-Advertising , media, and entertainment</t>
  </si>
  <si>
    <t>Food and beverages-Coffee</t>
  </si>
  <si>
    <t>Services-Advertising , media, and entertainment-Broadcasting Service</t>
  </si>
  <si>
    <t>Broadcasting Service</t>
  </si>
  <si>
    <t>Coffee</t>
  </si>
  <si>
    <t>Food and beverages-Tea</t>
  </si>
  <si>
    <t>Services-Advertising , media, and entertainment-Advertisement</t>
  </si>
  <si>
    <t>Advertisement</t>
  </si>
  <si>
    <t>Tea</t>
  </si>
  <si>
    <t>Food and beverages-Spices and others</t>
  </si>
  <si>
    <t>Services-Advertising , media, and entertainment-Advertisement and marketing</t>
  </si>
  <si>
    <t>Advertisement and marketing</t>
  </si>
  <si>
    <t>Spices and others</t>
  </si>
  <si>
    <t>Food and beverages-Cereals and Grains</t>
  </si>
  <si>
    <t>Services-Advertising , media, and entertainment-Publlic relations</t>
  </si>
  <si>
    <t>Publlic relations</t>
  </si>
  <si>
    <t>Cereals and Grains</t>
  </si>
  <si>
    <t>AGRICULTURE AND ALLIED INDUSTRIES-Vegetables and Fruits (seeds)</t>
  </si>
  <si>
    <t>Video production</t>
  </si>
  <si>
    <t>Edible oil</t>
  </si>
  <si>
    <t>Services-Agents-Clearing and forwarding agent</t>
  </si>
  <si>
    <t>Agents</t>
  </si>
  <si>
    <t>Clearing and forwarding agent</t>
  </si>
  <si>
    <t>Meat (processed)</t>
  </si>
  <si>
    <t>Food and beverages-Meat (processed)</t>
  </si>
  <si>
    <t>Services-Agents-Custom House Agent Service</t>
  </si>
  <si>
    <t>Custom House Agent Service</t>
  </si>
  <si>
    <t>Food and beverages-Sugar</t>
  </si>
  <si>
    <t>Services-Agents-Travel agent</t>
  </si>
  <si>
    <t>Travel agent</t>
  </si>
  <si>
    <t>Packakged foods</t>
  </si>
  <si>
    <t>Services-Agents-Real estate agent</t>
  </si>
  <si>
    <t>Real estate agent</t>
  </si>
  <si>
    <t>Beverages</t>
  </si>
  <si>
    <t>Services-Agents-Recovery Agent Service</t>
  </si>
  <si>
    <t>Recovery Agent Service</t>
  </si>
  <si>
    <t>Tobacco and tobacco products</t>
  </si>
  <si>
    <t>Food and beverages-Tobacco and tobacco products</t>
  </si>
  <si>
    <t>Services-Agents-Cab rentals</t>
  </si>
  <si>
    <t>Cab rentals</t>
  </si>
  <si>
    <t>Minerals</t>
  </si>
  <si>
    <t>Salt</t>
  </si>
  <si>
    <t>Minerals-Salt</t>
  </si>
  <si>
    <t>Services-Agents-Renting Of Immovable Property Service</t>
  </si>
  <si>
    <t>Renting Of Immovable Property Service</t>
  </si>
  <si>
    <t>Ores</t>
  </si>
  <si>
    <t>Minerals-Ores</t>
  </si>
  <si>
    <t>Services-Agents-Share Transfer Agent Service</t>
  </si>
  <si>
    <t>Share Transfer Agent Service</t>
  </si>
  <si>
    <t>Coal, Petroleum and other fossil fuels</t>
  </si>
  <si>
    <t>Minerals-Coal, Petroleum and other fossil fuels</t>
  </si>
  <si>
    <t>Services-Agents-Steamer Agent Service</t>
  </si>
  <si>
    <t>Steamer Agent Service</t>
  </si>
  <si>
    <t>Services-Agents-Stock broker</t>
  </si>
  <si>
    <t>Stock broker</t>
  </si>
  <si>
    <t>Plastic and plastic products-Plastic and plastic products</t>
  </si>
  <si>
    <t>Services-Architecht and interior design-Architect</t>
  </si>
  <si>
    <t>Architecht and interior design</t>
  </si>
  <si>
    <t>Architect</t>
  </si>
  <si>
    <t>Rubber and rubber products</t>
  </si>
  <si>
    <t>Rubber and rubber products-Rubber and rubber products</t>
  </si>
  <si>
    <t>Services-Architecht and interior design-Interior Decoration/ Designer Services</t>
  </si>
  <si>
    <t>Interior Decoration/ Designer Services</t>
  </si>
  <si>
    <t>Leather and leather products</t>
  </si>
  <si>
    <t>Leather and leather products-Leather and leather products</t>
  </si>
  <si>
    <t>Services-Construction-Real estate - residential</t>
  </si>
  <si>
    <t>Construction</t>
  </si>
  <si>
    <t>residential</t>
  </si>
  <si>
    <t>Services-Construction-Real estate - commercial
 Industrial and civil construction</t>
  </si>
  <si>
    <t>commercial</t>
  </si>
  <si>
    <t>Silk</t>
  </si>
  <si>
    <t>Textiles-Silk</t>
  </si>
  <si>
    <t>Services-Construction-Erection, Commissioning And Installation Service</t>
  </si>
  <si>
    <t>Erection, Commissioning And Installation Service</t>
  </si>
  <si>
    <t>Textiles-Textile - others</t>
  </si>
  <si>
    <t>Services-Construction-Repairs</t>
  </si>
  <si>
    <t>Repairs</t>
  </si>
  <si>
    <t>Cotton</t>
  </si>
  <si>
    <t>Textiles-Cotton</t>
  </si>
  <si>
    <t>Services-Consulting and management-Chartered Accountants</t>
  </si>
  <si>
    <t>Consulting and management</t>
  </si>
  <si>
    <t>Chartered Accountants</t>
  </si>
  <si>
    <t>Paper yarn</t>
  </si>
  <si>
    <t>Textiles-Paper yarn</t>
  </si>
  <si>
    <t>Services-Consulting and management-Company secretaries</t>
  </si>
  <si>
    <t>Company secretaries</t>
  </si>
  <si>
    <t>Carpets</t>
  </si>
  <si>
    <t>Textiles-Carpets</t>
  </si>
  <si>
    <t>Services-Consulting and management-Consulting Engineer Services</t>
  </si>
  <si>
    <t>Consulting Engineer Services</t>
  </si>
  <si>
    <t>Knitted fabrics, crocheted fabrics</t>
  </si>
  <si>
    <t>Textiles-Knitted fabrics, crocheted fabrics</t>
  </si>
  <si>
    <t>Services-Consulting and management-Cost accountant</t>
  </si>
  <si>
    <t>Cost accountant</t>
  </si>
  <si>
    <t>Footwear-Footwear</t>
  </si>
  <si>
    <t>Services-Consulting and management-Event Management</t>
  </si>
  <si>
    <t>Event Management</t>
  </si>
  <si>
    <t>Others-Others</t>
  </si>
  <si>
    <t>Management Or Business Consultant Service</t>
  </si>
  <si>
    <t>Cement , construction material and glass</t>
  </si>
  <si>
    <t>Cement , construction material and glass-Cement , construction material and glass</t>
  </si>
  <si>
    <t>Services-Consulting and management-Research</t>
  </si>
  <si>
    <t>Research</t>
  </si>
  <si>
    <t>Gems and Jewellery</t>
  </si>
  <si>
    <t>Gems and Jewellery-Gems and Jewellery</t>
  </si>
  <si>
    <t>Services-Education-Coaching and training</t>
  </si>
  <si>
    <t>Coaching and training</t>
  </si>
  <si>
    <t>Iron and steel</t>
  </si>
  <si>
    <t>Services-Financial services-Asset and fund management</t>
  </si>
  <si>
    <t>Financial services</t>
  </si>
  <si>
    <t>Asset and fund management</t>
  </si>
  <si>
    <t>Services-Financial services-Banking and non-banking financial services</t>
  </si>
  <si>
    <t>Banking and non</t>
  </si>
  <si>
    <t>banking financial services</t>
  </si>
  <si>
    <t>Nickel</t>
  </si>
  <si>
    <t>Metal and metal products-Nickel</t>
  </si>
  <si>
    <t>Services-Financial services-Payments</t>
  </si>
  <si>
    <t>Payments</t>
  </si>
  <si>
    <t>Aluminum</t>
  </si>
  <si>
    <t>Services-Financial services-Credit Ratings</t>
  </si>
  <si>
    <t>Credit Ratings</t>
  </si>
  <si>
    <t>Metal and metal products-None</t>
  </si>
  <si>
    <t>Services-Financial services-General insurance</t>
  </si>
  <si>
    <t>General insurance</t>
  </si>
  <si>
    <t>Lead</t>
  </si>
  <si>
    <t>Metal and metal products-Lead</t>
  </si>
  <si>
    <t>Metal and metal products-Zinc</t>
  </si>
  <si>
    <t>Services-Financial services-Stock exchange services</t>
  </si>
  <si>
    <t>Stock exchange services</t>
  </si>
  <si>
    <t>Tin</t>
  </si>
  <si>
    <t>Metal and metal products-Tin</t>
  </si>
  <si>
    <t>Services-Financial services-Insurance (ULIP)</t>
  </si>
  <si>
    <t>Insurance (ULIP)</t>
  </si>
  <si>
    <t>Metal and metal products-Other base metals</t>
  </si>
  <si>
    <t>Services-Health-Health Club And Fitness Centre Service</t>
  </si>
  <si>
    <t>Health</t>
  </si>
  <si>
    <t>Health Club And Fitness Centre Service</t>
  </si>
  <si>
    <t>Metal and metal products-Metal products - others</t>
  </si>
  <si>
    <t>Services-Health-Health Services By A Clinical Establishment, Health Check-Up/ Diagnosis , Etc.</t>
  </si>
  <si>
    <t>Health Services By A Clinical Establishment, Health Check</t>
  </si>
  <si>
    <t>Up/ Diagnosis , Etc.</t>
  </si>
  <si>
    <t>Industrial</t>
  </si>
  <si>
    <t>Services-Health-Maintenance Of Medical Records Service</t>
  </si>
  <si>
    <t>Maintenance Of Medical Records Service</t>
  </si>
  <si>
    <t>Consumer durables and electronics</t>
  </si>
  <si>
    <t>Consumer durables and electronics-Consumer durables and electronics</t>
  </si>
  <si>
    <t>Services-Hotel, restaurants, catering 
 -Accomodation and Hotel</t>
  </si>
  <si>
    <t>Hotel, restaurants, catering</t>
  </si>
  <si>
    <t>Accomodation and Hotel</t>
  </si>
  <si>
    <t>Services-Hotel, restaurants, catering-Catering</t>
  </si>
  <si>
    <t>Catering</t>
  </si>
  <si>
    <t xml:space="preserve">Automobiles-Automobiles </t>
  </si>
  <si>
    <t>Tractors</t>
  </si>
  <si>
    <t>Automobiles-Automobiles - Tractors</t>
  </si>
  <si>
    <t>Services-Hotel, restaurants, catering-Restaurants</t>
  </si>
  <si>
    <t>Bicycles</t>
  </si>
  <si>
    <t>Automobiles-Automobiles - Bicycles</t>
  </si>
  <si>
    <t>Services-Information technology-Information technology</t>
  </si>
  <si>
    <t>Information technology</t>
  </si>
  <si>
    <t>Motor vehicles</t>
  </si>
  <si>
    <t>Automobiles-Automobiles - Motor vehicles</t>
  </si>
  <si>
    <t>Services-Legal-Legal Consultancy Service</t>
  </si>
  <si>
    <t>Legal</t>
  </si>
  <si>
    <t>Legal Consultancy Service</t>
  </si>
  <si>
    <t>Arms and Military weapons</t>
  </si>
  <si>
    <t>Services-Mail and courier-Courier agency</t>
  </si>
  <si>
    <t>Courier agency</t>
  </si>
  <si>
    <t>Gift Articles,Toys &amp; Cards, stationary</t>
  </si>
  <si>
    <t>Others-Gift Articles,Toys &amp; Cards, stationary</t>
  </si>
  <si>
    <t>Services-Mail and courier-Mail</t>
  </si>
  <si>
    <t>Mail</t>
  </si>
  <si>
    <t>Art</t>
  </si>
  <si>
    <t>Others-Art</t>
  </si>
  <si>
    <t>Services-Mail and courier-Mail and courier</t>
  </si>
  <si>
    <t>Services-Manpower, recruitment and staffing-Security</t>
  </si>
  <si>
    <t>Manpower, recruitment and staffing</t>
  </si>
  <si>
    <t>Security</t>
  </si>
  <si>
    <t>Services-Manpower, recruitment, staffing and security-ATM related services</t>
  </si>
  <si>
    <t>Manpower, recruitment, staffing and security</t>
  </si>
  <si>
    <t>ATM related services</t>
  </si>
  <si>
    <t>Count unique</t>
  </si>
  <si>
    <t>Services-Manpower, recruitment, staffing and security-Cleaning Services</t>
  </si>
  <si>
    <t>Cleaning Services</t>
  </si>
  <si>
    <t>Services-Manpower, recruitment, staffing and security-Recruitment</t>
  </si>
  <si>
    <t>Recruitment</t>
  </si>
  <si>
    <t>Services-Others-Travel agent</t>
  </si>
  <si>
    <t>Services-Others-Airport Services By Airport Authority</t>
  </si>
  <si>
    <t>Airport Services By Airport Authority</t>
  </si>
  <si>
    <t>Services-Others-Auction</t>
  </si>
  <si>
    <t>Auction</t>
  </si>
  <si>
    <t>Services-Others-Beauty Parlour</t>
  </si>
  <si>
    <t>Beauty Parlour</t>
  </si>
  <si>
    <t>Services-Others-Business Auxiliary Service</t>
  </si>
  <si>
    <t>Business Auxiliary Service</t>
  </si>
  <si>
    <t>Services-Others-Business Exhibition Service</t>
  </si>
  <si>
    <t>Business Exhibition Service</t>
  </si>
  <si>
    <t>Services-Others-Business Support Service</t>
  </si>
  <si>
    <t>Business Support Service</t>
  </si>
  <si>
    <t>Services-Others-Cable Operators</t>
  </si>
  <si>
    <t>Cable Operators</t>
  </si>
  <si>
    <t>Services-Others-Cargo Handling</t>
  </si>
  <si>
    <t>Cargo Handling</t>
  </si>
  <si>
    <t>Services-Others-Club Or Association Service</t>
  </si>
  <si>
    <t>Club Or Association Service</t>
  </si>
  <si>
    <t>Services-Others-Convention Service</t>
  </si>
  <si>
    <t>Convention Service</t>
  </si>
  <si>
    <t>Services-Others-Copyright service</t>
  </si>
  <si>
    <t>Copyright service</t>
  </si>
  <si>
    <t>Services-Others-Cosmetic And Plastic Surgery Service</t>
  </si>
  <si>
    <t>Cosmetic And Plastic Surgery Service</t>
  </si>
  <si>
    <t>Services-Others-Design services</t>
  </si>
  <si>
    <t>Design services</t>
  </si>
  <si>
    <t>Services-Others-Others</t>
  </si>
  <si>
    <t>Services-Others-Dry Cleaning Service</t>
  </si>
  <si>
    <t>Dry Cleaning Service</t>
  </si>
  <si>
    <t>Services-Others-Electricity Exchange Service</t>
  </si>
  <si>
    <t>Electricity Exchange Service</t>
  </si>
  <si>
    <t>Services-Others-Fashion Design</t>
  </si>
  <si>
    <t>Fashion Design</t>
  </si>
  <si>
    <t>Services-Others-Facsimile Services Fax</t>
  </si>
  <si>
    <t>Facsimile Services Fax</t>
  </si>
  <si>
    <t>Services-Others-Franchise</t>
  </si>
  <si>
    <t>Franchise</t>
  </si>
  <si>
    <t>Services-Others-Intellectual Property Rights Service Other Than Copyright</t>
  </si>
  <si>
    <t>Intellectual Property Rights Service Other Than Copyright</t>
  </si>
  <si>
    <t>Services-Others-Internet Cafe</t>
  </si>
  <si>
    <t>Internet Cafe</t>
  </si>
  <si>
    <t>Internet Telecommunication Service</t>
  </si>
  <si>
    <t>Services-Others-Leased Circuits</t>
  </si>
  <si>
    <t>Leased Circuits</t>
  </si>
  <si>
    <t>Services-Others-Mandap Keeper Service</t>
  </si>
  <si>
    <t>Mandap Keeper Service</t>
  </si>
  <si>
    <t>Services-Others-Online Information And Database Access Service</t>
  </si>
  <si>
    <t>Online Information And Database Access Service</t>
  </si>
  <si>
    <t>Services-Others-Opinion Poll Agency Service</t>
  </si>
  <si>
    <t>Opinion Poll Agency Service</t>
  </si>
  <si>
    <t>Services-Others-Pandal Or Shamiana Service</t>
  </si>
  <si>
    <t>Pandal Or Shamiana Service</t>
  </si>
  <si>
    <t>Services-Others-Pager Services (Radio Paging)</t>
  </si>
  <si>
    <t>Pager Services (Radio Paging)</t>
  </si>
  <si>
    <t>Services-Others-Permitting Commercial Use Or Exploitation Of Events Service</t>
  </si>
  <si>
    <t>Permitting Commercial Use Or Exploitation Of Events Service</t>
  </si>
  <si>
    <t>Services-Others-Photography Service</t>
  </si>
  <si>
    <t>Photography Service</t>
  </si>
  <si>
    <t>Port services</t>
  </si>
  <si>
    <t>Services-Others-Programme Producer Service</t>
  </si>
  <si>
    <t>Programme Producer Service</t>
  </si>
  <si>
    <t>Services-Others-Registrar To An Issue Service</t>
  </si>
  <si>
    <t>Registrar To An Issue Service</t>
  </si>
  <si>
    <t>Services-Others-Repairs</t>
  </si>
  <si>
    <t>Services-Others-Scientific And Technical Consultancy Services</t>
  </si>
  <si>
    <t>Scientific And Technical Consultancy Services</t>
  </si>
  <si>
    <t>Services-Others-Clearing and forwarding services</t>
  </si>
  <si>
    <t>Clearing and forwarding services</t>
  </si>
  <si>
    <t>Services-Others-Ship management</t>
  </si>
  <si>
    <t>Ship management</t>
  </si>
  <si>
    <t>Services-Others-Sound recording</t>
  </si>
  <si>
    <t>Sound recording</t>
  </si>
  <si>
    <t>Services-Others-Sponsorship services</t>
  </si>
  <si>
    <t>Sponsorship services</t>
  </si>
  <si>
    <t>Services-Others-Surveys</t>
  </si>
  <si>
    <t>Surveys</t>
  </si>
  <si>
    <t>Services-Others-Testing and analysis (technical)</t>
  </si>
  <si>
    <t>Testing and analysis (technical)</t>
  </si>
  <si>
    <t>Services-Others-Telecommunication Service By Telegraph Authority</t>
  </si>
  <si>
    <t>Telecommunication Service By Telegraph Authority</t>
  </si>
  <si>
    <t>Services-Others-Telegraph Service</t>
  </si>
  <si>
    <t>Telegraph Service</t>
  </si>
  <si>
    <t>Services-Others-Telephone Services</t>
  </si>
  <si>
    <t>Telephone Services</t>
  </si>
  <si>
    <t>Services-Others-Telex Services</t>
  </si>
  <si>
    <t>Telex Services</t>
  </si>
  <si>
    <t>Services-Others-Underwriter Service</t>
  </si>
  <si>
    <t>Underwriter Service</t>
  </si>
  <si>
    <t>Services-Others-Works contracts</t>
  </si>
  <si>
    <t>Works contracts</t>
  </si>
  <si>
    <t>Services-Transportation, warehousing, logistics-Goods transport</t>
  </si>
  <si>
    <t>Transportation, warehousing, logistics</t>
  </si>
  <si>
    <t>Goods transport</t>
  </si>
  <si>
    <t>Services-Transportation, warehousing, logistics-Transportation, warehousing, logistics</t>
  </si>
  <si>
    <t>Services-Transportation, warehousing, logistics-Air transport of goods</t>
  </si>
  <si>
    <t>Air transport of goods</t>
  </si>
  <si>
    <t>Sea transport of goods</t>
  </si>
  <si>
    <t>Services-Transportation, warehousing, logistics-Rail transport of goods</t>
  </si>
  <si>
    <t>Rail transport of goods</t>
  </si>
  <si>
    <t>Services-Transportation, warehousing, logistics-Road transport of goods</t>
  </si>
  <si>
    <t>Road transport of goods</t>
  </si>
  <si>
    <t>Services-Transportation, warehousing, logistics-Pipeline trnsport of goods</t>
  </si>
  <si>
    <t>Pipeline trnsport of goods</t>
  </si>
  <si>
    <t>Services-Travel and tourism-Travel and tourism</t>
  </si>
  <si>
    <t>Travel and tourism</t>
  </si>
  <si>
    <t>Passenger transport (Air)</t>
  </si>
  <si>
    <t>Services-Travel and tourism-Passenger transport (cruise)</t>
  </si>
  <si>
    <t>Passenger transport (cruise)</t>
  </si>
  <si>
    <t>Services-Travel and tourism-Passenger transport</t>
  </si>
  <si>
    <t>Passenger transport</t>
  </si>
  <si>
    <t>agriculture, forestry, and fishing, food grains, horticulture crops, livestock, Milk, Sugar, food processing industry, Rice, Paddy, Wheat and Other Cereals, Rice, Non-Basmati Rice, Basmati rice, Soya, Sugar, Spices, Meat, Cotton crop</t>
  </si>
  <si>
    <t>AUTOMOBILES</t>
  </si>
  <si>
    <t>two wheelers, passenger vehicles, commercial vehicles</t>
  </si>
  <si>
    <t>AUTO COMPONENTS</t>
  </si>
  <si>
    <t xml:space="preserve">road wheels, steering wheels, steering columns, steering boxes, Gear boxes, drive axles,  suspension shock absorbers, clutches, bumpers, Radiators
- Pistons, Piston rings, Engine valves, Fuel pumps, Fuel ignition system, Carburettor, Bimetallic, bearings, Starter motor, Generators, Ignition system, Spark plug, Gears, Steering gears &amp; systems, Clutch plates and discs, Axle and assembly  &amp; wheels, Leaf springs, Shock absorbers, Brake assembly &amp; facing,  Head lights, Wiping systems, Wiping motors, Electric horns, Dashboard instruments, Sheet metal parts, Pressure discs, automotive Castings
, 
</t>
  </si>
  <si>
    <t>AVIATION</t>
  </si>
  <si>
    <t>Aviation</t>
  </si>
  <si>
    <r>
      <rPr>
        <color rgb="FF000000"/>
      </rPr>
      <t>CEMENT</t>
    </r>
    <r>
      <rPr/>
      <t xml:space="preserve"> and cement products</t>
    </r>
  </si>
  <si>
    <t>Construction material, clinker, gray cement , roof tiles, rainwater goods, sewerage pipe, and pressure pipe</t>
  </si>
  <si>
    <r>
      <rPr>
        <color rgb="FF000000"/>
      </rPr>
      <t>CHEMICALS</t>
    </r>
    <r>
      <rPr/>
      <t xml:space="preserve"> and PHARMACEUTICALS</t>
    </r>
  </si>
  <si>
    <t>bulk chemicals, specialty chemicals, agrochemicals, petrochemicals, polymers, fertilisers, commodity chemicals
organic and inorganic chemicals
Dye, alkali
Pharmaceuticals, APIs, bulk drugs, formulations, finished dosages, clinical trails, contract manufacturing and research, bio-technology
Paint</t>
  </si>
  <si>
    <t>80,000 commercial products</t>
  </si>
  <si>
    <t>CONSUMER DURABLES</t>
  </si>
  <si>
    <t>Television, TV,  air conditioner , electronic appliances, Smartphone, computer hardware, Consumer Electronics, Electronic Components</t>
  </si>
  <si>
    <t>DEFENCE MANUFACTURING</t>
  </si>
  <si>
    <t>submarines, Missiles, tanks,</t>
  </si>
  <si>
    <t>E-COMMERCE</t>
  </si>
  <si>
    <t>Online grocery, online food,</t>
  </si>
  <si>
    <t>EDUCATION AND TRAINING</t>
  </si>
  <si>
    <t>ELECTRONICS SYSTEM DESIGN &amp; MANUFACTURING</t>
  </si>
  <si>
    <t xml:space="preserve"> transport equipment, capital goods, machinery/equipment, castings, forgings, light engineering products, fastners,  semiconductors, telecom equipment, industrial machinery</t>
  </si>
  <si>
    <r>
      <rPr>
        <b/>
        <color rgb="FF000000"/>
      </rPr>
      <t xml:space="preserve">FINANCIAL </t>
    </r>
    <r>
      <rPr>
        <b/>
      </rPr>
      <t>INSTITUTES</t>
    </r>
  </si>
  <si>
    <t>Insurance companies, non-banking financial companies, NBFCs, pension funds, mutual funds, banks, asset management companies
Investment companies</t>
  </si>
  <si>
    <t>FMCG</t>
  </si>
  <si>
    <t>noodles, food products,immunity boosting syrup concentrates, milkshakescakes, chocolates, snacks, chips, branded tea, branded coffee, ghee,mouth sprays, ayurvedic mouth cleansers and mouthwash,hair oil
Breweries, Distilleries
tobacco products, cigerettes
Edible Oils
Packaged Foods</t>
  </si>
  <si>
    <t>GEMS AND JEWELLERY</t>
  </si>
  <si>
    <t xml:space="preserve">gold, diamond, pearls, precious stones, gems, jewellery, silver, Platinum, Pallidum </t>
  </si>
  <si>
    <t>HEALTHCARE</t>
  </si>
  <si>
    <t>hospitals, medical devices,  medical equipment</t>
  </si>
  <si>
    <r>
      <rPr>
        <color rgb="FF000000"/>
      </rPr>
      <t>INFRASTRUCTURE</t>
    </r>
    <r>
      <rPr/>
      <t xml:space="preserve"> - POWER</t>
    </r>
  </si>
  <si>
    <r>
      <rPr>
        <color rgb="FF000000"/>
      </rPr>
      <t>INFRASTRUCTURE</t>
    </r>
    <r>
      <rPr/>
      <t xml:space="preserve"> - Construction</t>
    </r>
  </si>
  <si>
    <t>Bridges, dams, roads, and buildings</t>
  </si>
  <si>
    <r>
      <rPr>
        <color rgb="FF000000"/>
      </rPr>
      <t>INFRASTRUCTURE</t>
    </r>
    <r>
      <rPr/>
      <t xml:space="preserve"> - Logistcs</t>
    </r>
  </si>
  <si>
    <t>Logistics</t>
  </si>
  <si>
    <t xml:space="preserve">Rubber </t>
  </si>
  <si>
    <t>IT &amp; BPM</t>
  </si>
  <si>
    <t>IT, BPM, AI, computer software, BPO, KPO</t>
  </si>
  <si>
    <t>MEDIA AND ENTERTAINMENT</t>
  </si>
  <si>
    <t>Advertisement, Animation, Visual Effects, Gaming and Comic, Music, OTT content,  films and web shows
Broadcasting, Cable TV</t>
  </si>
  <si>
    <t>MEDICAL DEVICES</t>
  </si>
  <si>
    <t>METALS</t>
  </si>
  <si>
    <t xml:space="preserve"> steel, Aluminuim, Nickle, zinc, crude steel and finished steel, Copper</t>
  </si>
  <si>
    <t>MINING</t>
  </si>
  <si>
    <t>iron ore mining, bauxite mining, coal mining</t>
  </si>
  <si>
    <t>OIL AND GAS</t>
  </si>
  <si>
    <t>natural gas, petroleum products, refineries, natural gas</t>
  </si>
  <si>
    <t>POWER</t>
  </si>
  <si>
    <t>Electricity, solar energy, Renewable Energy, wind energy, windmills, power transmission</t>
  </si>
  <si>
    <t>REAL ESTATE</t>
  </si>
  <si>
    <t>housing construction, residential, hospitality construction/real estate, and commercial construction</t>
  </si>
  <si>
    <t>TELECOMMUNICATIONS</t>
  </si>
  <si>
    <t>TEXTILES</t>
  </si>
  <si>
    <t>power looms, hosiery, knitting, Ready made garments of cotton, yarn, made-ups, handloom products, handicrafts, carpets and jute , floor coverings</t>
  </si>
  <si>
    <t>TOURISM AND HOSPITALITY</t>
  </si>
  <si>
    <t>Hotels, Restaurants, tour operators</t>
  </si>
  <si>
    <t>Wood and wood products - paper</t>
  </si>
  <si>
    <t>Printing</t>
  </si>
  <si>
    <t>Services - Consulting Services</t>
  </si>
  <si>
    <t>Footware</t>
  </si>
  <si>
    <t>Serial No / Chapter No’s</t>
  </si>
  <si>
    <t>Product caateogory</t>
  </si>
  <si>
    <t>Sub industry</t>
  </si>
  <si>
    <t>Products</t>
  </si>
  <si>
    <t>Description</t>
  </si>
  <si>
    <t>Live animals and poultry</t>
  </si>
  <si>
    <t>Live Animals and poultry</t>
  </si>
  <si>
    <t>AGRICULTURE,
ANIMAL HUSBANDRY
&amp; FORESTRY</t>
  </si>
  <si>
    <t>Chapter 2</t>
  </si>
  <si>
    <t>Animal Meat edible offals</t>
  </si>
  <si>
    <t>Animal Meat and edible offals</t>
  </si>
  <si>
    <t>Food Products &amp; Beverages</t>
  </si>
  <si>
    <t>Chapter 3</t>
  </si>
  <si>
    <t>Fish, fillets and other aquatic animals meat</t>
  </si>
  <si>
    <t>Dairy produce; birds’ eggs; natural honey; edible products of animal origin; Honey, Eggs and Dairy Products</t>
  </si>
  <si>
    <t xml:space="preserve">covers all products of animal origin, Inedible animal products (unspecified), human hair, Semen including frozen semen	</t>
  </si>
  <si>
    <t>Chapter 6</t>
  </si>
  <si>
    <t xml:space="preserve">Vegetable Products
</t>
  </si>
  <si>
    <t>Flowers, Live trees and plants</t>
  </si>
  <si>
    <t>Chapter 7</t>
  </si>
  <si>
    <t>Vegetables</t>
  </si>
  <si>
    <t>Chapter 8</t>
  </si>
  <si>
    <t>Fruits</t>
  </si>
  <si>
    <t>Chapter 9</t>
  </si>
  <si>
    <t>Coffee
Tea
Spices</t>
  </si>
  <si>
    <t>Coffee - 0901
Tea - 0902
Spices - 0903 to 0910</t>
  </si>
  <si>
    <t>Tea, coffee, spices, pepper, ANISE,BADIAN,FENNEL, CORIANDER, CUMIN OR CARAWAY</t>
  </si>
  <si>
    <t>Chapter 10</t>
  </si>
  <si>
    <t>WIP</t>
  </si>
  <si>
    <t>Cereals and Grains, wheat, rye, barley, oats, rice, barley</t>
  </si>
  <si>
    <t>Vegetables and Fruits (seeds)</t>
  </si>
  <si>
    <t>Seeds</t>
  </si>
  <si>
    <t>Oilseeds and oleaginous fruits; miscellaneous grains, seeds, and fruit; industrial or medicinal plants; straw and fodder; Medicinal Plants, seeds and fruits</t>
  </si>
  <si>
    <t>Chapter 13</t>
  </si>
  <si>
    <t xml:space="preserve">Vegetable Products
</t>
  </si>
  <si>
    <t>Lac, Gums, Resins, vegetable SAP and other extracts</t>
  </si>
  <si>
    <t>Chapter 14</t>
  </si>
  <si>
    <t>Vegetable products and materials (unspecified)</t>
  </si>
  <si>
    <t>Chapter 15</t>
  </si>
  <si>
    <t xml:space="preserve">Animal or Vegetable Fats and Oils, edible oil
</t>
  </si>
  <si>
    <t>Palm oil, sunflower oil, coconut oil,mustard oil, vegetable fat, animal fat, vegetable oil, animal oil, glycerol,olive oil, ground nut oil, soyabean oil,lard oil, fat of sheet, fat of goat, pig fat</t>
  </si>
  <si>
    <t>Animal or vegetable fats and oil and their cleavage products; prepared edible fats; animal or vegetable waxes; ,soyabean oil, groundnut oil, edible oil, olive oi, palm oil, sunflower oil,</t>
  </si>
  <si>
    <t>Chapter 16</t>
  </si>
  <si>
    <t xml:space="preserve">Prepared Foodstuffs
</t>
  </si>
  <si>
    <t>Fish and aquatic vertebrates meat (Prepared/Preserved)</t>
  </si>
  <si>
    <t>Chapter 17</t>
  </si>
  <si>
    <t>Sugar, sugar confectionery and bubble gums</t>
  </si>
  <si>
    <t>Chapter 18</t>
  </si>
  <si>
    <t>Cocoa and Cocoa products</t>
  </si>
  <si>
    <t>Chapter 19</t>
  </si>
  <si>
    <t>Pastry, pizza, bread, waffles</t>
  </si>
  <si>
    <t>Preparations of cereals, flour, starch, or milk; pastry cooks’ products; Pastry, pizza, bread, waffles</t>
  </si>
  <si>
    <t>Chapter 20</t>
  </si>
  <si>
    <t>Fruits, Juices, Jams and Jellies</t>
  </si>
  <si>
    <t>Preparations of vegetables, fruit, nuts, or other parts of plants; Fruits, Juices, Jams and Jellies</t>
  </si>
  <si>
    <t>Chapter 21</t>
  </si>
  <si>
    <t>Tea, coffee and other edible preparations</t>
  </si>
  <si>
    <t>Chapter 22</t>
  </si>
  <si>
    <t>Coldrink, soda, non-alcoholic beverages, Spirit, Vinegar</t>
  </si>
  <si>
    <t>beverages, Spirit and Vinegar</t>
  </si>
  <si>
    <t>Chapter 23</t>
  </si>
  <si>
    <t>Residual starch products, meals, and pellets</t>
  </si>
  <si>
    <t>Chapter 24</t>
  </si>
  <si>
    <t>Cigerettes</t>
  </si>
  <si>
    <t>Tobacco and tobacco products; cigerettes</t>
  </si>
  <si>
    <t xml:space="preserve">Mineral Products
</t>
  </si>
  <si>
    <t>Salt, marbles</t>
  </si>
  <si>
    <t>Salt; sulfur, earth, and stones; plastering materials, lime</t>
  </si>
  <si>
    <t>Chapter 26</t>
  </si>
  <si>
    <t>Mineral ores and concentrates</t>
  </si>
  <si>
    <t>Ores, slag, and ash; Mineral ores and concentrates</t>
  </si>
  <si>
    <t>Coal, coke, coal tar, petroleum oils,  petroleum gases and other gaseous hydrocarbons Liquified,  Petroleum jelly, paraffin wax, microcystalline petroleum wad, slack wax, ozokerite, lignite wax, peta wax, other mineral waxes,  Petroleum coke, petroleum bitumen, Bitumen and asphalt, natural bituminous</t>
  </si>
  <si>
    <t>Mineral fuels, mineral oils, and products of their distillation; bituminous substances; mineral waxes; Coal, Petroleum and other fossil fuels</t>
  </si>
  <si>
    <t xml:space="preserve">Chemicals, pharmaceuticals, and allied Industries
</t>
  </si>
  <si>
    <t>Gases and Inorganic Chemicals</t>
  </si>
  <si>
    <t>Chapter 29</t>
  </si>
  <si>
    <t>Organic chemicals; hydrocarbons</t>
  </si>
  <si>
    <t>Chapter 30</t>
  </si>
  <si>
    <t>Pharmaceutical products and blood</t>
  </si>
  <si>
    <t>Chapter 31</t>
  </si>
  <si>
    <t>Chapter 32</t>
  </si>
  <si>
    <t>Colouring and Tanning products</t>
  </si>
  <si>
    <t>Chapter 33</t>
  </si>
  <si>
    <t>Cosmetics;  perfumery, essential oils or toilet preparations</t>
  </si>
  <si>
    <t>Chapter 34</t>
  </si>
  <si>
    <t>Soaps and waxes;  organic surface-active agents, washing preparations, lubricating preparations</t>
  </si>
  <si>
    <t>Chapter 35</t>
  </si>
  <si>
    <t>Glues and Enzymes; Albuminoidal substances; modified starches; glues; enzymes</t>
  </si>
  <si>
    <t>Chapter 36</t>
  </si>
  <si>
    <t>IExplosives; pyrotechnic products; matches; pyrophoric alloys; certain combustible preparations.; ndustrial explosives and fireworks</t>
  </si>
  <si>
    <t>Photographic and cinematographic goods</t>
  </si>
  <si>
    <t>Miscellaneous chemical products and clinical wastes</t>
  </si>
  <si>
    <t>Chapter 39</t>
  </si>
  <si>
    <t>Plastic products</t>
  </si>
  <si>
    <t>Chapter 40</t>
  </si>
  <si>
    <t>Chapter 41</t>
  </si>
  <si>
    <t>Skins and rawhides</t>
  </si>
  <si>
    <t>Skins and rawhides; leather (raw)</t>
  </si>
  <si>
    <t>Chapter 42</t>
  </si>
  <si>
    <t>Leather products: Bags, wallets, and handbags</t>
  </si>
  <si>
    <t>Chapter 43</t>
  </si>
  <si>
    <t>Raw and artificial fur products</t>
  </si>
  <si>
    <t>Chapter 44</t>
  </si>
  <si>
    <t xml:space="preserve">Wood &amp; Wood Products / Paper industry
</t>
  </si>
  <si>
    <t>Wood products and Wood charcoal</t>
  </si>
  <si>
    <t>Chapter 45</t>
  </si>
  <si>
    <t>Others - cork</t>
  </si>
  <si>
    <t>Natural and Shuttlecock Cork</t>
  </si>
  <si>
    <t>Chapter 46</t>
  </si>
  <si>
    <t>Others - straw</t>
  </si>
  <si>
    <t>Manufactures of straw, of esparto, or of other plaiting materials; basketwork and wickerwork.</t>
  </si>
  <si>
    <t>Chapter 47</t>
  </si>
  <si>
    <t>Wood pulp</t>
  </si>
  <si>
    <t>Wood Pulp; pulp of fibrous cellulosic material; recovered (waste and scrap) paper or paperboard.</t>
  </si>
  <si>
    <t>Chapter 48</t>
  </si>
  <si>
    <t>Paper, Paperboard, Newsprint</t>
  </si>
  <si>
    <t>Chapter 49</t>
  </si>
  <si>
    <t>Printed Books, Newspapers and Postal goods</t>
  </si>
  <si>
    <t>Printed books, newspapers, pictures, and other products of the printing industry; manuscripts, typescripts, and plans</t>
  </si>
  <si>
    <t>Chapter 50</t>
  </si>
  <si>
    <t>Chapter 51</t>
  </si>
  <si>
    <t>Textile - others</t>
  </si>
  <si>
    <t>Fine, woolor coarse animal hair; woven fabric andhorse hair yarn</t>
  </si>
  <si>
    <t>Chapter 52</t>
  </si>
  <si>
    <t>Chapter 53</t>
  </si>
  <si>
    <t>Paper yarn/Jute</t>
  </si>
  <si>
    <t>Paper yarn, Jute</t>
  </si>
  <si>
    <t>paper yarn and woven fabrics of paper yarn and Other vegetable textile fibres</t>
  </si>
  <si>
    <t>Chapter 54</t>
  </si>
  <si>
    <t>Man-made filaments</t>
  </si>
  <si>
    <t>Man-made filaments, SYNTHETIC FILAMENT YARN, ARTIFICIAL FILAMENT YARN, WOVEN FABRICS OF SYNTHETIC FILAMENT YARN,</t>
  </si>
  <si>
    <t>Chapter 57</t>
  </si>
  <si>
    <t>Carpets and other textile floor coverings</t>
  </si>
  <si>
    <t>Chapter 58</t>
  </si>
  <si>
    <t>Fabrics of tufted textile, lace; tapestries,trimmings; embroidery</t>
  </si>
  <si>
    <t>Special woven fabrics; tufted textile fabrics; lace; tapestries; trimmings; embroidery</t>
  </si>
  <si>
    <t>Chapter 59</t>
  </si>
  <si>
    <t>Coated and laminated textile fabrics, special woven fabrics,</t>
  </si>
  <si>
    <t>Chapter 60</t>
  </si>
  <si>
    <t>Knitted or crocheted fabrics</t>
  </si>
  <si>
    <t>Chapter 61</t>
  </si>
  <si>
    <t>Accessories of clothing knitted or crocheted and articles of apparel</t>
  </si>
  <si>
    <t>Chapter 62</t>
  </si>
  <si>
    <t>Clothing accessories not knitted or crochetedand articles of apparel</t>
  </si>
  <si>
    <t>Chapter 63</t>
  </si>
  <si>
    <t>Other textile articles, sets, worn clothing and rags,worn textile articles</t>
  </si>
  <si>
    <t>Chapter 64</t>
  </si>
  <si>
    <t>Footwear, shoes</t>
  </si>
  <si>
    <t>Footwear, gaiters, and parts of such articles</t>
  </si>
  <si>
    <t>Chapter 65</t>
  </si>
  <si>
    <t>Others - general</t>
  </si>
  <si>
    <t>Headgears</t>
  </si>
  <si>
    <t>Headgear parts thereof</t>
  </si>
  <si>
    <t>Chapter 66</t>
  </si>
  <si>
    <t>Umbrellas, walking stick and accessories</t>
  </si>
  <si>
    <t>Chapter 67</t>
  </si>
  <si>
    <t>Wigs, artificial flowers, false beards</t>
  </si>
  <si>
    <t>Chapter 68</t>
  </si>
  <si>
    <t>Cement , construction material and allied industries</t>
  </si>
  <si>
    <t>Cement, Plaster, mica and construction materials</t>
  </si>
  <si>
    <t>Chapter 69</t>
  </si>
  <si>
    <t>Bricks and ceramic products</t>
  </si>
  <si>
    <t>Glass and glassware products</t>
  </si>
  <si>
    <t>Chapter 71</t>
  </si>
  <si>
    <t>Gold, silver, diamond, pearls and other precious metals</t>
  </si>
  <si>
    <t>Natural or cultured pearls, precious or semi-precious stones, precious metals, metals clad with precious metal and articles thereof; imitation jewelry; coin
Gold, silver, diamond, pearls and other precious metals</t>
  </si>
  <si>
    <t xml:space="preserve">Metal
</t>
  </si>
  <si>
    <t>Iron and steel
7202 - Ferro alloys
7208, 7209,7210,7211,2212 - Flat-rolled products of iron or non-alloy steel,
7217 - wires
7219,7220,7221,7222,7223 - stainless steel
7213, 7214, 7215, 7221, 7222, 7227, 7228 - bars and rods</t>
  </si>
  <si>
    <t>Iron, steel, Iron rods and non-alloy products</t>
  </si>
  <si>
    <t>Chapter 73</t>
  </si>
  <si>
    <t>Nails, needles, sanitary wares, batchroom accessories made of steel</t>
  </si>
  <si>
    <t>Railway tracks, iron tube, Containers, nails, needles and sanitary wares</t>
  </si>
  <si>
    <t>Chapter 77</t>
  </si>
  <si>
    <t>(Reserved for possible future use)</t>
  </si>
  <si>
    <t>Other base metals</t>
  </si>
  <si>
    <t>Metal products - others</t>
  </si>
  <si>
    <t>Agricultural tools, cutlery, razors and knives</t>
  </si>
  <si>
    <t>Padlocks, bells, safe deposit lockers and base metal products</t>
  </si>
  <si>
    <t xml:space="preserve">Machinery / Electrical
</t>
  </si>
  <si>
    <t>Industrial machinery, Nuclear reactors, boilers, industrial tools</t>
  </si>
  <si>
    <t>Industrial tools and machinery; Nuclear reactors, boilers, machinery, and mechanical appliances; parts thereof</t>
  </si>
  <si>
    <t>Electrical and electronic products</t>
  </si>
  <si>
    <t>Electrical and electronic products; Electrical machinery and equipment and parts thereof; sound recorders and reproducers, television image and sound recorders and reproducers, and parts and accessories of such articles</t>
  </si>
  <si>
    <t>Railway machinery and locomotives</t>
  </si>
  <si>
    <t xml:space="preserve">Automobiles - Tractors
Automobiles - Motor vehicles
Automobiles - Motor vehicles
Automobiles - Bicycles
</t>
  </si>
  <si>
    <t>8701 - Tractors
8702 to 8706 - Motor vehicles
8711 - Motorcycles
8712 - Bicycles
two wheelers, passenger vehicles, commercial vehicles</t>
  </si>
  <si>
    <t>Chapter 90</t>
  </si>
  <si>
    <t>Precision Instruments, Artificial organs, Medical equipment, monitoring systems, photographic, cinematographic accessories, lens and opticals fibres, eyeglasses</t>
  </si>
  <si>
    <t>Artificial organs, Medical equipment, monitoring systems, photographic, cinematographic accessories, lens and opticals fibres</t>
  </si>
  <si>
    <t>Chapter 91</t>
  </si>
  <si>
    <t>Precision instruments, watches and clocks</t>
  </si>
  <si>
    <t>Watches and clocks</t>
  </si>
  <si>
    <t>Chapter 92</t>
  </si>
  <si>
    <t>Musical instruments</t>
  </si>
  <si>
    <t>All Musical Instruments</t>
  </si>
  <si>
    <t>Chapter 93</t>
  </si>
  <si>
    <t xml:space="preserve">Arms and Ammunition
</t>
  </si>
  <si>
    <t>Chapter 94</t>
  </si>
  <si>
    <t xml:space="preserve">Gift Articles,Toys &amp; Cards, stationary
</t>
  </si>
  <si>
    <t>Lighting, furniture and household products</t>
  </si>
  <si>
    <t>Chapter 95</t>
  </si>
  <si>
    <t>Electronic toys, sports goods and gaming consoles</t>
  </si>
  <si>
    <t>Chapter 96</t>
  </si>
  <si>
    <t>Pens, pencils, educational equipments and smoking pipes</t>
  </si>
  <si>
    <t>Pens, pencils, educational equipments and smoking pipes; Miscellaneous manufactured articles</t>
  </si>
  <si>
    <t>Works of Art</t>
  </si>
  <si>
    <t>Arts and Antiques</t>
  </si>
  <si>
    <t>Chapter 98</t>
  </si>
  <si>
    <t>Passenger baggage, laboratory chemical and project imports</t>
  </si>
  <si>
    <t>Chapter 99</t>
  </si>
  <si>
    <t>Chapter 99 codes</t>
  </si>
  <si>
    <t>9954 series
440334
440290
440233
440306</t>
  </si>
  <si>
    <t>Infrastructure (Construction, power, and power distribution)</t>
  </si>
  <si>
    <t>Electricity supply, power, Electric power generation, transmission and distribution, Electricity, solar energy, Renewable Energy, wind energy, windmills, power transmission, Bridges, dams, roads, buildings, ERECTION, COMMISSIONING AND INSTALLATION SERVICE</t>
  </si>
  <si>
    <t>440334
440290</t>
  </si>
  <si>
    <t xml:space="preserve">440334 - Residential real estate
440290 - Commercial real estate
</t>
  </si>
  <si>
    <t>Real estate - residential
Real estate - commercial</t>
  </si>
  <si>
    <t>9963 series
441070
440051
441067</t>
  </si>
  <si>
    <t xml:space="preserve">Hotels
Restaurants
Catering
</t>
  </si>
  <si>
    <t xml:space="preserve">Hotel, restaurants, catering
</t>
  </si>
  <si>
    <t>9964 series</t>
  </si>
  <si>
    <t>Passenger transport services</t>
  </si>
  <si>
    <t>9965 series</t>
  </si>
  <si>
    <t>Goods transport services</t>
  </si>
  <si>
    <t>9966 series</t>
  </si>
  <si>
    <t>Rental services of transport vehicles with or without operators</t>
  </si>
  <si>
    <t>9967 series</t>
  </si>
  <si>
    <t>Storage and warehousing services
Cargo handling services</t>
  </si>
  <si>
    <t>Supporting transport services</t>
  </si>
  <si>
    <t>9968 series</t>
  </si>
  <si>
    <t>Postal and courier services</t>
  </si>
  <si>
    <t>9969 series</t>
  </si>
  <si>
    <t>Electricity, gas, water and other distribution services</t>
  </si>
  <si>
    <t>9971 series</t>
  </si>
  <si>
    <t>99711 sub series
440173</t>
  </si>
  <si>
    <t>Financial services (except investment banking, insurance services
and pension services)
 - bank, deposit, credit granting, financial leasing, others services</t>
  </si>
  <si>
    <t>99712 sub series</t>
  </si>
  <si>
    <t xml:space="preserve">Investment banking services </t>
  </si>
  <si>
    <t>99713 sub series
440005
440169
440185</t>
  </si>
  <si>
    <t>Insurance and pension services (excluding reinsurance services)</t>
  </si>
  <si>
    <t xml:space="preserve">99715 sub series
440418
</t>
  </si>
  <si>
    <t>Brokerage and related securities
Portfolio management services
Financial consultancy services</t>
  </si>
  <si>
    <t>Services auxiliary to financial services (other than to insurance and pensions)</t>
  </si>
  <si>
    <t>99716 sub series</t>
  </si>
  <si>
    <t>Services auxiliary to insurance and pension</t>
  </si>
  <si>
    <t>99717 sub series</t>
  </si>
  <si>
    <t>Services of holding financial assets</t>
  </si>
  <si>
    <t>9972 series</t>
  </si>
  <si>
    <t>real estate services</t>
  </si>
  <si>
    <t>9973 series</t>
  </si>
  <si>
    <t xml:space="preserve">Leasing or rental services with or without operator
</t>
  </si>
  <si>
    <t>9981 series</t>
  </si>
  <si>
    <t>Research and development services</t>
  </si>
  <si>
    <t>982 series</t>
  </si>
  <si>
    <t>Legal and accounting services</t>
  </si>
  <si>
    <t>http://gstcouncil.gov.in/sites/default/files/Explanatory_notes.pdf</t>
  </si>
  <si>
    <t>Management consulting and management services including financial, strategic, human resources, marketing, operations and supply chain management</t>
  </si>
  <si>
    <t>Business consulting services including public relations services</t>
  </si>
  <si>
    <t>998313
440452</t>
  </si>
  <si>
    <t>Information technology (IT) consulting and support services</t>
  </si>
  <si>
    <t xml:space="preserve">Information technology (IT) design and development services
</t>
  </si>
  <si>
    <t>Hosting and information technology (IT) infrastructure provisioning services</t>
  </si>
  <si>
    <t>IT infrastructure and network management services</t>
  </si>
  <si>
    <t>Other information technology services n.e.c.</t>
  </si>
  <si>
    <t>99832
440072</t>
  </si>
  <si>
    <t>Architectural services, urban and land planning and landscape
architectural services</t>
  </si>
  <si>
    <t>Engineering services</t>
  </si>
  <si>
    <t>Scientific and other technical services</t>
  </si>
  <si>
    <t>Veterinary services</t>
  </si>
  <si>
    <t>99836
440013
440414</t>
  </si>
  <si>
    <t>Advertising services</t>
  </si>
  <si>
    <t xml:space="preserve">Market research and public opinion polling services
</t>
  </si>
  <si>
    <t xml:space="preserve">Photography and videography and their processing services
</t>
  </si>
  <si>
    <t>Other professional, technical and business services</t>
  </si>
  <si>
    <t>9984 series
440165
440382</t>
  </si>
  <si>
    <t>Telecommunications, broadcasting and information supply services</t>
  </si>
  <si>
    <t>99851 series</t>
  </si>
  <si>
    <t xml:space="preserve">Employment services including personnel search/referral service
and labour supply service
</t>
  </si>
  <si>
    <t>Investigation and security services</t>
  </si>
  <si>
    <t>Cleaning services</t>
  </si>
  <si>
    <t>Packaging services</t>
  </si>
  <si>
    <t>99855
440032</t>
  </si>
  <si>
    <t>Travel arrangement, tour operator and related services</t>
  </si>
  <si>
    <t xml:space="preserve">Credit reporting
</t>
  </si>
  <si>
    <t>Other support services</t>
  </si>
  <si>
    <t>Support services to agriculture, hunting, forestry, and fishing</t>
  </si>
  <si>
    <t xml:space="preserve">Support services to mining
</t>
  </si>
  <si>
    <t xml:space="preserve">Support and operation services to electricity, gas and water
distribution
</t>
  </si>
  <si>
    <t xml:space="preserve">Maintenance, repair and installation (except construction)
services
</t>
  </si>
  <si>
    <t>9988 series</t>
  </si>
  <si>
    <t>Job work</t>
  </si>
  <si>
    <t xml:space="preserve">Manufacturing services on physical inputs owned by others
</t>
  </si>
  <si>
    <t>99881 sub series</t>
  </si>
  <si>
    <t>Job work in food</t>
  </si>
  <si>
    <t>Food, beverage and tobacco manufacturing services</t>
  </si>
  <si>
    <t>99882 sub series</t>
  </si>
  <si>
    <t>Job work in textile and leather</t>
  </si>
  <si>
    <t>Textile, wearing apparel and leather manufacturing services</t>
  </si>
  <si>
    <t>99883 sub series</t>
  </si>
  <si>
    <t>Job work in wood and paper manufacturing services</t>
  </si>
  <si>
    <t>Wood and paper manufacturing services</t>
  </si>
  <si>
    <t>99884 sub series</t>
  </si>
  <si>
    <t xml:space="preserve">Petroleum, chemical and pharmaceutical product manufacturing services
</t>
  </si>
  <si>
    <t>99885 sub seires</t>
  </si>
  <si>
    <t xml:space="preserve">Rubber, plastic and other non-metallic mineral product manufacturing services
</t>
  </si>
  <si>
    <t>Basic metal manufacturing services</t>
  </si>
  <si>
    <t xml:space="preserve">Fabricated metal product, machinery and equipment manufacturing services
</t>
  </si>
  <si>
    <t>Transport equipment manufacturing services</t>
  </si>
  <si>
    <t>Other manufacturing services</t>
  </si>
  <si>
    <t>Other manufacturing services; publishing, printing and reproduction services; materials recovery services</t>
  </si>
  <si>
    <t xml:space="preserve">Public administration and other services provided to the community as a whole; compulsory social security services
</t>
  </si>
  <si>
    <t>Education services</t>
  </si>
  <si>
    <t xml:space="preserve">Human health and social care services
</t>
  </si>
  <si>
    <t>Sewage and waste collection, treatment and disposal and other environmental protection services</t>
  </si>
  <si>
    <t>Services of membership organizations</t>
  </si>
  <si>
    <t>Recreational, cultural and sporting services</t>
  </si>
  <si>
    <t>Other services</t>
  </si>
  <si>
    <t>Domestic services</t>
  </si>
  <si>
    <t>Services provided by extraterritorial organizations and bodies.</t>
  </si>
  <si>
    <t>For every cateogory please mention the core business (manufacturing, trading, serivces)</t>
  </si>
  <si>
    <t>GSTn Chapter</t>
  </si>
  <si>
    <t>Product / Service cateogory (source)</t>
  </si>
  <si>
    <t>Key product/service cateogories with product/service names (names not being exhaustive)</t>
  </si>
  <si>
    <t>Dairy produce; birds’ eggs; natural honey; edible products of animal origin; Honey, Eggs and Dairy Products, Hides or skins, fur skin, ivory</t>
  </si>
  <si>
    <t>Chapter 5 + 2309 series + 3808 series</t>
  </si>
  <si>
    <t>Chapter 9 (0901 series)</t>
  </si>
  <si>
    <t xml:space="preserve">Coffee
</t>
  </si>
  <si>
    <t>Coffee (1901 series)</t>
  </si>
  <si>
    <t>Chapter 9 (0902 series)</t>
  </si>
  <si>
    <t>Tea (1902)</t>
  </si>
  <si>
    <t>Chapter 9 (all except 1901, 1902 series)</t>
  </si>
  <si>
    <t>spices, pepper, ANISE,BADIAN,FENNEL, CORIANDER, CUMIN OR CARAWAY</t>
  </si>
  <si>
    <r>
      <rPr>
        <rFont val="Calibri"/>
        <color rgb="FF92D050"/>
      </rPr>
      <t xml:space="preserve">Chapter 17 </t>
    </r>
    <r>
      <rPr>
        <rFont val="Calibri"/>
        <color rgb="FFFF9900"/>
      </rPr>
      <t>(not including 1702 series)</t>
    </r>
    <r>
      <rPr>
        <rFont val="Calibri"/>
        <color rgb="FF92D050"/>
      </rPr>
      <t xml:space="preserve"> and 2240 series</t>
    </r>
  </si>
  <si>
    <t>Chatper 18</t>
  </si>
  <si>
    <t>Chapter 23 (except 2309 series)</t>
  </si>
  <si>
    <t>Chapter 25 (except 2521 and 2523 and 2516 and 2515 series)</t>
  </si>
  <si>
    <t>Chapter 27 (except 2716 and 2701)</t>
  </si>
  <si>
    <t>2716 series and 2701 
(if there is clash for this set, then final classification is Electric Utilities)
Also,
'8501', '8504', '8511
996911,</t>
  </si>
  <si>
    <t xml:space="preserve">Electric Utilities
</t>
  </si>
  <si>
    <t>Electrical energy, Coal, Briquettes, ovoids and similar fuel manufactured from coal Coal, whether or not pulverized, but not agglomerated:</t>
  </si>
  <si>
    <t>Chapter 32 (3208, 3209, 3210 series)</t>
  </si>
  <si>
    <t>3208, 3209, 3210 series</t>
  </si>
  <si>
    <t>Paints</t>
  </si>
  <si>
    <r>
      <rPr>
        <rFont val="Calibri"/>
        <color rgb="FF000000"/>
        <sz val="10.0"/>
      </rPr>
      <t>Chapter 35</t>
    </r>
    <r>
      <rPr>
        <rFont val="Calibri"/>
        <color rgb="FFFF9900"/>
        <sz val="10.0"/>
      </rPr>
      <t xml:space="preserve"> (except 3506)</t>
    </r>
  </si>
  <si>
    <t>Chapter 38 (Excpet 3808 series)</t>
  </si>
  <si>
    <t>Chapter 98 (only 98041000)</t>
  </si>
  <si>
    <t>Drugs and medicines</t>
  </si>
  <si>
    <t>Chapter 98 (9802 series)</t>
  </si>
  <si>
    <t xml:space="preserve"> laboratory chemical</t>
  </si>
  <si>
    <t>1702 series</t>
  </si>
  <si>
    <t>Fructose etc</t>
  </si>
  <si>
    <t>Chapter 39
remove 3915 series from count</t>
  </si>
  <si>
    <t>Chapter 40 (except 4011 and 4012)</t>
  </si>
  <si>
    <t>Only 4011 and 4012</t>
  </si>
  <si>
    <t>Auto tyre</t>
  </si>
  <si>
    <t xml:space="preserve">Wood &amp; Wood Products 
</t>
  </si>
  <si>
    <t xml:space="preserve">Wood &amp; Wood Products 
</t>
  </si>
  <si>
    <t>3506 series</t>
  </si>
  <si>
    <t xml:space="preserve">Glues </t>
  </si>
  <si>
    <r>
      <rPr>
        <rFont val="Calibri"/>
        <color theme="1"/>
        <sz val="10.0"/>
      </rPr>
      <t xml:space="preserve">Chapter 48 </t>
    </r>
    <r>
      <rPr>
        <rFont val="Calibri"/>
        <color theme="1"/>
        <sz val="10.0"/>
      </rPr>
      <t>+
85462090</t>
    </r>
  </si>
  <si>
    <t>Paper industry</t>
  </si>
  <si>
    <t>News paper and printed material</t>
  </si>
  <si>
    <t>Paper yarn,/Jute</t>
  </si>
  <si>
    <t>paper yarn and woven fabrics of paper yarn and Other vegetable textile fibres, jute</t>
  </si>
  <si>
    <r>
      <rPr>
        <rFont val="Calibri"/>
        <color rgb="FF92D050"/>
        <sz val="10.0"/>
      </rPr>
      <t xml:space="preserve">Chapter 68 and 2521 and 2523 and 2516 and 2515 series and  7308
but
</t>
    </r>
    <r>
      <rPr>
        <rFont val="Calibri"/>
        <color rgb="FFFF9900"/>
        <sz val="10.0"/>
      </rPr>
      <t>Not include 6813 series</t>
    </r>
  </si>
  <si>
    <t>Chapter 70 (Except 7010)</t>
  </si>
  <si>
    <t>Chapter 72 (except 7204)</t>
  </si>
  <si>
    <t>Chapter 73 (not including 7308 and 7310, 7311)</t>
  </si>
  <si>
    <t>7310 and 7311 and 7010 only</t>
  </si>
  <si>
    <t>Container</t>
  </si>
  <si>
    <t>Chapter 84 and 9801 series (except 8415 and 8418 series
and 8407 and 8409)</t>
  </si>
  <si>
    <r>
      <rPr>
        <rFont val="Calibri"/>
        <color rgb="FF000000"/>
        <sz val="10.0"/>
      </rPr>
      <t>Chapter 85 (</t>
    </r>
    <r>
      <rPr>
        <rFont val="Calibri"/>
        <color rgb="FF000000"/>
        <sz val="10.0"/>
      </rPr>
      <t>not including 8544 and 85462090</t>
    </r>
    <r>
      <rPr>
        <rFont val="Calibri"/>
        <color rgb="FF000000"/>
        <sz val="10.0"/>
      </rPr>
      <t>)
+
9405 series
+
9028 series
+
9030 series
+
8415 series
+
8418 series</t>
    </r>
  </si>
  <si>
    <t>Chapter 85 (8544only but not including '85443000)</t>
  </si>
  <si>
    <t>8501, 8502, 8503</t>
  </si>
  <si>
    <t>ELECTRIC MOTORS AND GENERATORS (EXCLUDING
GENERATING SETS)</t>
  </si>
  <si>
    <t>8504, 8505, 8507</t>
  </si>
  <si>
    <t>ELECTRICAL TRANSFORMERS, STATIC CONVERTERS (FOR
EXAMPLE, RECTIFIERS) AND INDUCTORS, ELECTRO-MAGNETS</t>
  </si>
  <si>
    <t>PRIMARY CELLS AND PRIMARY BATTERIES</t>
  </si>
  <si>
    <t>Vaccum cleaners</t>
  </si>
  <si>
    <t>8509, 8510</t>
  </si>
  <si>
    <t>ELECTRO-MECHANICAL DOMESTIC APPLIANCES</t>
  </si>
  <si>
    <t>IGNITION
MAGNETOS, MAGNETO-DYNAMOS, IGNITION COILS,
SPARKING PLUGS AND GLOW PLUGS, STARTER MOTORS</t>
  </si>
  <si>
    <t>ELECTRICAL LIGHTING OR SIGNALLING EQUIPMENT, , WINDSCREEN
WIPERS, DEFROSTERS AND DEMISTERS, OF A KIND USED
FOR CYCLES OR MOTOR VEHICLES</t>
  </si>
  <si>
    <t>Lamps and torches</t>
  </si>
  <si>
    <t>INDUSTRIAL OR LABORATORY ELECTRIC FURNACES AND
OVENS (INCLUDING THOSE FUNCTIONING BY INDUCTION
OR DIELECTRIC LOSS); OTHER INDUSTRIAL OR LABORATORY
EQUIPMENT FOR THE HEAT TREATMENT OF MATERIALS BY
INDUCTION OR DIELECTRIC LOSS</t>
  </si>
  <si>
    <t xml:space="preserve">ELECTRIC
MACHINES </t>
  </si>
  <si>
    <t>ELECTRIC INSTANTANEOUS OR STORAGE WATER HEATERS
AND IMMERSION HEATERS IRONS</t>
  </si>
  <si>
    <t>Telephone sets</t>
  </si>
  <si>
    <t>Microphones speakers audio frequency device</t>
  </si>
  <si>
    <t>8519, 8521, 8522, 8523, 8525</t>
  </si>
  <si>
    <t>SOUND and VIDEO RECORDING OR REPRODUCING APPARATUS</t>
  </si>
  <si>
    <t>8526, 8527, 8528, 8529, 8530, 8531</t>
  </si>
  <si>
    <t>RADAR APPARATUS, RADIO NAVIGATIONAL AID APPARATUS AND RADIO REMOTE CONTROL APPARATUS</t>
  </si>
  <si>
    <t>8531 33</t>
  </si>
  <si>
    <t>8534 8542</t>
  </si>
  <si>
    <t>Printed circuits, electric circuits</t>
  </si>
  <si>
    <t xml:space="preserve">35 to </t>
  </si>
  <si>
    <t>Cables</t>
  </si>
  <si>
    <r>
      <rPr>
        <rFont val="Calibri"/>
        <color theme="1"/>
        <sz val="10.0"/>
      </rPr>
      <t xml:space="preserve">Chapter 86 and
8705, 8709
</t>
    </r>
    <r>
      <rPr>
        <rFont val="Calibri"/>
        <color theme="1"/>
        <sz val="10.0"/>
      </rPr>
      <t>except '86079990', '86071990',86079910</t>
    </r>
  </si>
  <si>
    <t>Chapter 87 (only 8701, 8702, 8703, 8704, 8711, 8712,8713, 8716)
+
'85443000</t>
  </si>
  <si>
    <r>
      <rPr>
        <rFont val="Calibri"/>
        <color rgb="FF92D050"/>
        <sz val="10.0"/>
      </rPr>
      <t xml:space="preserve">Chapter 87 (only 8706, 8707, 8708,8714,8715)
+
8407 series
+
8409 series
+
</t>
    </r>
    <r>
      <rPr>
        <rFont val="Calibri"/>
        <color theme="9"/>
        <sz val="10.0"/>
      </rPr>
      <t>6813 series</t>
    </r>
  </si>
  <si>
    <t>Auto components</t>
  </si>
  <si>
    <t>Auto parts</t>
  </si>
  <si>
    <t>Chapter 88 - except 8805</t>
  </si>
  <si>
    <t>Satellites, parachutes</t>
  </si>
  <si>
    <t>Chapter 88 - only 8805</t>
  </si>
  <si>
    <t>Aircrafts</t>
  </si>
  <si>
    <t>Chapter 90  (except 9018 and 9022 and 9028 and 9030 series)</t>
  </si>
  <si>
    <t xml:space="preserve"> photographic, cinematographic accessories, lens and opticals fibres</t>
  </si>
  <si>
    <t>Chapter 90 (only 9018 and 9022 series)</t>
  </si>
  <si>
    <t>Artificial organs, Medical equipment, monitoring systems,</t>
  </si>
  <si>
    <t>Others (watch and watch components)</t>
  </si>
  <si>
    <t>Chapter 93 and 8710</t>
  </si>
  <si>
    <t>Chapter 94 (not including 9405)</t>
  </si>
  <si>
    <t>Furniture and furnishings</t>
  </si>
  <si>
    <t>Chapter 98 (not including 9801, 9802 series and 98041000)</t>
  </si>
  <si>
    <t>Passenger baggage, and project imports</t>
  </si>
  <si>
    <t>MCA combos</t>
  </si>
  <si>
    <r>
      <rPr>
        <rFont val="Times New Roman"/>
        <color rgb="FF231F20"/>
        <sz val="12.0"/>
      </rPr>
      <t>B1</t>
    </r>
  </si>
  <si>
    <r>
      <rPr>
        <rFont val="Times New Roman"/>
        <color rgb="FF231F20"/>
        <sz val="12.0"/>
      </rPr>
      <t>B2</t>
    </r>
  </si>
  <si>
    <r>
      <rPr>
        <rFont val="Times New Roman"/>
        <color rgb="FF231F20"/>
        <sz val="12.0"/>
      </rPr>
      <t>B3</t>
    </r>
  </si>
  <si>
    <r>
      <rPr>
        <rFont val="Times New Roman"/>
        <color rgb="FF231F20"/>
        <sz val="12.0"/>
      </rPr>
      <t>B4</t>
    </r>
  </si>
  <si>
    <t>If find c7, run HSN code. If conclude auto components then continue or else use C7</t>
  </si>
  <si>
    <t>C10</t>
  </si>
  <si>
    <t>CBA is trading</t>
  </si>
  <si>
    <r>
      <rPr>
        <rFont val="Times New Roman"/>
        <color rgb="FF231F20"/>
        <sz val="12.0"/>
      </rPr>
      <t>H1</t>
    </r>
  </si>
  <si>
    <t>Transportation - rail and pipeliens</t>
  </si>
  <si>
    <r>
      <rPr>
        <rFont val="Times New Roman"/>
        <color rgb="FF231F20"/>
        <sz val="12.0"/>
      </rPr>
      <t>H2</t>
    </r>
  </si>
  <si>
    <t>Transportatin - water</t>
  </si>
  <si>
    <r>
      <rPr>
        <rFont val="Times New Roman"/>
        <color rgb="FF231F20"/>
        <sz val="12.0"/>
      </rPr>
      <t>H3</t>
    </r>
  </si>
  <si>
    <t>Transportatin - air</t>
  </si>
  <si>
    <r>
      <rPr>
        <rFont val="Times New Roman"/>
        <color rgb="FF231F20"/>
        <sz val="12.0"/>
      </rPr>
      <t>H4</t>
    </r>
  </si>
  <si>
    <r>
      <rPr>
        <rFont val="Times New Roman"/>
        <color rgb="FF231F20"/>
        <sz val="12.0"/>
      </rPr>
      <t>H5</t>
    </r>
  </si>
  <si>
    <r>
      <rPr>
        <rFont val="Times New Roman"/>
        <color rgb="FF231F20"/>
        <sz val="12.0"/>
      </rPr>
      <t>H6</t>
    </r>
  </si>
  <si>
    <r>
      <rPr>
        <rFont val="Times New Roman"/>
        <color rgb="FF231F20"/>
        <sz val="12.0"/>
      </rPr>
      <t>H7</t>
    </r>
  </si>
  <si>
    <r>
      <rPr>
        <rFont val="Times New Roman"/>
        <color rgb="FF231F20"/>
        <sz val="12.0"/>
      </rPr>
      <t>I1</t>
    </r>
  </si>
  <si>
    <r>
      <rPr>
        <rFont val="Times New Roman"/>
        <color rgb="FF231F20"/>
        <sz val="12.0"/>
      </rPr>
      <t>I2</t>
    </r>
  </si>
  <si>
    <r>
      <rPr>
        <rFont val="Times New Roman"/>
        <color rgb="FF231F20"/>
        <sz val="12.0"/>
      </rPr>
      <t>J1</t>
    </r>
  </si>
  <si>
    <r>
      <rPr>
        <rFont val="Times New Roman"/>
        <color rgb="FF231F20"/>
        <sz val="12.0"/>
      </rPr>
      <t>J2</t>
    </r>
  </si>
  <si>
    <r>
      <rPr>
        <rFont val="Times New Roman"/>
        <color rgb="FF231F20"/>
        <sz val="12.0"/>
      </rPr>
      <t>J3</t>
    </r>
  </si>
  <si>
    <r>
      <rPr>
        <rFont val="Times New Roman"/>
        <color rgb="FF231F20"/>
        <sz val="12.0"/>
      </rPr>
      <t>J4</t>
    </r>
  </si>
  <si>
    <r>
      <rPr>
        <rFont val="Times New Roman"/>
        <color rgb="FF231F20"/>
        <sz val="12.0"/>
      </rPr>
      <t>Wired, wireless or satellite Telecommunication</t>
    </r>
  </si>
  <si>
    <r>
      <rPr>
        <rFont val="Times New Roman"/>
        <color rgb="FF231F20"/>
        <sz val="12.0"/>
      </rPr>
      <t>J5</t>
    </r>
  </si>
  <si>
    <r>
      <rPr>
        <rFont val="Times New Roman"/>
        <color rgb="FF231F20"/>
        <sz val="12.0"/>
      </rPr>
      <t>J6</t>
    </r>
  </si>
  <si>
    <r>
      <rPr>
        <rFont val="Times New Roman"/>
        <color rgb="FF231F20"/>
        <sz val="12.0"/>
      </rPr>
      <t>J7</t>
    </r>
  </si>
  <si>
    <r>
      <rPr>
        <rFont val="Times New Roman"/>
        <color rgb="FF231F20"/>
        <sz val="12.0"/>
      </rPr>
      <t>J8</t>
    </r>
  </si>
  <si>
    <r>
      <rPr>
        <rFont val="Times New Roman"/>
        <color rgb="FF231F20"/>
        <sz val="12.0"/>
      </rPr>
      <t>K1</t>
    </r>
  </si>
  <si>
    <r>
      <rPr>
        <rFont val="Times New Roman"/>
        <color rgb="FF231F20"/>
        <sz val="12.0"/>
      </rPr>
      <t>K2</t>
    </r>
  </si>
  <si>
    <r>
      <rPr>
        <rFont val="Times New Roman"/>
        <color rgb="FF231F20"/>
        <sz val="12.0"/>
      </rPr>
      <t>K3</t>
    </r>
  </si>
  <si>
    <r>
      <rPr>
        <rFont val="Times New Roman"/>
        <color rgb="FF231F20"/>
        <sz val="12.0"/>
      </rPr>
      <t>K4</t>
    </r>
  </si>
  <si>
    <r>
      <rPr>
        <rFont val="Times New Roman"/>
        <color rgb="FF231F20"/>
        <sz val="12.0"/>
      </rPr>
      <t>K5</t>
    </r>
  </si>
  <si>
    <r>
      <rPr>
        <rFont val="Times New Roman"/>
        <color rgb="FF231F20"/>
        <sz val="12.0"/>
      </rPr>
      <t>K6</t>
    </r>
  </si>
  <si>
    <r>
      <rPr>
        <rFont val="Times New Roman"/>
        <color rgb="FF231F20"/>
        <sz val="12.0"/>
      </rPr>
      <t>K7</t>
    </r>
  </si>
  <si>
    <r>
      <rPr>
        <rFont val="Times New Roman"/>
        <color rgb="FF231F20"/>
        <sz val="12.0"/>
      </rPr>
      <t>K8</t>
    </r>
  </si>
  <si>
    <r>
      <rPr>
        <rFont val="Times New Roman"/>
        <color rgb="FF231F20"/>
        <sz val="12.0"/>
      </rPr>
      <t>L1</t>
    </r>
  </si>
  <si>
    <r>
      <rPr>
        <rFont val="Times New Roman"/>
        <color rgb="FF231F20"/>
        <sz val="12.0"/>
      </rPr>
      <t>L2</t>
    </r>
  </si>
  <si>
    <r>
      <rPr>
        <rFont val="Times New Roman"/>
        <color rgb="FF231F20"/>
        <sz val="12.0"/>
      </rPr>
      <t>M1</t>
    </r>
  </si>
  <si>
    <r>
      <rPr>
        <rFont val="Times New Roman"/>
        <color rgb="FF231F20"/>
        <sz val="12.0"/>
      </rPr>
      <t>M2</t>
    </r>
  </si>
  <si>
    <r>
      <rPr>
        <rFont val="Times New Roman"/>
        <color rgb="FF231F20"/>
        <sz val="12.0"/>
      </rPr>
      <t>M3</t>
    </r>
  </si>
  <si>
    <r>
      <rPr>
        <rFont val="Times New Roman"/>
        <color rgb="FF231F20"/>
        <sz val="12.0"/>
      </rPr>
      <t>M4</t>
    </r>
  </si>
  <si>
    <r>
      <rPr>
        <rFont val="Times New Roman"/>
        <color rgb="FF231F20"/>
        <sz val="12.0"/>
      </rPr>
      <t>M5</t>
    </r>
  </si>
  <si>
    <r>
      <rPr>
        <rFont val="Times New Roman"/>
        <color rgb="FF231F20"/>
        <sz val="12.0"/>
      </rPr>
      <t>M6</t>
    </r>
  </si>
  <si>
    <r>
      <rPr>
        <rFont val="Times New Roman"/>
        <color rgb="FF231F20"/>
        <sz val="12.0"/>
      </rPr>
      <t>M7</t>
    </r>
  </si>
  <si>
    <r>
      <rPr>
        <rFont val="Times New Roman"/>
        <color rgb="FF231F20"/>
        <sz val="12.0"/>
      </rPr>
      <t>M8</t>
    </r>
  </si>
  <si>
    <r>
      <rPr>
        <rFont val="Times New Roman"/>
        <color rgb="FF231F20"/>
        <sz val="12.0"/>
      </rPr>
      <t>M9</t>
    </r>
  </si>
  <si>
    <r>
      <rPr>
        <rFont val="Times New Roman"/>
        <color rgb="FF231F20"/>
        <sz val="12.0"/>
      </rPr>
      <t>N1</t>
    </r>
  </si>
  <si>
    <r>
      <rPr>
        <rFont val="Times New Roman"/>
        <color rgb="FF231F20"/>
        <sz val="12.0"/>
      </rPr>
      <t>N2</t>
    </r>
  </si>
  <si>
    <r>
      <rPr>
        <rFont val="Times New Roman"/>
        <color rgb="FF231F20"/>
        <sz val="12.0"/>
      </rPr>
      <t>N3</t>
    </r>
  </si>
  <si>
    <r>
      <rPr>
        <rFont val="Times New Roman"/>
        <color rgb="FF231F20"/>
        <sz val="12.0"/>
      </rPr>
      <t>N4</t>
    </r>
  </si>
  <si>
    <r>
      <rPr>
        <rFont val="Times New Roman"/>
        <color rgb="FF231F20"/>
        <sz val="12.0"/>
      </rPr>
      <t>N5</t>
    </r>
  </si>
  <si>
    <r>
      <rPr>
        <rFont val="Times New Roman"/>
        <color rgb="FF231F20"/>
        <sz val="12.0"/>
      </rPr>
      <t>N6</t>
    </r>
  </si>
  <si>
    <r>
      <rPr>
        <rFont val="Times New Roman"/>
        <color rgb="FF231F20"/>
        <sz val="12.0"/>
      </rPr>
      <t>N7</t>
    </r>
  </si>
  <si>
    <r>
      <rPr>
        <rFont val="Times New Roman"/>
        <color rgb="FF231F20"/>
        <sz val="12.0"/>
      </rPr>
      <t>O1</t>
    </r>
  </si>
  <si>
    <r>
      <rPr>
        <rFont val="Times New Roman"/>
        <color rgb="FF231F20"/>
        <sz val="12.0"/>
      </rPr>
      <t>O2</t>
    </r>
  </si>
  <si>
    <r>
      <rPr>
        <rFont val="Times New Roman"/>
        <color rgb="FF231F20"/>
        <sz val="12.0"/>
      </rPr>
      <t>O3</t>
    </r>
  </si>
  <si>
    <r>
      <rPr>
        <rFont val="Times New Roman"/>
        <color rgb="FF231F20"/>
        <sz val="12.0"/>
      </rPr>
      <t>P1</t>
    </r>
  </si>
  <si>
    <r>
      <rPr>
        <rFont val="Times New Roman"/>
        <color rgb="FF231F20"/>
        <sz val="12.0"/>
      </rPr>
      <t>P2</t>
    </r>
  </si>
  <si>
    <r>
      <rPr>
        <rFont val="Times New Roman"/>
        <color rgb="FF231F20"/>
        <sz val="12.0"/>
      </rPr>
      <t>P3</t>
    </r>
  </si>
  <si>
    <r>
      <rPr>
        <rFont val="Times New Roman"/>
        <color rgb="FF231F20"/>
        <sz val="12.0"/>
      </rPr>
      <t>P4</t>
    </r>
  </si>
  <si>
    <r>
      <rPr>
        <rFont val="Times New Roman"/>
        <color rgb="FF231F20"/>
        <sz val="12.0"/>
      </rPr>
      <t>Q1</t>
    </r>
  </si>
  <si>
    <r>
      <rPr>
        <rFont val="Times New Roman"/>
        <color rgb="FF231F20"/>
        <sz val="12.0"/>
      </rPr>
      <t>Q2</t>
    </r>
  </si>
  <si>
    <r>
      <rPr>
        <rFont val="Times New Roman"/>
        <color rgb="FF231F20"/>
        <sz val="12.0"/>
      </rPr>
      <t>Q3</t>
    </r>
  </si>
  <si>
    <r>
      <rPr>
        <rFont val="Times New Roman"/>
        <color rgb="FF231F20"/>
        <sz val="12.0"/>
      </rPr>
      <t>Q4</t>
    </r>
  </si>
  <si>
    <r>
      <rPr>
        <rFont val="Times New Roman"/>
        <color rgb="FF231F20"/>
        <sz val="12.0"/>
      </rPr>
      <t>Q5</t>
    </r>
  </si>
  <si>
    <r>
      <rPr>
        <rFont val="Times New Roman"/>
        <color rgb="FF231F20"/>
        <sz val="12.0"/>
      </rPr>
      <t>Q6</t>
    </r>
  </si>
  <si>
    <r>
      <rPr>
        <rFont val="Times New Roman"/>
        <color rgb="FF231F20"/>
        <sz val="12.0"/>
      </rPr>
      <t>R1</t>
    </r>
  </si>
  <si>
    <r>
      <rPr>
        <rFont val="Times New Roman"/>
        <color rgb="FF231F20"/>
        <sz val="12.0"/>
      </rPr>
      <t>R2</t>
    </r>
  </si>
  <si>
    <r>
      <rPr>
        <rFont val="Times New Roman"/>
        <color rgb="FF231F20"/>
        <sz val="12.0"/>
      </rPr>
      <t>R3</t>
    </r>
  </si>
  <si>
    <r>
      <rPr>
        <rFont val="Times New Roman"/>
        <color rgb="FF231F20"/>
        <sz val="12.0"/>
      </rPr>
      <t>R4</t>
    </r>
  </si>
  <si>
    <r>
      <rPr>
        <rFont val="Times New Roman"/>
        <color rgb="FF231F20"/>
        <sz val="12.0"/>
      </rPr>
      <t>Personal and Household service</t>
    </r>
  </si>
  <si>
    <r>
      <rPr>
        <rFont val="Times New Roman"/>
        <color rgb="FF231F20"/>
        <sz val="12.0"/>
      </rPr>
      <t>S1</t>
    </r>
  </si>
  <si>
    <r>
      <rPr>
        <rFont val="Times New Roman"/>
        <color rgb="FF231F20"/>
        <sz val="12.0"/>
      </rPr>
      <t>Personal and Household service</t>
    </r>
  </si>
  <si>
    <r>
      <rPr>
        <rFont val="Times New Roman"/>
        <color rgb="FF231F20"/>
        <sz val="12.0"/>
      </rPr>
      <t>S2</t>
    </r>
  </si>
  <si>
    <r>
      <rPr>
        <rFont val="Times New Roman"/>
        <color rgb="FF231F20"/>
        <sz val="12.0"/>
      </rPr>
      <t>Personal and Household service</t>
    </r>
  </si>
  <si>
    <r>
      <rPr>
        <rFont val="Times New Roman"/>
        <color rgb="FF231F20"/>
        <sz val="12.0"/>
      </rPr>
      <t>S3</t>
    </r>
  </si>
  <si>
    <r>
      <rPr>
        <rFont val="Times New Roman"/>
        <color rgb="FF231F20"/>
        <sz val="12.0"/>
      </rPr>
      <t>Personal and Household service</t>
    </r>
  </si>
  <si>
    <r>
      <rPr>
        <rFont val="Times New Roman"/>
        <color rgb="FF231F20"/>
        <sz val="12.0"/>
      </rPr>
      <t>S4</t>
    </r>
  </si>
  <si>
    <r>
      <rPr>
        <rFont val="Times New Roman"/>
        <color rgb="FF231F20"/>
        <sz val="12.0"/>
      </rPr>
      <t>T1</t>
    </r>
  </si>
  <si>
    <r>
      <rPr>
        <rFont val="Times New Roman"/>
        <color rgb="FF231F20"/>
        <sz val="12.0"/>
      </rPr>
      <t>T2</t>
    </r>
  </si>
  <si>
    <r>
      <rPr>
        <rFont val="Times New Roman"/>
        <color rgb="FF231F20"/>
        <sz val="12.0"/>
      </rPr>
      <t>U1</t>
    </r>
  </si>
  <si>
    <t>auto com[1</t>
  </si>
  <si>
    <t>nonautp42</t>
  </si>
  <si>
    <t>Count of pid</t>
  </si>
  <si>
    <t>Column Labels</t>
  </si>
  <si>
    <t>Row Labels</t>
  </si>
  <si>
    <t>Grand Total</t>
  </si>
  <si>
    <t>['AGRICULTURE AND ALLIED INDUSTRIES', 'Chemicals, pharmaceuticals, and allied Industries']</t>
  </si>
  <si>
    <t>Chemicals, pharmaceuticals, and allied Industries' + anything is 'Chemicals, pharmaceuticals, and allied Industries'</t>
  </si>
  <si>
    <t>['AGRICULTURE AND ALLIED INDUSTRIES', 'Food and beverages']</t>
  </si>
  <si>
    <t>Food and beverages if with agriculture is food and beverages</t>
  </si>
  <si>
    <t>['Auto Components', 'Automobiles']</t>
  </si>
  <si>
    <t>Auto components + anything except automobiles is autocomponents</t>
  </si>
  <si>
    <t>['Auto Components', 'ENGINEERING AND CAPITAL GOODS']</t>
  </si>
  <si>
    <t>['Auto Components', 'Metal and metal products']</t>
  </si>
  <si>
    <t>['Automobiles', 'Auto Components', 'Metal and metal products', 'ENGINEERING AND CAPITAL GOODS']</t>
  </si>
  <si>
    <t>['Cable', 'Consumer durables and electronics', 'Electronics and electrical equiment', 'Plastic and plastic products']</t>
  </si>
  <si>
    <t>Cable plus anything is cable</t>
  </si>
  <si>
    <t>['Cable', 'Plastic and plastic products']</t>
  </si>
  <si>
    <t>['Cement , construction material and glass', 'AGRICULTURE AND ALLIED INDUSTRIES', 'Food and beverages']</t>
  </si>
  <si>
    <t>['Cement , construction material and glass', 'ENGINEERING AND CAPITAL GOODS']</t>
  </si>
  <si>
    <t>Code update will fix</t>
  </si>
  <si>
    <t>['Cement , construction material and glass', 'Metal and metal products']</t>
  </si>
  <si>
    <t>['Chemicals, pharmaceuticals, and allied Industries', 'AGRICULTURE AND ALLIED INDUSTRIES']</t>
  </si>
  <si>
    <t>['Chemicals, pharmaceuticals, and allied Industries', 'Electric Utilities']</t>
  </si>
  <si>
    <t>['Chemicals, pharmaceuticals, and allied Industries', 'Food and beverages']</t>
  </si>
  <si>
    <t>['Chemicals, pharmaceuticals, and allied Industries', 'Metal and metal products', 'Food and beverages', 'Plastic and plastic products']</t>
  </si>
  <si>
    <t>['Consumer durables and electronics', 'Cable']</t>
  </si>
  <si>
    <t>['Consumer durables and electronics', 'ENGINEERING AND CAPITAL GOODS']</t>
  </si>
  <si>
    <t>Create - Electronics and engineering goods</t>
  </si>
  <si>
    <t>['Consumer durables and electronics', 'Metal and metal products']</t>
  </si>
  <si>
    <t>Electronics and electronic goods</t>
  </si>
  <si>
    <t>['Electric Utilities', 'Chemicals, pharmaceuticals, and allied Industries ']</t>
  </si>
  <si>
    <t>Electric utilities with anything is electronic utilities</t>
  </si>
  <si>
    <t>['ENGINEERING AND CAPITAL GOODS', 'Auto Components']</t>
  </si>
  <si>
    <t>['ENGINEERING AND CAPITAL GOODS', 'Automobiles']</t>
  </si>
  <si>
    <t>Automobiles with anything is automobiles</t>
  </si>
  <si>
    <t>['ENGINEERING AND CAPITAL GOODS', 'Consumer durables and electronics']</t>
  </si>
  <si>
    <t>Engineering and capital goods</t>
  </si>
  <si>
    <t>['ENGINEERING AND CAPITAL GOODS', 'Food and beverages']</t>
  </si>
  <si>
    <t>Unclassified - Manufacturing - others</t>
  </si>
  <si>
    <t>['ENGINEERING AND CAPITAL GOODS', 'Furniture and Furnishings']</t>
  </si>
  <si>
    <t>['ENGINEERING AND CAPITAL GOODS', 'Metal and metal products']</t>
  </si>
  <si>
    <t>Changes suggested</t>
  </si>
  <si>
    <t>['ENGINEERING AND CAPITAL GOODS', 'Others']</t>
  </si>
  <si>
    <t>['Food and beverages', 'AGRICULTURE AND ALLIED INDUSTRIES']</t>
  </si>
  <si>
    <t>['Food and beverages', 'Chemicals, pharmaceuticals, and allied Industries']</t>
  </si>
  <si>
    <t>['Footwear', 'Leather and leather products']</t>
  </si>
  <si>
    <t>['Medical Equipment', 'Chemicals, pharmaceuticals, and allied Industries']</t>
  </si>
  <si>
    <t>['Metal and metal products', 'Auto Components', 'ENGINEERING AND CAPITAL GOODS', 'Minerals', 'Textiles', 'Consumer durables and electronics']</t>
  </si>
  <si>
    <t>Create "other industrial"</t>
  </si>
  <si>
    <t>['Metal and metal products', 'Auto Components']</t>
  </si>
  <si>
    <t>['Metal and metal products', 'Electric Utilities']</t>
  </si>
  <si>
    <t>Electric utilities with anything is electric utilities</t>
  </si>
  <si>
    <t>['Metal and metal products', 'ENGINEERING AND CAPITAL GOODS']</t>
  </si>
  <si>
    <t>['Minerals', 'Chemicals, pharmaceuticals, and allied Industries', 'Food and beverages', 'AGRICULTURE AND ALLIED INDUSTRIES']</t>
  </si>
  <si>
    <t>if ['Chemicals, pharmaceuticals, and allied Industries', 'Food and beverages', 'AGRICULTURE AND ALLIED INDUSTRIES'] come together then classify as others - food and agriculture (new industry)</t>
  </si>
  <si>
    <t>['Minerals', 'Food and beverages']</t>
  </si>
  <si>
    <t>&gt; Chapter 85..where classified
 &gt; If electric utilities has count &gt; 1 and have electric and electric componets, then include this count in electric utilities</t>
  </si>
  <si>
    <t>['Others', 'ENGINEERING AND CAPITAL GOODS', 'Metal and metal products']</t>
  </si>
  <si>
    <t>['Others', 'Metal and metal products', 'Plastic and plastic products', 'Paper Industry']</t>
  </si>
  <si>
    <t>Mention all</t>
  </si>
  <si>
    <t>['Others', 'Plastic and plastic products', 'Cement , construction material and glass']</t>
  </si>
  <si>
    <t>['Paper Industry', 'Cement , construction material and glass']</t>
  </si>
  <si>
    <t>Others - unclassified</t>
  </si>
  <si>
    <t>['Paper Industry', 'Consumer durables and electronics', 'ENGINEERING AND CAPITAL GOODS']</t>
  </si>
  <si>
    <t>Update code</t>
  </si>
  <si>
    <t>['Plastic and plastic products', 'AGRICULTURE AND ALLIED INDUSTRIES']</t>
  </si>
  <si>
    <t>Agriculture and allied industries</t>
  </si>
  <si>
    <t>['Plastic and plastic products', 'Automobiles', 'Furniture and Furnishings', 'Others']</t>
  </si>
  <si>
    <t>['Plastic and plastic products', 'Chemicals, pharmaceuticals, and allied Industries']</t>
  </si>
  <si>
    <t>Both - create industry - Chemicals and plastics</t>
  </si>
  <si>
    <t>['Plastic and plastic products', 'ENGINEERING AND CAPITAL GOODS']</t>
  </si>
  <si>
    <t>Engineering and capital goods with except XX YY results in others - industrial</t>
  </si>
  <si>
    <t>['Plastic and plastic products', 'Paper Industry']</t>
  </si>
  <si>
    <t>['Plastic and plastic products', 'Textiles']</t>
  </si>
  <si>
    <t>Both - create industry</t>
  </si>
  <si>
    <t>['Rubber and rubber products', 'ENGINEERING AND CAPITAL GOODS']</t>
  </si>
  <si>
    <t>['Rubber and rubber products', 'Plastic and plastic products']</t>
  </si>
  <si>
    <t>['Textiles', 'Leather and leather products']</t>
  </si>
  <si>
    <t>['Wood &amp; Wood Products', 'Metal and metal products']</t>
  </si>
  <si>
    <t>MCA</t>
  </si>
  <si>
    <t>HSN</t>
  </si>
  <si>
    <t>Z F STEERING GEAR (INDIA) LIMITED</t>
  </si>
  <si>
    <t>5568332b6d6f6f2616814807</t>
  </si>
  <si>
    <t>Motor vehicles, trailers, semi trailers and other Transport Vehicles</t>
  </si>
  <si>
    <t>UNIVERSAL AUTOFOUNDRY LIMITED</t>
  </si>
  <si>
    <t>5675df626d6f6f1b0f088b33</t>
  </si>
  <si>
    <t>TI FINANCIAL HOLDINGS LIMITED</t>
  </si>
  <si>
    <t>5560c1226d6f6f37849b0e07</t>
  </si>
  <si>
    <t>STERLING TOOLS LIMITED</t>
  </si>
  <si>
    <t>556845536d6f6f26164b7d07</t>
  </si>
  <si>
    <t>Repair &amp; installation of machinery &amp; equipment, motor vehicles</t>
  </si>
  <si>
    <t>SIMMONDS MARSHALL LIMITED</t>
  </si>
  <si>
    <t>5568b0126d6f6f263a025c08</t>
  </si>
  <si>
    <t>NA - No Financials</t>
  </si>
  <si>
    <t>RASANDIK ENGINEERING INDUSTRIES INDIA LIMITED</t>
  </si>
  <si>
    <t>556804a46d6f6f2616f4a306</t>
  </si>
  <si>
    <t>RAJRATAN GLOBAL WIRE LIMITED</t>
  </si>
  <si>
    <t>5567a3c36d6f6f2616832505</t>
  </si>
  <si>
    <t>PRADEEP METALS LIMITED</t>
  </si>
  <si>
    <t>55681fd16d6f6f263af51c07</t>
  </si>
  <si>
    <t>OMAX AUTOS LIMITED</t>
  </si>
  <si>
    <t>55680fc96d6f6f25f58fd206</t>
  </si>
  <si>
    <t>Other manufacturing including jewellery, musical instruments, medical instruments, sports goods, etc. activities</t>
  </si>
  <si>
    <t>MINDA CORPORATION LIMITED</t>
  </si>
  <si>
    <t>5567f3236d6f6f25f5695906</t>
  </si>
  <si>
    <t>KALYANI FORGE LIMITED</t>
  </si>
  <si>
    <t>5568489b6d6f6f263a238e07</t>
  </si>
  <si>
    <t>JAMNA AUTO INDUSTRIES LIMITED</t>
  </si>
  <si>
    <t>5568a4b66d6f6f2616362d08</t>
  </si>
  <si>
    <t>FRONTIER SPRINGS LIMITED</t>
  </si>
  <si>
    <t>556831336d6f6f25f5504b07</t>
  </si>
  <si>
    <t>BHAGWATI AUTOCAST LIMITED</t>
  </si>
  <si>
    <t>5568233b6d6f6f2616192207</t>
  </si>
  <si>
    <t>Steps</t>
  </si>
  <si>
    <t>get party id</t>
  </si>
  <si>
    <t>mfg</t>
  </si>
  <si>
    <t>get all gstn filing</t>
  </si>
  <si>
    <t>CBA</t>
  </si>
  <si>
    <t>get cba per gstn</t>
  </si>
  <si>
    <t>3a</t>
  </si>
  <si>
    <t>If CBA is a mix of MFT &amp; SPO then</t>
  </si>
  <si>
    <t>create SPO-ANC type if the hsn codes are in the list of 6
and reduce the SPO count</t>
  </si>
  <si>
    <t>get count of all cbas
max cba count = final cba</t>
  </si>
  <si>
    <t>Arrive at ideal CBA</t>
  </si>
  <si>
    <t>Weed out industry hsn codes which are not of final cba</t>
  </si>
  <si>
    <t>UNique 4 digit</t>
  </si>
  <si>
    <t>Step for exceptions</t>
  </si>
  <si>
    <t>Take count of unique 4 digit</t>
  </si>
  <si>
    <t>output = filtered HSNs</t>
  </si>
  <si>
    <t>Max count is final industry</t>
  </si>
  <si>
    <t>transfor chapters to CW industries</t>
  </si>
  <si>
    <t>Take count of CW industrues</t>
  </si>
  <si>
    <t>Max count = final industry</t>
  </si>
  <si>
    <t>Shilpa: About the company and news</t>
  </si>
  <si>
    <t>3 GSTN</t>
  </si>
  <si>
    <t>Final segment</t>
  </si>
  <si>
    <t>2 -SPO</t>
  </si>
  <si>
    <t>GST1</t>
  </si>
  <si>
    <t>[44 series or 99 series]</t>
  </si>
  <si>
    <t>Construction-1</t>
  </si>
  <si>
    <t>1- MFT</t>
  </si>
  <si>
    <t>GST2</t>
  </si>
  <si>
    <t>[Non above series]</t>
  </si>
  <si>
    <t>Auto-10,Construction-1</t>
  </si>
  <si>
    <t>GST3</t>
  </si>
  <si>
    <t>[]</t>
  </si>
  <si>
    <t>Total counts</t>
  </si>
  <si>
    <t>Final</t>
  </si>
  <si>
    <t xml:space="preserve">Auto </t>
  </si>
  <si>
    <t>SAC</t>
  </si>
  <si>
    <t>Segment</t>
  </si>
  <si>
    <t>-</t>
  </si>
  <si>
    <t>Others - L1</t>
  </si>
  <si>
    <t>Others - L2</t>
  </si>
  <si>
    <t>Banking and non-banking financial services</t>
  </si>
  <si>
    <t>995411
 995412</t>
  </si>
  <si>
    <t>Real estate - residential</t>
  </si>
  <si>
    <t>9954 series</t>
  </si>
  <si>
    <t>commercial, industrial and civil</t>
  </si>
  <si>
    <t>Services-Construction-commercial, industrial and civil</t>
  </si>
  <si>
    <t>nba has works contract</t>
  </si>
  <si>
    <t xml:space="preserve">If all GSTNs have </t>
  </si>
  <si>
    <t>00440233</t>
  </si>
  <si>
    <t>00440245</t>
  </si>
  <si>
    <t>00440334</t>
  </si>
  <si>
    <t>00440290</t>
  </si>
  <si>
    <t>Services-Others-Health Club And Fitness Centre Service</t>
  </si>
  <si>
    <t>Health Services By A Clinical Establishment, Health Check-Up/ Diagnosis , Etc.</t>
  </si>
  <si>
    <t>Services-Internet Telecommunication Service</t>
  </si>
  <si>
    <t>Public relations</t>
  </si>
  <si>
    <t>Services-Others-Real estate agent</t>
  </si>
  <si>
    <t>Services-others-Recovery Agent Service</t>
  </si>
  <si>
    <t>Services-Others-Cab rentals</t>
  </si>
  <si>
    <t>Services-Others-Renting Of Immovable Property Service</t>
  </si>
  <si>
    <t>Repairs and recondition</t>
  </si>
  <si>
    <t>Services-Others-Repairs and recondition</t>
  </si>
  <si>
    <t>Services-Others-Share Transfer Agent Service</t>
  </si>
  <si>
    <t>Services-Ship management</t>
  </si>
  <si>
    <t>Services-Others-Steamer Agent Service</t>
  </si>
  <si>
    <t>Services-Others-Stock broker</t>
  </si>
  <si>
    <t>Services-Transportation, warehousing, logistics-Warehousing and storage</t>
  </si>
  <si>
    <t>Services-Others-Video production</t>
  </si>
  <si>
    <t>Services-Others-Not classified</t>
  </si>
  <si>
    <t>Conclusion</t>
  </si>
  <si>
    <t>Support services to agriculture, hunting, forestry, fishing, mining and utilities</t>
  </si>
  <si>
    <t>Serv - incorrect</t>
  </si>
  <si>
    <t>Leasing or rental services with or without operator</t>
  </si>
  <si>
    <t>Mfg-correct</t>
  </si>
  <si>
    <t>Research and development</t>
  </si>
  <si>
    <t>440266 + 440362 = highest count</t>
  </si>
  <si>
    <t>Party id</t>
  </si>
  <si>
    <t>Party name</t>
  </si>
  <si>
    <t>Active GSTNs</t>
  </si>
  <si>
    <t xml:space="preserve">count of gstns having atleast one code from construction hsn set </t>
  </si>
  <si>
    <t>total count of construction set</t>
  </si>
  <si>
    <t>total count of non construction set</t>
  </si>
  <si>
    <t>HSns</t>
  </si>
  <si>
    <t>1st 4 digit extract except 0044 series</t>
  </si>
  <si>
    <t>Sum to take count of 1st 4 digit sets</t>
  </si>
  <si>
    <t>Flag as cons or non cons</t>
  </si>
  <si>
    <t>cons</t>
  </si>
  <si>
    <t>non cons</t>
  </si>
  <si>
    <t>004412345</t>
  </si>
  <si>
    <t>004412346</t>
  </si>
  <si>
    <t>GSTN 1's HSN codes</t>
  </si>
  <si>
    <t>GSTN 2's HSN codes</t>
  </si>
  <si>
    <t>GSTN 3's HSN codes</t>
  </si>
  <si>
    <t>GSTN 4s HSN codes</t>
  </si>
  <si>
    <t>Wheter has atleast one construction set code</t>
  </si>
  <si>
    <t>Y</t>
  </si>
  <si>
    <t>N</t>
  </si>
  <si>
    <t>SAC codes for registration</t>
  </si>
  <si>
    <t>Code</t>
  </si>
  <si>
    <t>ACCOMMODATION IN HOTELS, INN, GUEST HOUSE, CLUB OR CAMP SITE ETC. SERVICE</t>
  </si>
  <si>
    <t>ADVERTISING AGENCY SERVICES</t>
  </si>
  <si>
    <t>AIR TRAVEL AGENT SERVICES</t>
  </si>
  <si>
    <t>Services - Others</t>
  </si>
  <si>
    <t>AIRPORT SERVICES BY AIRPORT AUTHORITY</t>
  </si>
  <si>
    <t>ARCHITECT SERVICES</t>
  </si>
  <si>
    <t>ASSET MANAGEMENT INCLUDING PORTFOLIO MANAGEMENT AND FUND MANAGEMENT</t>
  </si>
  <si>
    <t xml:space="preserve">Services - Others </t>
  </si>
  <si>
    <t>Financial</t>
  </si>
  <si>
    <t>ATM OPERATIONS, MAINTENANCE OR MANAGEMENT SERVICE</t>
  </si>
  <si>
    <t>AUCTION SERVICE</t>
  </si>
  <si>
    <t>BANKING AND OTHER FINANCIAL SERVICES/FOREIGN EXCHANGE BROKER SERVICE</t>
  </si>
  <si>
    <t>Financial Institute</t>
  </si>
  <si>
    <t>Banks
Other financial services</t>
  </si>
  <si>
    <t>BEAUTY PARLOURS /BEAUTY TREATMENT</t>
  </si>
  <si>
    <t>BROADCASTING SERVICE</t>
  </si>
  <si>
    <t>BUSINESS AUXILIARY SERVICE</t>
  </si>
  <si>
    <t>BUSINESS EXHIBITION SERVICE</t>
  </si>
  <si>
    <t>BUSINESS SUPPORT SERVICE</t>
  </si>
  <si>
    <t>CABLE OPERATORS</t>
  </si>
  <si>
    <t>CARGO HANDLING SERVICE</t>
  </si>
  <si>
    <t>CHARTERED ACCOUNTANT SERVICES</t>
  </si>
  <si>
    <t>CLEANING SERVICES</t>
  </si>
  <si>
    <t>CLEARING AND FORWARDING AGENT SERVICES</t>
  </si>
  <si>
    <t>CLUB OR ASSOCIATION SERVICE</t>
  </si>
  <si>
    <t>COMMERCIAL TRAINING OR COACHING</t>
  </si>
  <si>
    <t>COMPANY SECRETARY SERVICE</t>
  </si>
  <si>
    <t>CONSTRUCTION OF RESIDENTIAL COMPLEX SERVICE</t>
  </si>
  <si>
    <t>CONSTRUCTION SERVICES OTHER THAN RESIDENTIAL COMPLEX, INCLUDING COMMERCIAL/INDUSTRIAL BUILDINGS OR CIVIL STRUCTURES</t>
  </si>
  <si>
    <t>CONSULTING ENGINEER SERVICES</t>
  </si>
  <si>
    <t>Consulting</t>
  </si>
  <si>
    <t>CONVENTION SERVICE</t>
  </si>
  <si>
    <t>COPYRIGHT SERVICE TRANSFER TEMPORARILY/ PERMIT USE OR ENJOYMENT</t>
  </si>
  <si>
    <t>COSMETIC AND PLASTIC SURGERY SERVICE</t>
  </si>
  <si>
    <t>COST ACCOUNTANT SERVICE</t>
  </si>
  <si>
    <t>COURIER AGENCY SERVICE</t>
  </si>
  <si>
    <t>CREDIT CARD, DEBIT CARD, CHARGE CARD OR OTHER PAYMENT CARD RELATED SERVICES</t>
  </si>
  <si>
    <t>Services -Others</t>
  </si>
  <si>
    <t>CREDIT RATING AGENCY SERVICE</t>
  </si>
  <si>
    <t>CUSTOM HOUSE AGENT SERVICE</t>
  </si>
  <si>
    <t>DESIGN SERVICE OTHER THAN INTERIOR DECORATION AND FASHION DESIGNING</t>
  </si>
  <si>
    <t>DEVELOPMENT AND SUPPLY OF CONTENT FOR USE IN TELECOM SERVICES, ADVERTISING AGENCY, ETC.</t>
  </si>
  <si>
    <t>DREDGING OF RIVERS, PORTS HARBOURS, BACKWATERS, ESTUARIES, ETC.</t>
  </si>
  <si>
    <t>DRY CLEANING SERVICE</t>
  </si>
  <si>
    <t>ELECTRICITY EXCHANGE SERVICE</t>
  </si>
  <si>
    <t>ERECTION, COMMISSIONING AND INSTALLATION SERVICE</t>
  </si>
  <si>
    <t>EVENT MANAGEMENT</t>
  </si>
  <si>
    <t>FASHION DESIGN</t>
  </si>
  <si>
    <t>Event management</t>
  </si>
  <si>
    <t>FACSIMILE SERVICES FAX</t>
  </si>
  <si>
    <t>FRANCHISE SERVICE</t>
  </si>
  <si>
    <t>GENERAL INSURANCE SERVICE</t>
  </si>
  <si>
    <t>GOODS TRANSPORT OPERATORS</t>
  </si>
  <si>
    <t>HEALTH CLUB AND FITNESS CENTRE SERVICE</t>
  </si>
  <si>
    <t>HEALTH SERVICES BY A CLINICAL ESTABLISHMENT, HEALTH CHECK-UP/ DIAGNOSIS , ETC.</t>
  </si>
  <si>
    <t>INFORMATION TECHNOLOGY SOFTWARE SERVICE</t>
  </si>
  <si>
    <t>INSURANCE AUXILIARY SERVICE - GENERAL INSURANCE</t>
  </si>
  <si>
    <t>INTELLECTUAL PROPERTY RIGHTS SERVICE OTHER THAN COPYRIGHT</t>
  </si>
  <si>
    <t>INTERIOR DECORATION/ DESIGNER SERVICES</t>
  </si>
  <si>
    <t>INTERNET CAFE</t>
  </si>
  <si>
    <t>INTERNET TELECOMMUNICATION SERVICE</t>
  </si>
  <si>
    <t>LEGAL CONSULTANCY SERVICE</t>
  </si>
  <si>
    <t>LEASED CIRCUITS</t>
  </si>
  <si>
    <t>LIFE INSURANCE SERVICE/INSURANCE AUXILLARY-LIFE INSURANCE</t>
  </si>
  <si>
    <t>MAILING LIST COMPILATION AND MAILING SERVICE</t>
  </si>
  <si>
    <t>MAINTENANCE OF MEDICAL RECORDS SERVICE</t>
  </si>
  <si>
    <t>MAINTENANCE OR REPAIR SERVICE</t>
  </si>
  <si>
    <t>MANAGEMENT OR BUSINESS CONSULTANT SERVICE</t>
  </si>
  <si>
    <t>MANDAP KEEPER SERVICE</t>
  </si>
  <si>
    <t>MANPOWER RECRUITMENT/SUPPLY AGENCY SERVICE</t>
  </si>
  <si>
    <t>Manpower recruitment</t>
  </si>
  <si>
    <t>MARKET RESEARCH AGENCY SERVICE</t>
  </si>
  <si>
    <t>MINING OF MINERAL, OIL OR GAS SERVICE</t>
  </si>
  <si>
    <t>ONLINE INFORMATION AND DATABASE ACCESS SERVICE AND/ OR RETRIEVAL SERVICE THROUGH COMPUTER NETWORK</t>
  </si>
  <si>
    <t>OPINION POLL AGENCY SERVICE</t>
  </si>
  <si>
    <t>OUTDOOR CATERING SERVICE</t>
  </si>
  <si>
    <t>Restaurants and catering</t>
  </si>
  <si>
    <t>PACKAGING SERVICE</t>
  </si>
  <si>
    <t>PANDAL OR SHAMIANA SERVICE</t>
  </si>
  <si>
    <t>PAGER SERVICES (RADIO PAGING)</t>
  </si>
  <si>
    <t>PERMITTING COMMERCIAL USE OR EXPLOITATION OF EVENTS SERVICE</t>
  </si>
  <si>
    <t>PHOTOGRAPHY SERVICE</t>
  </si>
  <si>
    <t>PORT SERVICE (MAJOR PORTS/MINOR PORTS)</t>
  </si>
  <si>
    <t>PROGRAMME PRODUCER SERVICE</t>
  </si>
  <si>
    <t>PROMOTION OR MARKETING OF BRAND OF GOODS/SERVICES/EVENTS SERVICE</t>
  </si>
  <si>
    <t>PROMOTION, MARKETING , ORGANIZING OR ASSISTING IN ORGANIZING GAMES OF CHANCE INCLUDING LOTTERY, ETC.</t>
  </si>
  <si>
    <t>PUBLIC RELATION MANAGEMENT SERVICE</t>
  </si>
  <si>
    <t>RAIL TRAVEL AGENTS SERVICE</t>
  </si>
  <si>
    <t>REAL ESTATE AGENT SERVICE</t>
  </si>
  <si>
    <t>RECOGNIZED STOCK EXCHANGE SERVICE IN RELATION TO TRANSACTION IN SECURITIES</t>
  </si>
  <si>
    <t>RECOVERY AGENT SERVICE</t>
  </si>
  <si>
    <t>REGISTRAR TO AN ISSUE SERVICE</t>
  </si>
  <si>
    <t>RENT-A-CAB SCHEME OPERATOR SERVICE</t>
  </si>
  <si>
    <t>RENTING OF IMMOVABLE PROPERTY SERVICE</t>
  </si>
  <si>
    <t>REPAIR, RECONDITIONING, RESTORATION, OR DECORATION OR ANY OTHER SIMILAR SERVICES, OF ANY MOTOR VEHICLE</t>
  </si>
  <si>
    <t>RESTAURANT SERVICE</t>
  </si>
  <si>
    <t>SCIENTIFIC AND TECHNICAL CONSULTANCY SERVICES</t>
  </si>
  <si>
    <t>SECURITY/ DETECTIVE AGENCY SERVICE</t>
  </si>
  <si>
    <t>SELLING OF SPACE OR TIME SLOTS FOR ADVERTISEMENTS</t>
  </si>
  <si>
    <t>SERVICES PROVIDED BY A PROCESSING AND CLEARINGHOUSE IN RELATION TO SECURITIES, GOODS AND FORWARD CONTRACTS</t>
  </si>
  <si>
    <t>SERVICES PROVIDED BY AN INSURER OF LIFE INSURANCE UNDER UNIT LINKED INSURANCE PLAN(ULIP)</t>
  </si>
  <si>
    <t>SERVICES PROVIDED BY RECOGNISED/REGISTERED ASSOCIATIONS IN RELATION TO CLEARANCE OR SETTLEMENT OF TRANSACTIONS IN GOODS OR FORWARD CONTRACTS</t>
  </si>
  <si>
    <t>SERVICES PROVIDED BY RECOGNISED/REGISTERED ASSOCIATIONS IN RELATION TO FORWARD CONTRACTS</t>
  </si>
  <si>
    <t>SHARE TRANSFER AGENT SERVICE</t>
  </si>
  <si>
    <t>SHIP MANAGEMENT SERVICE</t>
  </si>
  <si>
    <t>SITE FORMATION AND CLEARANCE, EXCAVATION, EARTH MOVING AND DEMOLITION SERVICES</t>
  </si>
  <si>
    <t>SOUND RECORDING STUDIO OR AGENCY SERVICES</t>
  </si>
  <si>
    <t>SPECIAL SERVICES PROVIDED BY BUILDERS</t>
  </si>
  <si>
    <t>SPONSORSHIP SERVICE PROVIDED TO BODY-CORPORATE OR FIRM INCLUDING SPORTS SPONSORSHIPS</t>
  </si>
  <si>
    <t>STEAMER AGENT SERVICE</t>
  </si>
  <si>
    <t>STOCKBROKER SERVICE</t>
  </si>
  <si>
    <t>STORAGE AND WAREHOUSING SERVICES</t>
  </si>
  <si>
    <t>SUPPLY OF TANGIBLE GOODS SERVICE</t>
  </si>
  <si>
    <t>SURVEY AND EXPLORATION OF MINERAL</t>
  </si>
  <si>
    <t>SURVEY AND MAP MAKING SERVICE</t>
  </si>
  <si>
    <t>TECHNICAL TESTING AND ANALYSIS SERVICE/TECHNICAL INSPECTION AND CERTIFICATION AGENCY SERVICE</t>
  </si>
  <si>
    <t>TELECOMMUNICATION SERVICE BY TELEGRAPH AUTHORITY</t>
  </si>
  <si>
    <t>TELEGRAPH SERVICE</t>
  </si>
  <si>
    <t>TELEPHONE SERVICES</t>
  </si>
  <si>
    <t>TELEX SERVICES</t>
  </si>
  <si>
    <t>TOUR OPERATOR SERVICES</t>
  </si>
  <si>
    <t>TRANSPORT OF GOODS BY AIR</t>
  </si>
  <si>
    <t>TRANSPORT OF GOODS BY COASTAL SHIPPING (SERVICES BY WAY OF TRANSPORTATION OF GOODS BY INLAND WATERWAYS IS PLACED IN THE NEGATIVE LIST)</t>
  </si>
  <si>
    <t>TRANSPORT OF GOODS BY RAIL INCLUDING TRANSPORT OF GOODS IN CONTAINERS BY RAIL (TRANSPORT OF PASSENGERS BY RAIL IN AIR-CONDITIONED CLASS/FIRST CLASS ALSO TO BE PAID UNDER THIS ACCOUNTING CODE)</t>
  </si>
  <si>
    <t>TRANSPORT OF GOODS BY ROAD/GOODS TRANSPORT AGENCY SERVICE</t>
  </si>
  <si>
    <t>TRANSPORT OF GOODS THROUGH PIPELINE OR OTHER CONDUIT</t>
  </si>
  <si>
    <t>TRANSPORT OF PASSENGERS EMBARKING ON DOMESTIC/INTERNATIONAL JOURNEY BY AIR</t>
  </si>
  <si>
    <t>TRANSPORT OF PERSONS BY CRUISE SHIP</t>
  </si>
  <si>
    <t>TRAVEL AGENT FOR BOOKING OF PASSAGE(OTHER THAN AIR/RAIL TRAVEL AGENTS)</t>
  </si>
  <si>
    <t>UNDERWRITER SERVICE</t>
  </si>
  <si>
    <t>VIDEO PRODUCTION AGENCY/ VIDEO TAPE PRODUCTION SERVICE</t>
  </si>
  <si>
    <t>WORKS CONTRACT SERVICE</t>
  </si>
  <si>
    <t>https://www.teachoo.com/gst/hsn-code/</t>
  </si>
  <si>
    <t>Source</t>
  </si>
  <si>
    <t>https://static.nseindia.com//s3fs-public/inline-files/NSE%20Indices_Industry%20Classification%20Structure-2022-04.pdf</t>
  </si>
  <si>
    <t>L0</t>
  </si>
  <si>
    <t>L1</t>
  </si>
  <si>
    <t>L2</t>
  </si>
  <si>
    <t>L3</t>
  </si>
  <si>
    <t>Macro sector</t>
  </si>
  <si>
    <t>CW macro sector</t>
  </si>
  <si>
    <t>Sector</t>
  </si>
  <si>
    <t>CW sector</t>
  </si>
  <si>
    <t>CW industry</t>
  </si>
  <si>
    <t>Basic industry</t>
  </si>
  <si>
    <t>CW basic industry</t>
  </si>
  <si>
    <t>Commodities</t>
  </si>
  <si>
    <t>Not available</t>
  </si>
  <si>
    <t>Chemicals &amp; Petrochemicals</t>
  </si>
  <si>
    <t>Commodity
Chemicals</t>
  </si>
  <si>
    <t xml:space="preserve"> - </t>
  </si>
  <si>
    <t xml:space="preserve">Specialty
Chemicals
</t>
  </si>
  <si>
    <t xml:space="preserve">Carbon Black </t>
  </si>
  <si>
    <t>Dyes And
Pigments</t>
  </si>
  <si>
    <t>Explosives</t>
  </si>
  <si>
    <t xml:space="preserve">Printing Inks </t>
  </si>
  <si>
    <t>Trading -
Chemicals</t>
  </si>
  <si>
    <t>Fertilizers &amp; Agrochemicals</t>
  </si>
  <si>
    <t>Pesticides &amp;
Agrochemicals</t>
  </si>
  <si>
    <t xml:space="preserve">Construction
Materials
</t>
  </si>
  <si>
    <t>Construction
Materials</t>
  </si>
  <si>
    <t>Other Construction Materials</t>
  </si>
  <si>
    <t xml:space="preserve">Metals &amp;
Mining
</t>
  </si>
  <si>
    <t>Ferrous Metals</t>
  </si>
  <si>
    <t>Ferro &amp; Silica Manganese</t>
  </si>
  <si>
    <t xml:space="preserve">Ferro &amp; Silica
Manganese
</t>
  </si>
  <si>
    <t>Pig Iron</t>
  </si>
  <si>
    <t xml:space="preserve">Pig Iron </t>
  </si>
  <si>
    <t>Sponge Iron</t>
  </si>
  <si>
    <t>Metals &amp;
Mining</t>
  </si>
  <si>
    <t>Iron &amp; Steel</t>
  </si>
  <si>
    <t>Non-Ferrous Metals</t>
  </si>
  <si>
    <t>Precious Metals</t>
  </si>
  <si>
    <t>Metals &amp;
Mining</t>
  </si>
  <si>
    <t>Diversified Metals</t>
  </si>
  <si>
    <t>Minerals &amp; Mining</t>
  </si>
  <si>
    <t>Metals &amp; Minerals Trading</t>
  </si>
  <si>
    <t>Trading - Metals</t>
  </si>
  <si>
    <t>Trading - Minerals</t>
  </si>
  <si>
    <t>Forest
Materials</t>
  </si>
  <si>
    <t>Paper, Forest &amp; Jute Products</t>
  </si>
  <si>
    <t>Jute Products</t>
  </si>
  <si>
    <t>Consumer Discretionary</t>
  </si>
  <si>
    <t>Automobile and Auto Components</t>
  </si>
  <si>
    <t>Passenger Cars &amp; Utility Vehicles</t>
  </si>
  <si>
    <t>Trading - Automobiles</t>
  </si>
  <si>
    <t>Auto Components</t>
  </si>
  <si>
    <t>Auto Components &amp; Equipments</t>
  </si>
  <si>
    <t>Batteries - Automobile</t>
  </si>
  <si>
    <t>Fastener</t>
  </si>
  <si>
    <t>Gas Cylinders</t>
  </si>
  <si>
    <t xml:space="preserve">Trading - Auto Ancillaries
</t>
  </si>
  <si>
    <t>Tyres &amp; Rubber Products</t>
  </si>
  <si>
    <t>Consumer
Durables</t>
  </si>
  <si>
    <t>Consumer Durables</t>
  </si>
  <si>
    <t>Air Conditioner</t>
  </si>
  <si>
    <t>Cycles</t>
  </si>
  <si>
    <t>Furniture, Home Furnishing, Flooring</t>
  </si>
  <si>
    <t>Gems, Jewellery And Watches</t>
  </si>
  <si>
    <t xml:space="preserve">Glass - Consumer </t>
  </si>
  <si>
    <t xml:space="preserve">Leather And Leather Products
</t>
  </si>
  <si>
    <t>Leisure Products</t>
  </si>
  <si>
    <t xml:space="preserve">Plastic Products - Consumer
</t>
  </si>
  <si>
    <t>Plywood Boards/ Laminates</t>
  </si>
  <si>
    <t>Sanitary Ware</t>
  </si>
  <si>
    <t>Toys</t>
  </si>
  <si>
    <t>Diversified Consumer Products</t>
  </si>
  <si>
    <t>Textiles &amp; Apparels</t>
  </si>
  <si>
    <t>Garments &amp; Apparels</t>
  </si>
  <si>
    <t>Other Textile Products</t>
  </si>
  <si>
    <t>Trading - Textile Products</t>
  </si>
  <si>
    <t>Media,
Entertainme
nt &amp;
Publication</t>
  </si>
  <si>
    <t>Media</t>
  </si>
  <si>
    <t>Advertising &amp; Media Agencies</t>
  </si>
  <si>
    <t>Electronic Media</t>
  </si>
  <si>
    <t>Web based media and service</t>
  </si>
  <si>
    <t>Print Media</t>
  </si>
  <si>
    <t xml:space="preserve">Entertainment </t>
  </si>
  <si>
    <t>Film Production, Distribution &amp; Exhibition</t>
  </si>
  <si>
    <t>Digital Entertainment</t>
  </si>
  <si>
    <t>Media &amp; Entertainment</t>
  </si>
  <si>
    <t>TV Broadcasting &amp; Software Production</t>
  </si>
  <si>
    <t>Printing &amp; Publication</t>
  </si>
  <si>
    <t>Residential, Commercial Projects</t>
  </si>
  <si>
    <t xml:space="preserve">Real Estate related services
</t>
  </si>
  <si>
    <t>Real Estate Investment Trusts (REITs)</t>
  </si>
  <si>
    <t>Consumer Services</t>
  </si>
  <si>
    <t>Leisure Services</t>
  </si>
  <si>
    <t xml:space="preserve">Hotels &amp; Resorts </t>
  </si>
  <si>
    <t xml:space="preserve">Amusement Parks/ Other Recreation
</t>
  </si>
  <si>
    <t>Wellness</t>
  </si>
  <si>
    <t>Tour, Travel Related Services</t>
  </si>
  <si>
    <t>Other Consumer Services</t>
  </si>
  <si>
    <t>E-Learning</t>
  </si>
  <si>
    <t>Food Storage Facilities</t>
  </si>
  <si>
    <t>Consumer
Discretionary</t>
  </si>
  <si>
    <t>Retailing</t>
  </si>
  <si>
    <t>Speciality Retail</t>
  </si>
  <si>
    <t>Pharmacy Retail</t>
  </si>
  <si>
    <t>Diversified Retail</t>
  </si>
  <si>
    <t>E-Retail/ ECommerce</t>
  </si>
  <si>
    <t xml:space="preserve">Internet &amp; Catalogue Retail
</t>
  </si>
  <si>
    <t>Energy</t>
  </si>
  <si>
    <t xml:space="preserve">Oil, Gas &amp;
Consumable
Fuels
</t>
  </si>
  <si>
    <t>Gas</t>
  </si>
  <si>
    <t xml:space="preserve">Gas Transmission/Marketing
</t>
  </si>
  <si>
    <t>Industrial Gas</t>
  </si>
  <si>
    <t>LPG/CNG/PNG/LNG Supplier</t>
  </si>
  <si>
    <t>Trading - Gas</t>
  </si>
  <si>
    <t>Oil</t>
  </si>
  <si>
    <t>Oil Exploration &amp; Production</t>
  </si>
  <si>
    <t>Offshore Support Solution Drilling</t>
  </si>
  <si>
    <t xml:space="preserve">Oil Storage &amp; Transportation
</t>
  </si>
  <si>
    <t>Petroleum
Products</t>
  </si>
  <si>
    <t>Refineries &amp; Marketing</t>
  </si>
  <si>
    <t>Lubricants</t>
  </si>
  <si>
    <t xml:space="preserve">Consumable Fuels </t>
  </si>
  <si>
    <t xml:space="preserve">Fast Moving
Consumer
Goods
</t>
  </si>
  <si>
    <t>Agricultural Food
&amp; other Products</t>
  </si>
  <si>
    <t>Edible Oil</t>
  </si>
  <si>
    <t xml:space="preserve">Breweries &amp; Distilleries
</t>
  </si>
  <si>
    <t>Other Beverages</t>
  </si>
  <si>
    <t xml:space="preserve">Cigarettes &amp; Tobacco Products
</t>
  </si>
  <si>
    <t>Food Products</t>
  </si>
  <si>
    <t>Animal Feed</t>
  </si>
  <si>
    <t>Dairy Products</t>
  </si>
  <si>
    <t xml:space="preserve">Packaged Foods </t>
  </si>
  <si>
    <t>Personal Care</t>
  </si>
  <si>
    <t>Batteries</t>
  </si>
  <si>
    <t>Photographic products</t>
  </si>
  <si>
    <t>Stationary</t>
  </si>
  <si>
    <t xml:space="preserve">Diversified FMCG </t>
  </si>
  <si>
    <t>Diversified FMCG</t>
  </si>
  <si>
    <t xml:space="preserve">Financial </t>
  </si>
  <si>
    <t>Financial Institution</t>
  </si>
  <si>
    <t>Housing Finance Company</t>
  </si>
  <si>
    <t>Investment Company</t>
  </si>
  <si>
    <t>Non Banking Financial Company (NBFC)</t>
  </si>
  <si>
    <t>Holding Company</t>
  </si>
  <si>
    <t>Public Sector Bank</t>
  </si>
  <si>
    <t xml:space="preserve">Private Sector Bank
</t>
  </si>
  <si>
    <t>Other Bank</t>
  </si>
  <si>
    <t>Capital Markets</t>
  </si>
  <si>
    <t>Asset Management Company</t>
  </si>
  <si>
    <t>Depositories, Clearing Houses and Other Intermediaries</t>
  </si>
  <si>
    <t>Financial Products Distributor</t>
  </si>
  <si>
    <t xml:space="preserve">Ratings </t>
  </si>
  <si>
    <t>Exchange and Data Platform</t>
  </si>
  <si>
    <t>Stockbroking &amp; Allied</t>
  </si>
  <si>
    <t xml:space="preserve">Other Capital Market related Services
</t>
  </si>
  <si>
    <t>Insurance</t>
  </si>
  <si>
    <t>Other Insurance
Companies</t>
  </si>
  <si>
    <t>Insurance
Distributors</t>
  </si>
  <si>
    <t xml:space="preserve">Financial Technology (Fintech)
</t>
  </si>
  <si>
    <t>Pharmaceuticals &amp; Biotechnology</t>
  </si>
  <si>
    <t xml:space="preserve">Pharmaceuticals
</t>
  </si>
  <si>
    <t>Healthcare Equipment &amp; Supplies</t>
  </si>
  <si>
    <t>Medical Equipment &amp; Supplies</t>
  </si>
  <si>
    <t>Hospital</t>
  </si>
  <si>
    <t>Healthcare Research, Analytics &amp; Technology</t>
  </si>
  <si>
    <t>Industrials</t>
  </si>
  <si>
    <t>Civil Construction</t>
  </si>
  <si>
    <t>Engineering, Designing &amp; Construction</t>
  </si>
  <si>
    <t>Capital
Goods</t>
  </si>
  <si>
    <t>Aerospace &amp;
Defense</t>
  </si>
  <si>
    <t>Agricultural, Commercial &amp; Construction Vehicles</t>
  </si>
  <si>
    <t>Construction Vehicles</t>
  </si>
  <si>
    <t>Electrical Equipment</t>
  </si>
  <si>
    <t xml:space="preserve">Other Electrical Equipment
</t>
  </si>
  <si>
    <t>Industrial Manufacturing</t>
  </si>
  <si>
    <t>Elevators</t>
  </si>
  <si>
    <t>Engineering &amp; Construction products</t>
  </si>
  <si>
    <t>Industrial Electronics</t>
  </si>
  <si>
    <t>Industrial Equipments</t>
  </si>
  <si>
    <t>Railway Wagons</t>
  </si>
  <si>
    <t>Ship Building &amp; Allied Services</t>
  </si>
  <si>
    <t xml:space="preserve">Industrial Machinery
</t>
  </si>
  <si>
    <t>Industrial Products</t>
  </si>
  <si>
    <t>Abrasives</t>
  </si>
  <si>
    <t>Bearings</t>
  </si>
  <si>
    <t>Cables - Electricals</t>
  </si>
  <si>
    <t>Castings &amp; Forgings</t>
  </si>
  <si>
    <t xml:space="preserve">Compressors &amp; Pumps
</t>
  </si>
  <si>
    <t>Diesel Engines</t>
  </si>
  <si>
    <t>Electrodes</t>
  </si>
  <si>
    <t>Packaging</t>
  </si>
  <si>
    <t>Plastic Products - Industrial</t>
  </si>
  <si>
    <t>Refractories</t>
  </si>
  <si>
    <t>Rubber</t>
  </si>
  <si>
    <t>Glass - Industrial</t>
  </si>
  <si>
    <t xml:space="preserve">Aluminium, Copper &amp; Zinc Products
</t>
  </si>
  <si>
    <t>Information
Technology</t>
  </si>
  <si>
    <t>IT - Software</t>
  </si>
  <si>
    <t>Computers - Software &amp; Consulting</t>
  </si>
  <si>
    <t>Software Products</t>
  </si>
  <si>
    <t>IT - Services</t>
  </si>
  <si>
    <t>IT Enabled Services</t>
  </si>
  <si>
    <t>IT - Hardware</t>
  </si>
  <si>
    <t>Computers Hardware &amp; Equipments</t>
  </si>
  <si>
    <t>Engineering Services</t>
  </si>
  <si>
    <t>Dredging</t>
  </si>
  <si>
    <t>Transport Services</t>
  </si>
  <si>
    <t>Airline</t>
  </si>
  <si>
    <t>Logistics Solution Provider</t>
  </si>
  <si>
    <t>Railways</t>
  </si>
  <si>
    <t>Road Transport</t>
  </si>
  <si>
    <t xml:space="preserve">Transport Related Services
</t>
  </si>
  <si>
    <t>Transport Infrastructure</t>
  </si>
  <si>
    <t>Airport &amp; Airport services</t>
  </si>
  <si>
    <t>Port &amp; Port services</t>
  </si>
  <si>
    <t>Toll bridge operator</t>
  </si>
  <si>
    <t xml:space="preserve">Commercial  Services &amp; Supplies
</t>
  </si>
  <si>
    <t xml:space="preserve">Trading &amp; Distributors
</t>
  </si>
  <si>
    <t>Data Processing Services</t>
  </si>
  <si>
    <t xml:space="preserve">Diversified Commercial Services
</t>
  </si>
  <si>
    <t xml:space="preserve">BPO/KPO
</t>
  </si>
  <si>
    <t>Telecommunication</t>
  </si>
  <si>
    <t>Telecom - Services</t>
  </si>
  <si>
    <t xml:space="preserve">Telecom - Cellular &amp; Fixed line services
</t>
  </si>
  <si>
    <t>Telecom - Infrastructure</t>
  </si>
  <si>
    <t xml:space="preserve">Telecom - Equipment &amp; Accessories
</t>
  </si>
  <si>
    <t>Utilities</t>
  </si>
  <si>
    <t>Power Trading</t>
  </si>
  <si>
    <t>Power - Transmission</t>
  </si>
  <si>
    <t>Other Utilities</t>
  </si>
  <si>
    <t>Water Supply &amp; Management</t>
  </si>
  <si>
    <t>Waste Management</t>
  </si>
  <si>
    <t>Emergency Services</t>
  </si>
  <si>
    <t>Multi Utilities</t>
  </si>
  <si>
    <t xml:space="preserve">Specialty Chemicals
</t>
  </si>
  <si>
    <t>Dyes And Pigments</t>
  </si>
  <si>
    <t>Trading - Chemicals</t>
  </si>
  <si>
    <t>Pesticides &amp; Agrochemicals</t>
  </si>
  <si>
    <t>Key products</t>
  </si>
  <si>
    <t>Raw materials</t>
  </si>
  <si>
    <t>Whether input price sensitice</t>
  </si>
  <si>
    <t>Refernce companies</t>
  </si>
  <si>
    <t>Chemicals &amp;
Petrochemicals</t>
  </si>
  <si>
    <t>Commodity
Chemicals</t>
  </si>
  <si>
    <t xml:space="preserve">3-D Printing, Plastic molding process, </t>
  </si>
  <si>
    <t>ethane</t>
  </si>
  <si>
    <t>Fertilizers &amp;
Agrochemicals</t>
  </si>
  <si>
    <t>Urea, MOP, DOP</t>
  </si>
  <si>
    <t>hydrocarbon sources</t>
  </si>
  <si>
    <t>herbicides, fungicides and insecticides, synthetic fertilizers, hormones soil conditioning agents</t>
  </si>
  <si>
    <t>Cement &amp;
Cement Products</t>
  </si>
  <si>
    <t>Constructions</t>
  </si>
  <si>
    <t>Limestone, clay, iron ore</t>
  </si>
  <si>
    <t>Other
Construction
Materials</t>
  </si>
  <si>
    <t xml:space="preserve">Other
Construction
Materials
</t>
  </si>
  <si>
    <t>Ferro &amp; Silica
Manganese</t>
  </si>
  <si>
    <t xml:space="preserve">Steel making </t>
  </si>
  <si>
    <t>induction and electrical arc furnaces</t>
  </si>
  <si>
    <t>steel bars, plates, construction material</t>
  </si>
  <si>
    <t>Power lines, High-rise buildings, Window frames, Consumer electronics</t>
  </si>
  <si>
    <t>electrical wire, cooking pots and pans, pipes and tubes, automobile radiators</t>
  </si>
  <si>
    <t>Minerals &amp;
Mining</t>
  </si>
  <si>
    <t>Metals &amp;
Minerals Trading</t>
  </si>
  <si>
    <t>Paper, Forest &amp;
Jute Products</t>
  </si>
  <si>
    <t>Trading -
Automobiles</t>
  </si>
  <si>
    <t>Batteries -
Automobile</t>
  </si>
  <si>
    <t xml:space="preserve">Trading - Auto
Ancillaries
</t>
  </si>
  <si>
    <t>Tyres &amp; Rubber
Products</t>
  </si>
  <si>
    <t>Furniture, Home
Furnishing,
Flooring</t>
  </si>
  <si>
    <t>Gems, Jewellery
And Watches</t>
  </si>
  <si>
    <t>Household
Appliances</t>
  </si>
  <si>
    <t xml:space="preserve">Leather And
Leather Products
</t>
  </si>
  <si>
    <t xml:space="preserve">Plastic Products -
Consumer
</t>
  </si>
  <si>
    <t>Plywood Boards/
Laminates</t>
  </si>
  <si>
    <t>Diversified
Consumer
Products</t>
  </si>
  <si>
    <t>Textiles &amp;
Apparels</t>
  </si>
  <si>
    <t>Garments &amp;
Apparels</t>
  </si>
  <si>
    <t>Other Textile
Products</t>
  </si>
  <si>
    <t>Trading - Textile
Products</t>
  </si>
  <si>
    <t>Web based media
and service</t>
  </si>
  <si>
    <t>Film Production,
Distribution &amp;
Exhibition</t>
  </si>
  <si>
    <t>Digital
Entertainment</t>
  </si>
  <si>
    <t>Media &amp;
Entertainment</t>
  </si>
  <si>
    <t>TV Broadcasting
&amp; Software
Production</t>
  </si>
  <si>
    <t>Printing &amp;
Publication</t>
  </si>
  <si>
    <t>Printing &amp;
Publication</t>
  </si>
  <si>
    <t>Residential,
Commercial
Projects</t>
  </si>
  <si>
    <t xml:space="preserve">Real Estate
related services
</t>
  </si>
  <si>
    <t>Real Estate
Investment Trusts
(REITs)</t>
  </si>
  <si>
    <t xml:space="preserve">Amusement
Parks/ Other
Recreation
</t>
  </si>
  <si>
    <t>Tour, Travel
Related Services</t>
  </si>
  <si>
    <t>Food Storage
Facilities</t>
  </si>
  <si>
    <t xml:space="preserve">Internet &amp;
Catalogue Retail
</t>
  </si>
  <si>
    <t xml:space="preserve">Gas
Transmission/Mar
keting
</t>
  </si>
  <si>
    <t>LPG/CNG/PNG/LN
G Supplier</t>
  </si>
  <si>
    <t>Oil Exploration &amp;
Production</t>
  </si>
  <si>
    <t>Offshore Support
Solution Drilling</t>
  </si>
  <si>
    <t xml:space="preserve">Oil Storage &amp;
Transportation
</t>
  </si>
  <si>
    <t>Oil Equipment &amp;
Services</t>
  </si>
  <si>
    <t>Refineries &amp;
Marketing</t>
  </si>
  <si>
    <t>Other Agricultural
Products</t>
  </si>
  <si>
    <t xml:space="preserve">Breweries &amp;
Distilleries
</t>
  </si>
  <si>
    <t xml:space="preserve">Cigarettes &amp;
Tobacco Products
</t>
  </si>
  <si>
    <t>Other Food
Products</t>
  </si>
  <si>
    <t>Photographic
Products</t>
  </si>
  <si>
    <t>Financial
Institution</t>
  </si>
  <si>
    <t>Housing Finance
Company</t>
  </si>
  <si>
    <t>Investment
Company</t>
  </si>
  <si>
    <t>Non Banking
Financial
Company (NBFC)</t>
  </si>
  <si>
    <t>Other Financial
Services</t>
  </si>
  <si>
    <t>Public Sector
Bank</t>
  </si>
  <si>
    <t xml:space="preserve">Private Sector
Bank
</t>
  </si>
  <si>
    <t>Asset
Management
Company</t>
  </si>
  <si>
    <t>Depositories,
Clearing Houses
and Other
Intermediaries</t>
  </si>
  <si>
    <t>Financial Products
Distributor</t>
  </si>
  <si>
    <t>Exchange and
Data Platform</t>
  </si>
  <si>
    <t>Stockbroking &amp;
Allied</t>
  </si>
  <si>
    <t xml:space="preserve">Other Capital
Market related
Services
</t>
  </si>
  <si>
    <t>Financial
Technology
(Fintech)</t>
  </si>
  <si>
    <t xml:space="preserve">Financial
Technology
(Fintech)
</t>
  </si>
  <si>
    <t>Pharmaceuticals
&amp; Biotechnology</t>
  </si>
  <si>
    <t>Healthcare
Equipment &amp;
Supplies</t>
  </si>
  <si>
    <t>Medical
Equipment &amp;
Supplies</t>
  </si>
  <si>
    <t>Healthcare
Services</t>
  </si>
  <si>
    <t>Healthcare
Service Provider</t>
  </si>
  <si>
    <t>Healthcare
Research,
Analytics &amp;
Technology</t>
  </si>
  <si>
    <t>Engineering,
Designing &amp;
Construction</t>
  </si>
  <si>
    <t>Agricultural,
Commercial &amp;
Construction
Vehicles</t>
  </si>
  <si>
    <t>Commercial
Vehicles</t>
  </si>
  <si>
    <t>Construction
Vehicles</t>
  </si>
  <si>
    <t>Electrical
Equipment</t>
  </si>
  <si>
    <t>Heavy Electrical
Equipment</t>
  </si>
  <si>
    <t xml:space="preserve">Other Electrical
Equipment
</t>
  </si>
  <si>
    <t>Industrial
Manufacturing</t>
  </si>
  <si>
    <t>Engineering &amp;
Construction
products</t>
  </si>
  <si>
    <t>Industrial
Electronics</t>
  </si>
  <si>
    <t>Industrial
Equipments</t>
  </si>
  <si>
    <t>Ship Building &amp;
Allied Services</t>
  </si>
  <si>
    <t xml:space="preserve">Industrial
Machinery
</t>
  </si>
  <si>
    <t>Industrial
Products</t>
  </si>
  <si>
    <t>Cables -
Electricals</t>
  </si>
  <si>
    <t>Castings &amp;
Forgings</t>
  </si>
  <si>
    <t xml:space="preserve">Compressors &amp;
Pumps
</t>
  </si>
  <si>
    <t>Plastic Products -
Industrial</t>
  </si>
  <si>
    <t>Other Industrial
Products</t>
  </si>
  <si>
    <t xml:space="preserve">Aluminium,
Copper &amp; Zinc
Products
</t>
  </si>
  <si>
    <t>Iron &amp; Steel
Products</t>
  </si>
  <si>
    <t>Computers -
Software &amp;
Consulting</t>
  </si>
  <si>
    <t>Software
Products</t>
  </si>
  <si>
    <t>IT Enabled
Services</t>
  </si>
  <si>
    <t>Computers
Hardware &amp;
Equipments</t>
  </si>
  <si>
    <t>Logistics Solution
Provider</t>
  </si>
  <si>
    <t xml:space="preserve">Transport Related
Services
</t>
  </si>
  <si>
    <t>Airport &amp; Airport
services</t>
  </si>
  <si>
    <t>Port &amp; Port
services</t>
  </si>
  <si>
    <t>Toll bridge
operator</t>
  </si>
  <si>
    <t xml:space="preserve">Commercial
Services &amp;
Supplies
</t>
  </si>
  <si>
    <t xml:space="preserve">Trading &amp;
Distributors
</t>
  </si>
  <si>
    <t>Consulting
Services</t>
  </si>
  <si>
    <t>Data Processing
Services</t>
  </si>
  <si>
    <t xml:space="preserve">Diversified
Commercial
Services
</t>
  </si>
  <si>
    <t xml:space="preserve">Business Process
Outsourcing
(BPO)/
Knowledge
Process
Outsourcing
(KPO)
</t>
  </si>
  <si>
    <t>Telecom -
Services</t>
  </si>
  <si>
    <t xml:space="preserve">Telecom - Cellular
&amp; Fixed line
services
</t>
  </si>
  <si>
    <t>Telecom -
Infrastructure</t>
  </si>
  <si>
    <t>Other Telecom
Services</t>
  </si>
  <si>
    <t xml:space="preserve">Telecom -
Equipment &amp;
Accessories
</t>
  </si>
  <si>
    <t>Telecom -
Equipment &amp;
Accessories</t>
  </si>
  <si>
    <t>Power -
Transmission</t>
  </si>
  <si>
    <t>Water Supply &amp;
Management</t>
  </si>
  <si>
    <t>Waste
Management</t>
  </si>
  <si>
    <t>Emergency
Services</t>
  </si>
  <si>
    <t>sac_code</t>
  </si>
  <si>
    <t>old_desc</t>
  </si>
  <si>
    <t>new_desc</t>
  </si>
  <si>
    <t>Services-Hotel, restaurants, catering - Accomodation and Hotel</t>
  </si>
  <si>
    <t>Arrive at CBA</t>
  </si>
  <si>
    <t>Take count of unique 4 digit hsn codes for CBA</t>
  </si>
  <si>
    <t>Rank</t>
  </si>
  <si>
    <t>1 party</t>
  </si>
  <si>
    <t>Counts</t>
  </si>
  <si>
    <t>Rank Hsn as per the counts</t>
  </si>
  <si>
    <t>Find parties which have same (not similar) combo as that of Step 3</t>
  </si>
  <si>
    <t>Additional truncation</t>
  </si>
  <si>
    <t>MCA parties bucket them into following as per revenue key:
- Upto .50 cr.
- .50 to 1cr.
- 1cr. to 25cr.
- 25cr. to 100cr.
- 100 to 250 cr.
- 250 to 500 cr.
- over 500 cr.
Non-MCA parties - bucket as per GST turnover</t>
  </si>
  <si>
    <t>Step 6</t>
  </si>
  <si>
    <t>Take into consideration parties as per bucket where your party lies</t>
  </si>
  <si>
    <t>Step 7</t>
  </si>
  <si>
    <t>If there are less parties, include parties in next bucket (up and down) as peers</t>
  </si>
  <si>
    <t>Party</t>
  </si>
  <si>
    <t>5558a0866d6f6f274502a004</t>
  </si>
  <si>
    <t>GSTN</t>
  </si>
  <si>
    <t>Relevant HSN no</t>
  </si>
  <si>
    <t>Count</t>
  </si>
  <si>
    <t>Party 1</t>
  </si>
  <si>
    <t>27AAICS9204M1ZV</t>
  </si>
  <si>
    <t>Core business</t>
  </si>
  <si>
    <t>Unqiue HSN codes</t>
  </si>
  <si>
    <t>freuqency</t>
  </si>
  <si>
    <t>Ranking</t>
  </si>
  <si>
    <t>29AAICS9204M2ZQ</t>
  </si>
  <si>
    <t>Exception</t>
  </si>
  <si>
    <t>29AAICS9204M1ZR</t>
  </si>
  <si>
    <t>MFG</t>
  </si>
  <si>
    <t>Drop</t>
  </si>
  <si>
    <t xml:space="preserve"> 07AAICS9204M1ZX</t>
  </si>
  <si>
    <t>Party 2</t>
  </si>
  <si>
    <t>Party 3</t>
  </si>
  <si>
    <t xml:space="preserve">Ranking </t>
  </si>
  <si>
    <t>Party 4</t>
  </si>
  <si>
    <t>1. Agate</t>
  </si>
  <si>
    <t>17. Gypsum</t>
  </si>
  <si>
    <t>2. Ball Clay</t>
  </si>
  <si>
    <t>18. Jasper</t>
  </si>
  <si>
    <t>3. Barytes</t>
  </si>
  <si>
    <t>19. Kaolin</t>
  </si>
  <si>
    <t>4. Calcarous Sand</t>
  </si>
  <si>
    <t>20. Laterite</t>
  </si>
  <si>
    <t>5. Calcite</t>
  </si>
  <si>
    <t>21. Limekankar</t>
  </si>
  <si>
    <t>6. Chalk</t>
  </si>
  <si>
    <t>22. Mica</t>
  </si>
  <si>
    <t>7. China Clay</t>
  </si>
  <si>
    <t>23. Ochre</t>
  </si>
  <si>
    <t>8. Clay(others)</t>
  </si>
  <si>
    <t>24. Pyrophyllite</t>
  </si>
  <si>
    <t>9. Corrundum</t>
  </si>
  <si>
    <t>25. Quartz</t>
  </si>
  <si>
    <t>10. Diaspore</t>
  </si>
  <si>
    <t>26. Quartzite</t>
  </si>
  <si>
    <t>11. Dolomite</t>
  </si>
  <si>
    <t>27. Sand(others)</t>
  </si>
  <si>
    <t>12. Dunite / pyroxenite</t>
  </si>
  <si>
    <t>28. Shale</t>
  </si>
  <si>
    <t>13. Felsite</t>
  </si>
  <si>
    <t>29. Silica Sand</t>
  </si>
  <si>
    <t>14. Felspar</t>
  </si>
  <si>
    <t>30. Slate and</t>
  </si>
  <si>
    <t>15. Fireclay</t>
  </si>
  <si>
    <t>31. Steatite / Talc / Soapstone</t>
  </si>
  <si>
    <t>16. Fusch Quartzite</t>
  </si>
  <si>
    <t>http://www.gstcouncil.gov.in/gst-revenue</t>
  </si>
  <si>
    <t>Sub-Sector</t>
  </si>
  <si>
    <t>AGRICULTURE,
ANIMAL HUSBANDRY
&amp; FORESTRY</t>
  </si>
  <si>
    <t>Growing and manufacturing of tea</t>
  </si>
  <si>
    <t>Growing and manufacturing of coffee</t>
  </si>
  <si>
    <t>Growing and manufacturing of rubber</t>
  </si>
  <si>
    <t>Market gardening and horticulture
specialties</t>
  </si>
  <si>
    <t>Raising of silk worms and production of silk</t>
  </si>
  <si>
    <t>Raising of bees and production of honey</t>
  </si>
  <si>
    <t>Raising of poultry and production of eggs</t>
  </si>
  <si>
    <t>Rearing of sheep and production of wool</t>
  </si>
  <si>
    <t>Rearing of animals and production of
animal products</t>
  </si>
  <si>
    <t>Agricultural and animal husbandry services</t>
  </si>
  <si>
    <t>Soil conservation, soil testing and soil
desalination services</t>
  </si>
  <si>
    <t>Hunting, trapping and game propagation services</t>
  </si>
  <si>
    <t>Growing of timber, plantation, operation of tree nurseries and conserving of forest</t>
  </si>
  <si>
    <t>Gathering of tendu leaves</t>
  </si>
  <si>
    <t>Gathering of other wild growing materials</t>
  </si>
  <si>
    <t>Forestry service activities, timber cruising, afforestation and reforestation</t>
  </si>
  <si>
    <t>Logging service activities, transport of logs within the forest</t>
  </si>
  <si>
    <t>Other agriculture, animal husbandry or
forestry activity n.e.c</t>
  </si>
  <si>
    <t>FISH FARMING</t>
  </si>
  <si>
    <t>Fishing on commercial basis in inland
waters</t>
  </si>
  <si>
    <t>Fishing on commercial basis in ocean and coastal areas</t>
  </si>
  <si>
    <t>Fish farming</t>
  </si>
  <si>
    <t>Gathering of marine materials such as
natural pearls, sponges, coral etc.</t>
  </si>
  <si>
    <t>Services related to marine and fresh water fisheries, fish hatcheries and fish farms</t>
  </si>
  <si>
    <t>Other Fish farming activity n.e.c</t>
  </si>
  <si>
    <t>MINING AND
QUARRYING</t>
  </si>
  <si>
    <t>Mining and agglomeration of hard coal</t>
  </si>
  <si>
    <t>Mining and agglomeration of lignite</t>
  </si>
  <si>
    <t>Extraction and agglomeration of peat</t>
  </si>
  <si>
    <t>Extraction of crude petroleum and natural gas</t>
  </si>
  <si>
    <t>Service activities incidental to oil and gas extraction excluding surveying</t>
  </si>
  <si>
    <t>Mining of uranium and thorium ores</t>
  </si>
  <si>
    <t>Mining of iron ores</t>
  </si>
  <si>
    <t>Mining of non-ferrous metal ores, except uranium and thorium ores</t>
  </si>
  <si>
    <t>Mining of gemstones</t>
  </si>
  <si>
    <t>Mining of chemical and fertilizer minerals</t>
  </si>
  <si>
    <t>Mining of quarrying of abrasive materials</t>
  </si>
  <si>
    <t>Mining of mica, graphite and asbestos</t>
  </si>
  <si>
    <t>Quarrying of stones
(marble/granite/dolomite), sand and clay</t>
  </si>
  <si>
    <t>Other mining and quarrying</t>
  </si>
  <si>
    <t>Mining and production of salt</t>
  </si>
  <si>
    <t>Other mining and quarrying n.e.c</t>
  </si>
  <si>
    <t>MANUFACTURING</t>
  </si>
  <si>
    <t>Production, processing and preservation of meat and meat products</t>
  </si>
  <si>
    <t>Production, processing and preservation of fish and fish products</t>
  </si>
  <si>
    <t>Manufacture of vegetable oil, animal oil and fats</t>
  </si>
  <si>
    <t>Processing of fruits, vegetables and edible nuts</t>
  </si>
  <si>
    <t>Manufacture of dairy products</t>
  </si>
  <si>
    <t>Manufacture of sugar</t>
  </si>
  <si>
    <t>Manufacture of cocoa, chocolates and
sugar confectionery</t>
  </si>
  <si>
    <t>Flour milling</t>
  </si>
  <si>
    <t>Rice milling</t>
  </si>
  <si>
    <t>Dal milling</t>
  </si>
  <si>
    <t>Manufacture of other grain mill products</t>
  </si>
  <si>
    <t>Manufacture of bakery products</t>
  </si>
  <si>
    <t>Manufacture of starch products</t>
  </si>
  <si>
    <t>Manufacture of animal feeds</t>
  </si>
  <si>
    <t>Manufacture of other food products</t>
  </si>
  <si>
    <t>Manufacturing of wines</t>
  </si>
  <si>
    <t>Manufacture of beer</t>
  </si>
  <si>
    <t>Manufacture of malt liquors</t>
  </si>
  <si>
    <t>Distilling and blending of spirits, production of ethyl alcohol</t>
  </si>
  <si>
    <t>Manufacture of mineral water</t>
  </si>
  <si>
    <t>Manufacture of soft drinks</t>
  </si>
  <si>
    <t>Manufacture of other non-alcoholic
beverages</t>
  </si>
  <si>
    <t>Manufacture of tobacco products</t>
  </si>
  <si>
    <t>Manufacture of textiles (other than by
handloom)</t>
  </si>
  <si>
    <t>Manufacture of textiles using handlooms (khadi)</t>
  </si>
  <si>
    <t>Manufacture of carpet, rugs, blankets,
shawls etc. (other than by hand)</t>
  </si>
  <si>
    <t>Manufacture of carpet, rugs, blankets,
shawls etc. by hand</t>
  </si>
  <si>
    <t>Manufacture of wearing apparel</t>
  </si>
  <si>
    <t>Tanning and dressing of leather</t>
  </si>
  <si>
    <t>Manufacture of luggage, handbags and the</t>
  </si>
  <si>
    <t>like saddler and harness</t>
  </si>
  <si>
    <t>Manufacture of footwear</t>
  </si>
  <si>
    <t>Manufacture of wood and wood products, cork, straw and plaiting material</t>
  </si>
  <si>
    <t>Manufacture of paper and paper products</t>
  </si>
  <si>
    <t>Publishing, printing and reproduction of
recorded media</t>
  </si>
  <si>
    <t>Manufacture of coke oven products</t>
  </si>
  <si>
    <t>Manufacture of refined petroleum products</t>
  </si>
  <si>
    <t>Processing of nuclear fuel</t>
  </si>
  <si>
    <t>Manufacture of fertilizers and nitrogen
compounds</t>
  </si>
  <si>
    <t>Manufacture of plastics in primary forms and of synthetic rubber</t>
  </si>
  <si>
    <t>Manufacture of paints, varnishes and
similar coatings</t>
  </si>
  <si>
    <t>Manufacture of pharmaceuticals, medicinal chemicals and botanical products</t>
  </si>
  <si>
    <t>Manufacture of soap and detergents</t>
  </si>
  <si>
    <t>Manufacture of other chemical products</t>
  </si>
  <si>
    <t>Manufacture of man-made fibers</t>
  </si>
  <si>
    <t>Manufacture of rubber products</t>
  </si>
  <si>
    <t>Manufacture of plastic products</t>
  </si>
  <si>
    <t>Manufacture of glass and glass products</t>
  </si>
  <si>
    <t>Manufacture of articles of concrete, cement and plaster</t>
  </si>
  <si>
    <t>Manufacture of Bricks</t>
  </si>
  <si>
    <t>Manufacture of other clay and ceramic
products</t>
  </si>
  <si>
    <t>Manufacture of other non-metallic mineral products</t>
  </si>
  <si>
    <t>Manufacture of pig iron, sponge iron, Direct Reduced Iron etc.</t>
  </si>
  <si>
    <t>Manufacture of Ferro alloys</t>
  </si>
  <si>
    <t>Manufacture of Ingots, billets, blooms and slabs etc.</t>
  </si>
  <si>
    <t>Manufacture of steel products</t>
  </si>
  <si>
    <t>Manufacture of basic precious and non- ferrous metals</t>
  </si>
  <si>
    <t>Manufacture of non-metallic mineral
products</t>
  </si>
  <si>
    <t>Casting of metals</t>
  </si>
  <si>
    <t>Manufacture of fabricated metal products</t>
  </si>
  <si>
    <t>Manufacture of engines and turbines</t>
  </si>
  <si>
    <t>Manufacture of pumps and compressors</t>
  </si>
  <si>
    <t>Manufacture of bearings and gears</t>
  </si>
  <si>
    <t>Manufacture of ovens and furnaces</t>
  </si>
  <si>
    <t>Manufacture of lifting and handling
equipment</t>
  </si>
  <si>
    <t>Manufacture of other general purpose</t>
  </si>
  <si>
    <t>machinery</t>
  </si>
  <si>
    <t>Manufacture of agricultural and forestry
machinery</t>
  </si>
  <si>
    <t>Manufacture of Machine Tools</t>
  </si>
  <si>
    <t>Manufacture of machinery for metallurgy</t>
  </si>
  <si>
    <t>Manufacture of machinery for mining,
quarrying and constructions</t>
  </si>
  <si>
    <t>Manufacture of machinery for processing of food and beverages</t>
  </si>
  <si>
    <t>Manufacture of machinery for leather and textile</t>
  </si>
  <si>
    <t>Manufacture of weapons and ammunition</t>
  </si>
  <si>
    <t>Manufacture of other special purpose
machinery</t>
  </si>
  <si>
    <t>Manufacture of domestic appliances</t>
  </si>
  <si>
    <t>Manufacture of office, accounting and
computing machinery</t>
  </si>
  <si>
    <t>Manufacture of electrical machinery and
apparatus</t>
  </si>
  <si>
    <t>Manufacture of Radio, Television,
communication equipment and apparatus</t>
  </si>
  <si>
    <t>Manufacture of medical and surgical
equipment</t>
  </si>
  <si>
    <t>Manufacture of industrial process control
equipment</t>
  </si>
  <si>
    <t>Manufacture of instruments and appliances for measurements and navigation</t>
  </si>
  <si>
    <t>Manufacture of optical instruments</t>
  </si>
  <si>
    <t>Manufacture of watches and clocks</t>
  </si>
  <si>
    <t>Manufacture of motor vehicles</t>
  </si>
  <si>
    <t>Manufacture of body of motor vehicles</t>
  </si>
  <si>
    <t>Manufacture of parts &amp; accessories of
motor vehicles &amp; engines</t>
  </si>
  <si>
    <t>Building &amp; repair of ships and boats</t>
  </si>
  <si>
    <t>Manufacture of railway locomotive and
rolling stocks</t>
  </si>
  <si>
    <t>Manufacture of aircraft and spacecraft</t>
  </si>
  <si>
    <t>Manufacture of bicycles</t>
  </si>
  <si>
    <t>Manufacture of other transport equipment</t>
  </si>
  <si>
    <t>Manufacture of furniture</t>
  </si>
  <si>
    <t>Manufacture of jewellery</t>
  </si>
  <si>
    <t>Manufacture of sports goods</t>
  </si>
  <si>
    <t>Manufacture of musical instruments</t>
  </si>
  <si>
    <t>Manufacture of games and toys</t>
  </si>
  <si>
    <t>Other manufacturing n.e.c.</t>
  </si>
  <si>
    <t>Recycling of metal waste and scrap</t>
  </si>
  <si>
    <t>Recycling of non- metal waste and scrap</t>
  </si>
  <si>
    <t>ELECTRITY, GAS AND WATER</t>
  </si>
  <si>
    <t>Production, collection and distribution of
electricity</t>
  </si>
  <si>
    <t>Manufacture and distribution of gas</t>
  </si>
  <si>
    <t>Collection, purification and distribution of
water</t>
  </si>
  <si>
    <t>Other essential commodity service n.e.c</t>
  </si>
  <si>
    <t>CONSTRUCTION</t>
  </si>
  <si>
    <t>Site preparation works</t>
  </si>
  <si>
    <t>Building of complete constructions or parts- civil contractors</t>
  </si>
  <si>
    <t>Building installation</t>
  </si>
  <si>
    <t>Building completion</t>
  </si>
  <si>
    <t>Construction and maintenance of roads,
rails, bridges, tunnels, ports, harbour,
runways etc.</t>
  </si>
  <si>
    <t>Construction and maintenance of power
plants</t>
  </si>
  <si>
    <t>Construction and maintenance of industrial plants</t>
  </si>
  <si>
    <t>Construction and maintenance of power
transmission and telecommunication lines</t>
  </si>
  <si>
    <t>Construction of water ways and water
reservoirs</t>
  </si>
  <si>
    <t>Other construction activity n.e.c.</t>
  </si>
  <si>
    <t>REAL ESTATE AND
RENTING SERVICES</t>
  </si>
  <si>
    <t>Purchase, sale and letting of leased
buildings
(residential and non-residential)</t>
  </si>
  <si>
    <t>Operating of real estate of self-owned
buildings
(residential and non-residential)</t>
  </si>
  <si>
    <t>Developing and sub-dividing real estate
into lots</t>
  </si>
  <si>
    <t>Real estate activities on a fee or contract basis</t>
  </si>
  <si>
    <t>Other real estate/renting services n.e.c</t>
  </si>
  <si>
    <t>RENTING OF
MACHINERY</t>
  </si>
  <si>
    <t>Renting of land transport equipment</t>
  </si>
  <si>
    <t>Renting of water transport equipment</t>
  </si>
  <si>
    <t>Renting of air transport equipment</t>
  </si>
  <si>
    <t>Renting of agricultural machinery and
equipment</t>
  </si>
  <si>
    <t>Renting of construction and civil
engineering machinery</t>
  </si>
  <si>
    <t>Renting of office machinery and equipment</t>
  </si>
  <si>
    <t>Renting of other machinery and equipment n.e.c.</t>
  </si>
  <si>
    <t>Renting of personal and household goods n.e.c.</t>
  </si>
  <si>
    <t>Renting of other machinery n.e.c.</t>
  </si>
  <si>
    <t>WHOLESALE AND
RETAIL TRADE</t>
  </si>
  <si>
    <t>Wholesale and retail sale of motor vehicles</t>
  </si>
  <si>
    <t>Repair and maintenance of motor vehicles</t>
  </si>
  <si>
    <t>Sale of motor parts and accessories-</t>
  </si>
  <si>
    <t>wholesale and retail</t>
  </si>
  <si>
    <t>Retail sale of automotive fuel</t>
  </si>
  <si>
    <t>General commission agents, commodity
brokers and auctioneers</t>
  </si>
  <si>
    <t>Wholesale of agricultural raw material</t>
  </si>
  <si>
    <t>Wholesale of food &amp; beverages and
tobacco</t>
  </si>
  <si>
    <t>Wholesale of household goods</t>
  </si>
  <si>
    <t>Wholesale of metals and metal ores</t>
  </si>
  <si>
    <t>Wholesale of construction material</t>
  </si>
  <si>
    <t>Wholesale of hardware and sanitary fittings</t>
  </si>
  <si>
    <t>Wholesale of cotton and jute</t>
  </si>
  <si>
    <t>Wholesale of raw wool and raw silk</t>
  </si>
  <si>
    <t>Wholesale of other textile fibres</t>
  </si>
  <si>
    <t>Wholesale of industrial chemicals</t>
  </si>
  <si>
    <t>Wholesale of fertilizers and pesticides</t>
  </si>
  <si>
    <t>Wholesale of electronic parts &amp; equipment</t>
  </si>
  <si>
    <t>Wholesale of other machinery, equipment and supplies</t>
  </si>
  <si>
    <t>Wholesale of waste, scrap &amp; materials for re-cycling</t>
  </si>
  <si>
    <t>Retail sale of food, beverages and tobacco in specialized stores</t>
  </si>
  <si>
    <t>Retail sale of other goods in specialized stores</t>
  </si>
  <si>
    <t>Retail sale in non-specialized stores</t>
  </si>
  <si>
    <t>Retail sale of textiles, apparel, footwear,
leather goods</t>
  </si>
  <si>
    <t>Retail sale of other household appliances</t>
  </si>
  <si>
    <t>Retail sale of hardware, paint and glass</t>
  </si>
  <si>
    <t>Wholesale of other products n.e.c</t>
  </si>
  <si>
    <t>Retail sale of other products n.e.c</t>
  </si>
  <si>
    <t>HOTELS, RESTAURANTS AND
HOSPITALITY SERVICES</t>
  </si>
  <si>
    <t>Hotels – Star rated</t>
  </si>
  <si>
    <t>Hotels – Non-star rated</t>
  </si>
  <si>
    <t>Motels, Inns and Dharmshalas</t>
  </si>
  <si>
    <t>Guest houses and circuit houses</t>
  </si>
  <si>
    <t>Dormitories and hostels at educational
institutions</t>
  </si>
  <si>
    <t>Short stay accommodations n.e.c.</t>
  </si>
  <si>
    <t>Restaurants – with bars</t>
  </si>
  <si>
    <t>Restaurants – without bars</t>
  </si>
  <si>
    <t>Canteens</t>
  </si>
  <si>
    <t>Independent caterers</t>
  </si>
  <si>
    <t>Casinos and other games of chance</t>
  </si>
  <si>
    <t>Other hospitality services n.e.c.</t>
  </si>
  <si>
    <t>TRANSPORT &amp;
LOGISTICS SERVICES</t>
  </si>
  <si>
    <t>Travel agencies and tour operators</t>
  </si>
  <si>
    <t>Packers and movers</t>
  </si>
  <si>
    <t>Passenger land transport</t>
  </si>
  <si>
    <t>Air transport</t>
  </si>
  <si>
    <t>Transport by urban/sub-urban railways</t>
  </si>
  <si>
    <t>Inland water transport</t>
  </si>
  <si>
    <t>Sea and coastal water transport</t>
  </si>
  <si>
    <t>Freight transport by road</t>
  </si>
  <si>
    <t>Freight transport by railways</t>
  </si>
  <si>
    <t>Forwarding of freight</t>
  </si>
  <si>
    <t>Receiving and acceptance of freight</t>
  </si>
  <si>
    <t>Cargo handling</t>
  </si>
  <si>
    <t>Storage and warehousing</t>
  </si>
  <si>
    <t>Transport via pipelines (transport of gases, liquids, slurry and other commodities)</t>
  </si>
  <si>
    <t>Other Transport &amp; Logistics services n.e.c</t>
  </si>
  <si>
    <t>POST AND TELECOMMUNICATION SERVICES</t>
  </si>
  <si>
    <t>Post and courier activities</t>
  </si>
  <si>
    <t>Basic telecom services</t>
  </si>
  <si>
    <t>Value added telecom services</t>
  </si>
  <si>
    <t>Maintenance of telecom network</t>
  </si>
  <si>
    <t>Activities of the cable operators</t>
  </si>
  <si>
    <t>Other Post &amp; Telecommunication services n.e.c</t>
  </si>
  <si>
    <t>FINANCIAL INTERMEDIATION SERVICES</t>
  </si>
  <si>
    <t>Commercial banks, saving banks and
discount houses</t>
  </si>
  <si>
    <t>Specialised institutions granting credit</t>
  </si>
  <si>
    <t>Financial leasing</t>
  </si>
  <si>
    <t>Hire-purchase financing</t>
  </si>
  <si>
    <t>Housing finance activities</t>
  </si>
  <si>
    <t>Commercial loan activities</t>
  </si>
  <si>
    <t>Credit cards</t>
  </si>
  <si>
    <t>Mutual funds</t>
  </si>
  <si>
    <t>Chit fund</t>
  </si>
  <si>
    <t>Investment activities</t>
  </si>
  <si>
    <t>Pension funding</t>
  </si>
  <si>
    <t>Non-life insurance</t>
  </si>
  <si>
    <t>Administration of financial markets</t>
  </si>
  <si>
    <t>Stock brokers, sub-brokers and related
activities</t>
  </si>
  <si>
    <t>Financial advisers, mortgage advisers and brokers</t>
  </si>
  <si>
    <t>Foreign exchange services</t>
  </si>
  <si>
    <t>Other financial intermediation services
n.e.c.</t>
  </si>
  <si>
    <t>COMPUTER AND
RELATED SERVICES</t>
  </si>
  <si>
    <t>Software development</t>
  </si>
  <si>
    <t>Other software consultancy</t>
  </si>
  <si>
    <t>Data processing</t>
  </si>
  <si>
    <t>Database activities and distribution of
electronic content</t>
  </si>
  <si>
    <t>Other IT enabled services</t>
  </si>
  <si>
    <t>BPO services</t>
  </si>
  <si>
    <t>Cyber café</t>
  </si>
  <si>
    <t>Maintenance and repair of office,
accounting and computing machinery</t>
  </si>
  <si>
    <t>Computer training and educational
institutes</t>
  </si>
  <si>
    <t>Other computation related services n.e.c.</t>
  </si>
  <si>
    <t>RESEARCH AND
DEVELOPMENT</t>
  </si>
  <si>
    <t>Natural sciences and engineering</t>
  </si>
  <si>
    <t>Social sciences and humanities</t>
  </si>
  <si>
    <t>Other Research &amp; Development activities n.e.c.</t>
  </si>
  <si>
    <t>PROFESSIONS</t>
  </si>
  <si>
    <t>Legal profession</t>
  </si>
  <si>
    <t>Accounting, book-keeping and auditing
profession</t>
  </si>
  <si>
    <t>Tax consultancy</t>
  </si>
  <si>
    <t>Architectural profession</t>
  </si>
  <si>
    <t>Engineering and technical consultancy</t>
  </si>
  <si>
    <t>Advertising</t>
  </si>
  <si>
    <t>Fashion designing</t>
  </si>
  <si>
    <t>Interior decoration</t>
  </si>
  <si>
    <t>Photography</t>
  </si>
  <si>
    <t>Auctioneers</t>
  </si>
  <si>
    <t>Business brokerage</t>
  </si>
  <si>
    <t>Market research and public opinion polling</t>
  </si>
  <si>
    <t>Business and management consultancy
activities</t>
  </si>
  <si>
    <t>Labour recruitment and provision of
personnel</t>
  </si>
  <si>
    <t>Building-cleaning and industrial cleaning
activities</t>
  </si>
  <si>
    <t>Packaging activities</t>
  </si>
  <si>
    <t>Secretarial activities</t>
  </si>
  <si>
    <t>Other professional services n.e.c.</t>
  </si>
  <si>
    <t>EDUCATION SERVICES</t>
  </si>
  <si>
    <t>Primary education</t>
  </si>
  <si>
    <t>Secondary/ senior secondary education</t>
  </si>
  <si>
    <t>Technical and vocational secondary/ senior secondary education</t>
  </si>
  <si>
    <t>Higher education</t>
  </si>
  <si>
    <t>Education by correspondence</t>
  </si>
  <si>
    <t>Coaching centres and tuitions</t>
  </si>
  <si>
    <t>Other education services n.e.c.</t>
  </si>
  <si>
    <t>HEALTH CARE
SERVICES</t>
  </si>
  <si>
    <t>General hospitals</t>
  </si>
  <si>
    <t>Speciality and super speciality hospitals</t>
  </si>
  <si>
    <t>Nursing homes</t>
  </si>
  <si>
    <t>Diagnostic centres</t>
  </si>
  <si>
    <t>Pathological laboratories</t>
  </si>
  <si>
    <t>Independent blood banks</t>
  </si>
  <si>
    <t>Medical transcription</t>
  </si>
  <si>
    <t>Independent ambulance services</t>
  </si>
  <si>
    <t>Medical suppliers, agencies and stores</t>
  </si>
  <si>
    <t>Medical clinics</t>
  </si>
  <si>
    <t>Dental practice</t>
  </si>
  <si>
    <t>Ayurveda practice</t>
  </si>
  <si>
    <t>Unani practice</t>
  </si>
  <si>
    <t>Homeopathy practice</t>
  </si>
  <si>
    <t>Nurses, physiotherapists or other para-
medical practitioners</t>
  </si>
  <si>
    <t>Veterinary hospitals and practice</t>
  </si>
  <si>
    <t>Medical education</t>
  </si>
  <si>
    <t>Medical research</t>
  </si>
  <si>
    <t>Practice of other alternative medicine</t>
  </si>
  <si>
    <t>Other healthcare services</t>
  </si>
  <si>
    <t>SOCIAL AND
COMMUNITY WORK</t>
  </si>
  <si>
    <t>Social work activities with accommodation (orphanages and old age homes)</t>
  </si>
  <si>
    <t>Social work activities without
accommodation (Creches)</t>
  </si>
  <si>
    <t>Industry associations, chambers of
commerce</t>
  </si>
  <si>
    <t>Professional organisations</t>
  </si>
  <si>
    <t>Trade unions</t>
  </si>
  <si>
    <t>Religious organizations</t>
  </si>
  <si>
    <t>Political organisations</t>
  </si>
  <si>
    <t>Other membership organisations n.e.c.
(rotary clubs, book clubs and philatelic
clubs)</t>
  </si>
  <si>
    <t>Other Social or community service n.e.c</t>
  </si>
  <si>
    <t>CULTURE AND SPORT</t>
  </si>
  <si>
    <t>Motion picture production</t>
  </si>
  <si>
    <t>Film distribution</t>
  </si>
  <si>
    <t>Film laboratories</t>
  </si>
  <si>
    <t>Television channel productions</t>
  </si>
  <si>
    <t>Television channels broadcast</t>
  </si>
  <si>
    <t>Video production and distribution</t>
  </si>
  <si>
    <t>Sound recording studios</t>
  </si>
  <si>
    <t>Radio – recording and distribution</t>
  </si>
  <si>
    <t>Stage production and related activities</t>
  </si>
  <si>
    <t>Individual artists excluding authors</t>
  </si>
  <si>
    <t>Literary activities</t>
  </si>
  <si>
    <t>Other cultural activities n.e.c.</t>
  </si>
  <si>
    <t>Circuses and race tracks</t>
  </si>
  <si>
    <t>Video Parlours</t>
  </si>
  <si>
    <t>News agency activities</t>
  </si>
  <si>
    <t>Library and archives activities</t>
  </si>
  <si>
    <t>Museum activities</t>
  </si>
  <si>
    <t>Preservation of historical sites and
buildings</t>
  </si>
  <si>
    <t>Botanical and zoological gardens</t>
  </si>
  <si>
    <t>Operation and maintenance of sports
facilities</t>
  </si>
  <si>
    <t>Activities of sports and game schools</t>
  </si>
  <si>
    <t>Organisation and operation of indoor/outdoor sports and promotion and production of sporting events</t>
  </si>
  <si>
    <t>Other sporting activities n.e.c.</t>
  </si>
  <si>
    <t>Other recreational activities n.e.c.</t>
  </si>
  <si>
    <t>OTHER SERVICES</t>
  </si>
  <si>
    <t>Hair dressing and other beauty treatment</t>
  </si>
  <si>
    <t>Funeral and related activities</t>
  </si>
  <si>
    <t>Marriage bureaus</t>
  </si>
  <si>
    <t>Pet care services</t>
  </si>
  <si>
    <t>Sauna and steam baths, massage salons etc.</t>
  </si>
  <si>
    <t>Astrological and spiritualists‘ activities</t>
  </si>
  <si>
    <t>Private households as employers of
domestic staff</t>
  </si>
  <si>
    <t>Other services n.e.c.</t>
  </si>
  <si>
    <t>EXTRA TERRITORIAL ORGANISATIONS AND BODIES</t>
  </si>
  <si>
    <t>Extra territorial organisations and bodies (IMF, World Bank, European Commission etc.)</t>
  </si>
  <si>
    <t>https://taxguru.in/goods-and-service-tax/hsn-sac-code-mandatory-invoice-form-gstr-1.html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</si>
</sst>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81">
    <font>
      <sz val="10.0"/>
      <color rgb="FF000000"/>
      <name val="Calibri"/>
      <scheme val="minor"/>
    </font>
    <font>
      <color theme="1"/>
      <name val="Arial"/>
    </font>
    <font>
      <color rgb="FF000000"/>
      <name val="Arial"/>
    </font>
    <font>
      <b/>
      <color theme="1"/>
      <name val="Arial"/>
    </font>
    <font>
      <sz val="12.0"/>
      <color theme="1"/>
      <name val="Calibri"/>
    </font>
    <font>
      <i/>
      <color theme="1"/>
      <name val="Arial"/>
    </font>
    <font>
      <b/>
      <color theme="1"/>
      <name val="Calibri"/>
      <scheme val="minor"/>
    </font>
    <font>
      <color theme="1"/>
      <name val="Calibri"/>
      <scheme val="minor"/>
    </font>
    <font>
      <color rgb="FFFF0000"/>
      <name val="Calibri"/>
      <scheme val="minor"/>
    </font>
    <font>
      <b/>
      <color rgb="FFFF0000"/>
      <name val="Calibri"/>
      <scheme val="minor"/>
    </font>
    <font>
      <u/>
      <sz val="11.0"/>
      <color rgb="FF212529"/>
      <name val="Lato"/>
    </font>
    <font>
      <b/>
      <sz val="12.0"/>
      <color theme="1"/>
      <name val="Times New Roman"/>
    </font>
    <font>
      <b/>
      <sz val="12.0"/>
      <color rgb="FF000000"/>
      <name val="Times New Roman"/>
    </font>
    <font>
      <b/>
      <color theme="1"/>
      <name val="Times New Roman"/>
    </font>
    <font>
      <sz val="12.0"/>
      <color theme="1"/>
      <name val="Times New Roman"/>
    </font>
    <font>
      <sz val="12.0"/>
      <color rgb="FF231F20"/>
      <name val="Times New Roman"/>
    </font>
    <font>
      <sz val="12.0"/>
      <color rgb="FF000000"/>
      <name val="Times New Roman"/>
    </font>
    <font>
      <sz val="12.0"/>
      <color rgb="FF202124"/>
      <name val="Times New Roman"/>
    </font>
    <font>
      <color theme="1"/>
      <name val="Times New Roman"/>
    </font>
    <font>
      <sz val="10.0"/>
      <color rgb="FF000000"/>
      <name val="Times New Roman"/>
    </font>
    <font>
      <b/>
      <sz val="11.0"/>
      <color rgb="FF333333"/>
      <name val="Muli"/>
    </font>
    <font>
      <b/>
      <u/>
      <sz val="11.0"/>
      <color rgb="FF33935B"/>
      <name val="Muli"/>
    </font>
    <font>
      <sz val="11.0"/>
      <color rgb="FF333333"/>
      <name val="Arial"/>
    </font>
    <font>
      <u/>
      <sz val="12.0"/>
      <color rgb="FF231F20"/>
      <name val="Times New Roman"/>
    </font>
    <font>
      <sz val="11.0"/>
      <color rgb="FF33935B"/>
      <name val="Muli"/>
    </font>
    <font>
      <b/>
      <sz val="10.0"/>
      <color rgb="FF000000"/>
      <name val="Times New Roman"/>
    </font>
    <font>
      <b/>
      <sz val="12.0"/>
      <color rgb="FF231F20"/>
      <name val="Times New Roman"/>
    </font>
    <font>
      <b/>
      <sz val="11.0"/>
      <color rgb="FF333333"/>
      <name val="Arial"/>
    </font>
    <font>
      <color theme="1"/>
      <name val="Calibri"/>
    </font>
    <font>
      <sz val="12.0"/>
      <color theme="1"/>
      <name val="&quot;Times New Roman&quot;"/>
    </font>
    <font>
      <b/>
      <color theme="1"/>
      <name val="Calibri"/>
    </font>
    <font>
      <sz val="12.0"/>
      <color rgb="FF231F20"/>
      <name val="&quot;Times New Roman&quot;"/>
    </font>
    <font>
      <color rgb="FF000000"/>
      <name val="Calibri"/>
    </font>
    <font>
      <b/>
      <color rgb="FF000000"/>
      <name val="Arial"/>
    </font>
    <font>
      <b/>
      <color rgb="FF000000"/>
      <name val="MyFirstFont"/>
    </font>
    <font>
      <color rgb="FF000000"/>
      <name val="MyFirstFont"/>
    </font>
    <font>
      <sz val="11.0"/>
      <color rgb="FF000000"/>
      <name val="Calibri"/>
    </font>
    <font>
      <b/>
      <sz val="11.0"/>
      <color rgb="FF000000"/>
      <name val="Calibri"/>
    </font>
    <font>
      <sz val="12.0"/>
      <color rgb="FF000000"/>
      <name val="Calibri"/>
    </font>
    <font>
      <sz val="11.0"/>
      <color rgb="FF000000"/>
      <name val="Docs-Calibri"/>
    </font>
    <font>
      <b/>
      <sz val="11.0"/>
      <color rgb="FF000000"/>
      <name val="Inconsolata"/>
    </font>
    <font/>
    <font>
      <color rgb="FF000000"/>
      <name val="Calibri"/>
      <scheme val="minor"/>
    </font>
    <font>
      <u/>
      <color rgb="FF0000FF"/>
    </font>
    <font>
      <u/>
      <color rgb="FF000000"/>
    </font>
    <font>
      <b/>
    </font>
    <font>
      <b/>
      <u/>
      <color rgb="FF0000FF"/>
    </font>
    <font>
      <u/>
      <color rgb="FF000000"/>
    </font>
    <font>
      <b/>
      <sz val="10.0"/>
      <color rgb="FF000000"/>
      <name val="Calibri"/>
      <scheme val="minor"/>
    </font>
    <font>
      <sz val="11.0"/>
      <color rgb="FF2E4369"/>
      <name val="Averta"/>
    </font>
    <font>
      <u/>
      <color rgb="FF0000FF"/>
    </font>
    <font>
      <color rgb="FF92D050"/>
      <name val="Calibri"/>
    </font>
    <font>
      <color rgb="FF000000"/>
      <name val="Docs-Calibri"/>
    </font>
    <font>
      <color rgb="FF92D050"/>
      <name val="Docs-Calibri"/>
    </font>
    <font>
      <color rgb="FF92D050"/>
      <name val="Calibri"/>
      <scheme val="minor"/>
    </font>
    <font>
      <sz val="10.0"/>
      <color rgb="FF92D050"/>
      <name val="Calibri"/>
      <scheme val="minor"/>
    </font>
    <font>
      <sz val="10.0"/>
      <color rgb="FFFF9900"/>
      <name val="Calibri"/>
      <scheme val="minor"/>
    </font>
    <font>
      <sz val="10.0"/>
      <color theme="1"/>
      <name val="Calibri"/>
      <scheme val="minor"/>
    </font>
    <font>
      <color rgb="FFFF9900"/>
      <name val="Calibri"/>
      <scheme val="minor"/>
    </font>
    <font>
      <sz val="14.0"/>
      <color theme="1"/>
      <name val="Calibri"/>
      <scheme val="minor"/>
    </font>
    <font>
      <sz val="14.0"/>
      <color rgb="FFFF0000"/>
      <name val="Calibri"/>
      <scheme val="minor"/>
    </font>
    <font>
      <b/>
      <color rgb="FF000000"/>
      <name val="Calibri"/>
    </font>
    <font>
      <b/>
      <u/>
      <sz val="11.0"/>
      <color rgb="FF333333"/>
      <name val="&quot;Noto Sans&quot;"/>
    </font>
    <font>
      <b/>
      <u/>
      <sz val="11.0"/>
      <color rgb="FF333333"/>
      <name val="&quot;Noto Sans&quot;"/>
    </font>
    <font>
      <b/>
      <u/>
      <sz val="11.0"/>
      <color rgb="FF333333"/>
      <name val="&quot;Noto Sans&quot;"/>
    </font>
    <font>
      <b/>
      <u/>
      <sz val="11.0"/>
      <color rgb="FF333333"/>
      <name val="&quot;Noto Sans&quot;"/>
    </font>
    <font>
      <sz val="12.0"/>
      <color rgb="FF212529"/>
      <name val="Proxima_novaregular"/>
    </font>
    <font>
      <b/>
      <u/>
      <sz val="11.0"/>
      <color rgb="FF333333"/>
      <name val="&quot;Noto Sans&quot;"/>
    </font>
    <font>
      <b/>
      <u/>
      <sz val="11.0"/>
      <color rgb="FF333333"/>
      <name val="&quot;Noto Sans&quot;"/>
    </font>
    <font>
      <sz val="7.0"/>
      <color rgb="FF202124"/>
      <name val="Roboto"/>
    </font>
    <font>
      <sz val="11.0"/>
      <color rgb="FFFFFFFF"/>
      <name val="&quot;Noto Sans&quot;"/>
    </font>
    <font>
      <b/>
      <u/>
      <sz val="11.0"/>
      <color rgb="FF333333"/>
      <name val="&quot;Noto Sans&quot;"/>
    </font>
    <font>
      <b/>
      <sz val="11.0"/>
      <color rgb="FF333333"/>
      <name val="&quot;Noto Sans&quot;"/>
    </font>
    <font>
      <sz val="11.0"/>
      <color rgb="FF333333"/>
      <name val="&quot;Noto Sans&quot;"/>
    </font>
    <font>
      <u/>
      <sz val="11.0"/>
      <color rgb="FF333333"/>
      <name val="&quot;Noto Sans&quot;"/>
    </font>
    <font>
      <u/>
      <color rgb="FF1155CC"/>
    </font>
    <font>
      <sz val="8.0"/>
      <color theme="1"/>
      <name val="&quot;Liberation Sans&quot;"/>
    </font>
    <font>
      <sz val="12.0"/>
      <color rgb="FF313534"/>
      <name val="&quot;Noto Sans&quot;"/>
    </font>
    <font>
      <b/>
      <sz val="12.0"/>
      <color rgb="FF313534"/>
      <name val="&quot;Noto Sans&quot;"/>
    </font>
    <font>
      <sz val="11.0"/>
      <color rgb="FF212529"/>
      <name val="Roboto"/>
    </font>
    <font>
      <u/>
      <color rgb="FF1155CC"/>
    </font>
  </fonts>
  <fills count="23">
    <fill>
      <patternFill patternType="none"/>
    </fill>
    <fill>
      <patternFill patternType="lightGray"/>
    </fill>
    <fill>
      <patternFill patternType="solid">
        <fgColor rgb="FFE0F3FF"/>
        <bgColor rgb="FFE0F3FF"/>
      </patternFill>
    </fill>
    <fill>
      <patternFill patternType="solid">
        <fgColor rgb="FFDDD9C3"/>
        <bgColor rgb="FFDDD9C3"/>
      </patternFill>
    </fill>
    <fill>
      <patternFill patternType="solid">
        <fgColor rgb="FF92D050"/>
        <bgColor rgb="FF92D050"/>
      </patternFill>
    </fill>
    <fill>
      <patternFill patternType="solid">
        <fgColor rgb="FF00B050"/>
        <bgColor rgb="FF00B050"/>
      </patternFill>
    </fill>
    <fill>
      <patternFill patternType="solid">
        <fgColor rgb="FFFCE5CD"/>
        <bgColor rgb="FFFCE5CD"/>
      </patternFill>
    </fill>
    <fill>
      <patternFill patternType="solid">
        <fgColor rgb="FFF4F8F6"/>
        <bgColor rgb="FFF4F8F6"/>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rgb="FF00FFFF"/>
        <bgColor rgb="FF00FFFF"/>
      </patternFill>
    </fill>
    <fill>
      <patternFill patternType="solid">
        <fgColor rgb="FF0000FF"/>
        <bgColor rgb="FF0000FF"/>
      </patternFill>
    </fill>
    <fill>
      <patternFill patternType="solid">
        <fgColor theme="5"/>
        <bgColor theme="5"/>
      </patternFill>
    </fill>
    <fill>
      <patternFill patternType="solid">
        <fgColor theme="4"/>
        <bgColor theme="4"/>
      </patternFill>
    </fill>
    <fill>
      <patternFill patternType="solid">
        <fgColor rgb="FFD9E1F2"/>
        <bgColor rgb="FFD9E1F2"/>
      </patternFill>
    </fill>
    <fill>
      <patternFill patternType="solid">
        <fgColor rgb="FFFF9900"/>
        <bgColor rgb="FFFF9900"/>
      </patternFill>
    </fill>
    <fill>
      <patternFill patternType="solid">
        <fgColor rgb="FF4F81BD"/>
        <bgColor rgb="FF4F81BD"/>
      </patternFill>
    </fill>
    <fill>
      <patternFill patternType="solid">
        <fgColor rgb="FFC9DAF8"/>
        <bgColor rgb="FFC9DAF8"/>
      </patternFill>
    </fill>
    <fill>
      <patternFill patternType="solid">
        <fgColor rgb="FFF8F8F8"/>
        <bgColor rgb="FFF8F8F8"/>
      </patternFill>
    </fill>
  </fills>
  <borders count="10">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231F20"/>
      </left>
      <right style="thin">
        <color rgb="FF231F20"/>
      </right>
      <top style="thin">
        <color rgb="FF231F20"/>
      </top>
      <bottom style="thin">
        <color rgb="FF231F20"/>
      </bottom>
    </border>
    <border>
      <left style="thin">
        <color rgb="FF231F20"/>
      </left>
      <top style="thin">
        <color rgb="FF231F20"/>
      </top>
      <bottom style="thin">
        <color rgb="FF231F2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281">
    <xf borderId="0" fillId="0" fontId="0" numFmtId="0" xfId="0" applyAlignment="1" applyFont="1">
      <alignment horizontal="left" readingOrder="0" shrinkToFit="0" vertical="top" wrapText="0"/>
    </xf>
    <xf borderId="0" fillId="0" fontId="1" numFmtId="0" xfId="0" applyAlignment="1" applyFont="1">
      <alignment horizontal="left" vertical="bottom"/>
    </xf>
    <xf borderId="0" fillId="0" fontId="1" numFmtId="0" xfId="0" applyAlignment="1" applyFont="1">
      <alignment horizontal="left" readingOrder="0" vertical="bottom"/>
    </xf>
    <xf borderId="0" fillId="0" fontId="2" numFmtId="0" xfId="0" applyAlignment="1" applyFont="1">
      <alignment horizontal="left" readingOrder="0" shrinkToFit="0" vertical="bottom" wrapText="0"/>
    </xf>
    <xf borderId="0" fillId="0" fontId="3" numFmtId="0" xfId="0" applyAlignment="1" applyFont="1">
      <alignment horizontal="left" readingOrder="0" vertical="bottom"/>
    </xf>
    <xf borderId="0" fillId="0" fontId="3" numFmtId="0" xfId="0" applyAlignment="1" applyFont="1">
      <alignment horizontal="left" shrinkToFit="0" vertical="bottom" wrapText="0"/>
    </xf>
    <xf borderId="0" fillId="0" fontId="4" numFmtId="0" xfId="0" applyAlignment="1" applyFont="1">
      <alignment horizontal="left" vertical="bottom"/>
    </xf>
    <xf borderId="0" fillId="0" fontId="5" numFmtId="0" xfId="0" applyAlignment="1" applyFont="1">
      <alignment horizontal="left" vertical="bottom"/>
    </xf>
    <xf borderId="0" fillId="0" fontId="3" numFmtId="0" xfId="0" applyAlignment="1" applyFont="1">
      <alignment horizontal="left" vertical="bottom"/>
    </xf>
    <xf borderId="1" fillId="0" fontId="1" numFmtId="0" xfId="0" applyAlignment="1" applyBorder="1" applyFont="1">
      <alignment horizontal="left" readingOrder="0" vertical="bottom"/>
    </xf>
    <xf borderId="1" fillId="0" fontId="1" numFmtId="0" xfId="0" applyAlignment="1" applyBorder="1" applyFont="1">
      <alignment horizontal="left" vertical="bottom"/>
    </xf>
    <xf borderId="1" fillId="0" fontId="1" numFmtId="9" xfId="0" applyAlignment="1" applyBorder="1" applyFont="1" applyNumberFormat="1">
      <alignment horizontal="left" vertical="bottom"/>
    </xf>
    <xf borderId="1" fillId="0" fontId="3" numFmtId="0" xfId="0" applyAlignment="1" applyBorder="1" applyFont="1">
      <alignment horizontal="left" vertical="bottom"/>
    </xf>
    <xf borderId="2" fillId="0" fontId="1" numFmtId="9" xfId="0" applyAlignment="1" applyBorder="1" applyFont="1" applyNumberFormat="1">
      <alignment horizontal="left" vertical="bottom"/>
    </xf>
    <xf borderId="2" fillId="0" fontId="3" numFmtId="0" xfId="0" applyAlignment="1" applyBorder="1" applyFont="1">
      <alignment horizontal="left" vertical="bottom"/>
    </xf>
    <xf borderId="2" fillId="0" fontId="6" numFmtId="0" xfId="0" applyAlignment="1" applyBorder="1" applyFont="1">
      <alignment horizontal="left" readingOrder="0" vertical="top"/>
    </xf>
    <xf borderId="2" fillId="0" fontId="1" numFmtId="0" xfId="0" applyAlignment="1" applyBorder="1" applyFont="1">
      <alignment horizontal="left" shrinkToFit="0" vertical="bottom" wrapText="1"/>
    </xf>
    <xf borderId="2" fillId="0" fontId="1" numFmtId="0" xfId="0" applyAlignment="1" applyBorder="1" applyFont="1">
      <alignment horizontal="left" readingOrder="0" shrinkToFit="0" vertical="bottom" wrapText="1"/>
    </xf>
    <xf borderId="2" fillId="0" fontId="7" numFmtId="0" xfId="0" applyAlignment="1" applyBorder="1" applyFont="1">
      <alignment horizontal="left" readingOrder="0" vertical="top"/>
    </xf>
    <xf borderId="2" fillId="0" fontId="3" numFmtId="0" xfId="0" applyAlignment="1" applyBorder="1" applyFont="1">
      <alignment horizontal="left" readingOrder="0" shrinkToFit="0" vertical="bottom" wrapText="1"/>
    </xf>
    <xf borderId="3" fillId="0" fontId="3" numFmtId="0" xfId="0" applyAlignment="1" applyBorder="1" applyFont="1">
      <alignment horizontal="left" readingOrder="0" shrinkToFit="0" vertical="bottom" wrapText="1"/>
    </xf>
    <xf borderId="4" fillId="0" fontId="1" numFmtId="0" xfId="0" applyAlignment="1" applyBorder="1" applyFont="1">
      <alignment horizontal="left" shrinkToFit="0" vertical="bottom" wrapText="1"/>
    </xf>
    <xf borderId="4" fillId="0" fontId="1" numFmtId="0" xfId="0" applyAlignment="1" applyBorder="1" applyFont="1">
      <alignment horizontal="left" readingOrder="0" shrinkToFit="0" vertical="bottom" wrapText="1"/>
    </xf>
    <xf borderId="0" fillId="0" fontId="7" numFmtId="0" xfId="0" applyAlignment="1" applyFont="1">
      <alignment horizontal="left" readingOrder="0" vertical="top"/>
    </xf>
    <xf borderId="0" fillId="0" fontId="6" numFmtId="0" xfId="0" applyAlignment="1" applyFont="1">
      <alignment horizontal="left" readingOrder="0" vertical="top"/>
    </xf>
    <xf borderId="0" fillId="0" fontId="8" numFmtId="0" xfId="0" applyAlignment="1" applyFont="1">
      <alignment horizontal="left" readingOrder="0" shrinkToFit="0" vertical="top" wrapText="1"/>
    </xf>
    <xf borderId="0" fillId="0" fontId="9" numFmtId="0" xfId="0" applyAlignment="1" applyFont="1">
      <alignment horizontal="left" readingOrder="0" vertical="top"/>
    </xf>
    <xf borderId="0" fillId="2" fontId="10" numFmtId="0" xfId="0" applyAlignment="1" applyFill="1" applyFont="1">
      <alignment horizontal="left" readingOrder="0" vertical="top"/>
    </xf>
    <xf borderId="5" fillId="0" fontId="11" numFmtId="0" xfId="0" applyAlignment="1" applyBorder="1" applyFont="1">
      <alignment horizontal="center" readingOrder="0" vertical="top"/>
    </xf>
    <xf borderId="5" fillId="0" fontId="11" numFmtId="0" xfId="0" applyAlignment="1" applyBorder="1" applyFont="1">
      <alignment horizontal="left" vertical="top"/>
    </xf>
    <xf borderId="5" fillId="0" fontId="11" numFmtId="0" xfId="0" applyAlignment="1" applyBorder="1" applyFont="1">
      <alignment horizontal="center" vertical="top"/>
    </xf>
    <xf borderId="6" fillId="0" fontId="11" numFmtId="0" xfId="0" applyAlignment="1" applyBorder="1" applyFont="1">
      <alignment horizontal="left" vertical="top"/>
    </xf>
    <xf borderId="0" fillId="0" fontId="11" numFmtId="0" xfId="0" applyAlignment="1" applyFont="1">
      <alignment horizontal="left" readingOrder="0" vertical="top"/>
    </xf>
    <xf borderId="2" fillId="3" fontId="12" numFmtId="0" xfId="0" applyAlignment="1" applyBorder="1" applyFill="1" applyFont="1">
      <alignment horizontal="left" readingOrder="0" vertical="top"/>
    </xf>
    <xf borderId="2" fillId="4" fontId="12" numFmtId="0" xfId="0" applyAlignment="1" applyBorder="1" applyFill="1" applyFont="1">
      <alignment horizontal="left" vertical="top"/>
    </xf>
    <xf borderId="2" fillId="5" fontId="12" numFmtId="0" xfId="0" applyAlignment="1" applyBorder="1" applyFill="1" applyFont="1">
      <alignment horizontal="left" vertical="top"/>
    </xf>
    <xf borderId="2" fillId="6" fontId="13" numFmtId="0" xfId="0" applyAlignment="1" applyBorder="1" applyFill="1" applyFont="1">
      <alignment horizontal="left" readingOrder="0" vertical="top"/>
    </xf>
    <xf borderId="5" fillId="0" fontId="14" numFmtId="0" xfId="0" applyAlignment="1" applyBorder="1" applyFont="1">
      <alignment horizontal="right" vertical="top"/>
    </xf>
    <xf borderId="5" fillId="0" fontId="15" numFmtId="0" xfId="0" applyAlignment="1" applyBorder="1" applyFont="1">
      <alignment horizontal="left" readingOrder="0" vertical="top"/>
    </xf>
    <xf borderId="5" fillId="0" fontId="14" numFmtId="0" xfId="0" applyAlignment="1" applyBorder="1" applyFont="1">
      <alignment horizontal="center" vertical="top"/>
    </xf>
    <xf borderId="6" fillId="0" fontId="14" numFmtId="0" xfId="0" applyAlignment="1" applyBorder="1" applyFont="1">
      <alignment horizontal="left" vertical="top"/>
    </xf>
    <xf borderId="0" fillId="0" fontId="14" numFmtId="0" xfId="0" applyAlignment="1" applyFont="1">
      <alignment horizontal="left" readingOrder="0" vertical="top"/>
    </xf>
    <xf borderId="2" fillId="3" fontId="16" numFmtId="0" xfId="0" applyAlignment="1" applyBorder="1" applyFont="1">
      <alignment horizontal="left" vertical="top"/>
    </xf>
    <xf borderId="2" fillId="4" fontId="16" numFmtId="0" xfId="0" applyAlignment="1" applyBorder="1" applyFont="1">
      <alignment horizontal="left" readingOrder="0" vertical="top"/>
    </xf>
    <xf borderId="2" fillId="4" fontId="17" numFmtId="0" xfId="0" applyAlignment="1" applyBorder="1" applyFont="1">
      <alignment horizontal="left" vertical="top"/>
    </xf>
    <xf borderId="2" fillId="4" fontId="16" numFmtId="0" xfId="0" applyAlignment="1" applyBorder="1" applyFont="1">
      <alignment horizontal="left" vertical="top"/>
    </xf>
    <xf borderId="2" fillId="5" fontId="16" numFmtId="0" xfId="0" applyAlignment="1" applyBorder="1" applyFont="1">
      <alignment horizontal="left" readingOrder="0" vertical="top"/>
    </xf>
    <xf borderId="2" fillId="6" fontId="18" numFmtId="0" xfId="0" applyAlignment="1" applyBorder="1" applyFont="1">
      <alignment horizontal="left" readingOrder="0" vertical="top"/>
    </xf>
    <xf borderId="5" fillId="0" fontId="19" numFmtId="0" xfId="0" applyAlignment="1" applyBorder="1" applyFont="1">
      <alignment horizontal="left" vertical="bottom"/>
    </xf>
    <xf borderId="2" fillId="4" fontId="14" numFmtId="0" xfId="0" applyAlignment="1" applyBorder="1" applyFont="1">
      <alignment horizontal="left" readingOrder="0" vertical="top"/>
    </xf>
    <xf borderId="2" fillId="5" fontId="14" numFmtId="0" xfId="0" applyAlignment="1" applyBorder="1" applyFont="1">
      <alignment horizontal="left" vertical="top"/>
    </xf>
    <xf borderId="2" fillId="6" fontId="18" numFmtId="0" xfId="0" applyAlignment="1" applyBorder="1" applyFont="1">
      <alignment horizontal="left" vertical="top"/>
    </xf>
    <xf borderId="0" fillId="0" fontId="20" numFmtId="0" xfId="0" applyAlignment="1" applyFont="1">
      <alignment horizontal="left" readingOrder="0" vertical="top"/>
    </xf>
    <xf borderId="2" fillId="4" fontId="14" numFmtId="0" xfId="0" applyAlignment="1" applyBorder="1" applyFont="1">
      <alignment horizontal="left" vertical="top"/>
    </xf>
    <xf borderId="5" fillId="0" fontId="19" numFmtId="0" xfId="0" applyAlignment="1" applyBorder="1" applyFont="1">
      <alignment horizontal="left" vertical="center"/>
    </xf>
    <xf borderId="6" fillId="0" fontId="19" numFmtId="0" xfId="0" applyAlignment="1" applyBorder="1" applyFont="1">
      <alignment horizontal="left" vertical="top"/>
    </xf>
    <xf borderId="0" fillId="0" fontId="19" numFmtId="0" xfId="0" applyAlignment="1" applyFont="1">
      <alignment horizontal="left" readingOrder="0" vertical="top"/>
    </xf>
    <xf borderId="2" fillId="5" fontId="16" numFmtId="0" xfId="0" applyAlignment="1" applyBorder="1" applyFont="1">
      <alignment horizontal="left" vertical="top"/>
    </xf>
    <xf borderId="0" fillId="7" fontId="20" numFmtId="0" xfId="0" applyAlignment="1" applyFill="1" applyFont="1">
      <alignment horizontal="left" readingOrder="0" vertical="top"/>
    </xf>
    <xf borderId="0" fillId="0" fontId="21" numFmtId="0" xfId="0" applyAlignment="1" applyFont="1">
      <alignment horizontal="left" readingOrder="0" vertical="top"/>
    </xf>
    <xf borderId="0" fillId="0" fontId="14" numFmtId="0" xfId="0" applyAlignment="1" applyFont="1">
      <alignment horizontal="left" vertical="top"/>
    </xf>
    <xf borderId="0" fillId="0" fontId="22" numFmtId="0" xfId="0" applyAlignment="1" applyFont="1">
      <alignment horizontal="left" readingOrder="0" vertical="top"/>
    </xf>
    <xf borderId="6" fillId="0" fontId="15" numFmtId="0" xfId="0" applyAlignment="1" applyBorder="1" applyFont="1">
      <alignment horizontal="left" readingOrder="0" vertical="top"/>
    </xf>
    <xf borderId="5" fillId="0" fontId="14" numFmtId="0" xfId="0" applyAlignment="1" applyBorder="1" applyFont="1">
      <alignment horizontal="left" vertical="top"/>
    </xf>
    <xf borderId="5" fillId="4" fontId="11" numFmtId="0" xfId="0" applyAlignment="1" applyBorder="1" applyFont="1">
      <alignment horizontal="center" vertical="top"/>
    </xf>
    <xf borderId="0" fillId="7" fontId="20" numFmtId="0" xfId="0" applyAlignment="1" applyFont="1">
      <alignment horizontal="left" readingOrder="0" vertical="top"/>
    </xf>
    <xf borderId="2" fillId="4" fontId="15" numFmtId="0" xfId="0" applyAlignment="1" applyBorder="1" applyFont="1">
      <alignment horizontal="left" vertical="top"/>
    </xf>
    <xf borderId="2" fillId="6" fontId="18" numFmtId="0" xfId="0" applyAlignment="1" applyBorder="1" applyFont="1">
      <alignment horizontal="left" readingOrder="0" vertical="top"/>
    </xf>
    <xf borderId="6" fillId="0" fontId="23" numFmtId="0" xfId="0" applyAlignment="1" applyBorder="1" applyFont="1">
      <alignment horizontal="left" readingOrder="0" shrinkToFit="0" vertical="top" wrapText="1"/>
    </xf>
    <xf borderId="0" fillId="0" fontId="19" numFmtId="0" xfId="0" applyAlignment="1" applyFont="1">
      <alignment horizontal="left" vertical="top"/>
    </xf>
    <xf borderId="0" fillId="7" fontId="24" numFmtId="0" xfId="0" applyAlignment="1" applyFont="1">
      <alignment horizontal="left" readingOrder="0" vertical="top"/>
    </xf>
    <xf borderId="5" fillId="0" fontId="19" numFmtId="0" xfId="0" applyAlignment="1" applyBorder="1" applyFont="1">
      <alignment horizontal="left" vertical="top"/>
    </xf>
    <xf borderId="5" fillId="0" fontId="25" numFmtId="0" xfId="0" applyAlignment="1" applyBorder="1" applyFont="1">
      <alignment horizontal="left" vertical="bottom"/>
    </xf>
    <xf borderId="6" fillId="0" fontId="26" numFmtId="0" xfId="0" applyAlignment="1" applyBorder="1" applyFont="1">
      <alignment horizontal="left" readingOrder="0" vertical="top"/>
    </xf>
    <xf borderId="5" fillId="0" fontId="25" numFmtId="0" xfId="0" applyAlignment="1" applyBorder="1" applyFont="1">
      <alignment horizontal="left" vertical="center"/>
    </xf>
    <xf borderId="0" fillId="0" fontId="19" numFmtId="0" xfId="0" applyAlignment="1" applyFont="1">
      <alignment horizontal="center" vertical="top"/>
    </xf>
    <xf borderId="0" fillId="0" fontId="27" numFmtId="0" xfId="0" applyAlignment="1" applyFont="1">
      <alignment horizontal="left" readingOrder="0" vertical="top"/>
    </xf>
    <xf borderId="2" fillId="0" fontId="7" numFmtId="0" xfId="0" applyAlignment="1" applyBorder="1" applyFont="1">
      <alignment horizontal="left" vertical="top"/>
    </xf>
    <xf borderId="2" fillId="0" fontId="28" numFmtId="0" xfId="0" applyAlignment="1" applyBorder="1" applyFont="1">
      <alignment horizontal="left" readingOrder="0" vertical="top"/>
    </xf>
    <xf borderId="6" fillId="0" fontId="14" numFmtId="0" xfId="0" applyAlignment="1" applyBorder="1" applyFont="1">
      <alignment horizontal="left" readingOrder="0" shrinkToFit="0" vertical="top" wrapText="1"/>
    </xf>
    <xf borderId="6" fillId="0" fontId="14" numFmtId="0" xfId="0" applyAlignment="1" applyBorder="1" applyFont="1">
      <alignment horizontal="left" readingOrder="0" vertical="top"/>
    </xf>
    <xf borderId="0" fillId="0" fontId="29" numFmtId="0" xfId="0" applyAlignment="1" applyFont="1">
      <alignment horizontal="center" vertical="top"/>
    </xf>
    <xf borderId="2" fillId="0" fontId="29" numFmtId="0" xfId="0" applyAlignment="1" applyBorder="1" applyFont="1">
      <alignment horizontal="center" vertical="top"/>
    </xf>
    <xf borderId="2" fillId="0" fontId="29" numFmtId="0" xfId="0" applyAlignment="1" applyBorder="1" applyFont="1">
      <alignment horizontal="center" vertical="top"/>
    </xf>
    <xf borderId="2" fillId="0" fontId="28" numFmtId="0" xfId="0" applyAlignment="1" applyBorder="1" applyFont="1">
      <alignment horizontal="left" readingOrder="0" shrinkToFit="0" vertical="top" wrapText="1"/>
    </xf>
    <xf borderId="2" fillId="0" fontId="28" numFmtId="0" xfId="0" applyAlignment="1" applyBorder="1" applyFont="1">
      <alignment horizontal="left" readingOrder="0" shrinkToFit="0" vertical="top" wrapText="0"/>
    </xf>
    <xf borderId="2" fillId="0" fontId="30" numFmtId="0" xfId="0" applyAlignment="1" applyBorder="1" applyFont="1">
      <alignment horizontal="left" readingOrder="0" vertical="top"/>
    </xf>
    <xf borderId="2" fillId="0" fontId="6" numFmtId="0" xfId="0" applyAlignment="1" applyBorder="1" applyFont="1">
      <alignment horizontal="left" readingOrder="0" shrinkToFit="0" vertical="top" wrapText="1"/>
    </xf>
    <xf borderId="0" fillId="8" fontId="31" numFmtId="0" xfId="0" applyAlignment="1" applyFill="1" applyFont="1">
      <alignment horizontal="left" readingOrder="0" vertical="top"/>
    </xf>
    <xf borderId="0" fillId="8" fontId="32" numFmtId="0" xfId="0" applyAlignment="1" applyFont="1">
      <alignment horizontal="left" readingOrder="0" vertical="top"/>
    </xf>
    <xf borderId="0" fillId="0" fontId="29" numFmtId="0" xfId="0" applyAlignment="1" applyFont="1">
      <alignment horizontal="center" vertical="top"/>
    </xf>
    <xf borderId="0" fillId="8" fontId="33" numFmtId="0" xfId="0" applyAlignment="1" applyFont="1">
      <alignment horizontal="left" readingOrder="0" vertical="top"/>
    </xf>
    <xf borderId="0" fillId="8" fontId="33" numFmtId="0" xfId="0" applyAlignment="1" applyFont="1">
      <alignment horizontal="right" readingOrder="0" shrinkToFit="0" vertical="top" wrapText="1"/>
    </xf>
    <xf borderId="0" fillId="8" fontId="33" numFmtId="0" xfId="0" applyAlignment="1" applyFont="1">
      <alignment horizontal="right" readingOrder="0" vertical="top"/>
    </xf>
    <xf borderId="0" fillId="8" fontId="34" numFmtId="0" xfId="0" applyAlignment="1" applyFont="1">
      <alignment horizontal="left" readingOrder="0" vertical="top"/>
    </xf>
    <xf borderId="0" fillId="8" fontId="2" numFmtId="0" xfId="0" applyAlignment="1" applyFont="1">
      <alignment horizontal="right" readingOrder="0" shrinkToFit="0" vertical="top" wrapText="1"/>
    </xf>
    <xf borderId="0" fillId="8" fontId="35" numFmtId="0" xfId="0" applyAlignment="1" applyFont="1">
      <alignment horizontal="right" readingOrder="0" vertical="top"/>
    </xf>
    <xf borderId="0" fillId="0" fontId="7" numFmtId="0" xfId="0" applyAlignment="1" applyFont="1">
      <alignment horizontal="left" vertical="top"/>
    </xf>
    <xf borderId="0" fillId="0" fontId="7" numFmtId="10" xfId="0" applyAlignment="1" applyFont="1" applyNumberFormat="1">
      <alignment horizontal="left" vertical="top"/>
    </xf>
    <xf borderId="0" fillId="0" fontId="36" numFmtId="0" xfId="0" applyAlignment="1" applyFont="1">
      <alignment horizontal="left" readingOrder="0" shrinkToFit="0" vertical="bottom" wrapText="1"/>
    </xf>
    <xf borderId="0" fillId="8" fontId="35" numFmtId="0" xfId="0" applyAlignment="1" applyFont="1">
      <alignment horizontal="right" readingOrder="0" shrinkToFit="0" vertical="top" wrapText="1"/>
    </xf>
    <xf borderId="0" fillId="8" fontId="35" numFmtId="0" xfId="0" applyAlignment="1" applyFont="1">
      <alignment horizontal="left" readingOrder="0" vertical="top"/>
    </xf>
    <xf borderId="0" fillId="8" fontId="2" numFmtId="0" xfId="0" applyAlignment="1" applyFont="1">
      <alignment horizontal="left" readingOrder="0" vertical="top"/>
    </xf>
    <xf borderId="0" fillId="0" fontId="36" numFmtId="0" xfId="0" applyAlignment="1" applyFont="1">
      <alignment horizontal="left" readingOrder="0" shrinkToFit="0" vertical="bottom" wrapText="0"/>
    </xf>
    <xf borderId="0" fillId="8" fontId="34" numFmtId="0" xfId="0" applyAlignment="1" applyFont="1">
      <alignment horizontal="right" readingOrder="0" vertical="top"/>
    </xf>
    <xf borderId="0" fillId="0" fontId="6" numFmtId="0" xfId="0" applyAlignment="1" applyFont="1">
      <alignment horizontal="left" vertical="top"/>
    </xf>
    <xf borderId="0" fillId="0" fontId="6" numFmtId="10" xfId="0" applyAlignment="1" applyFont="1" applyNumberFormat="1">
      <alignment horizontal="left" vertical="top"/>
    </xf>
    <xf borderId="0" fillId="0" fontId="6" numFmtId="0" xfId="0" applyAlignment="1" applyFont="1">
      <alignment horizontal="left" shrinkToFit="0" vertical="top" wrapText="1"/>
    </xf>
    <xf borderId="0" fillId="0" fontId="7" numFmtId="0" xfId="0" applyAlignment="1" applyFont="1">
      <alignment horizontal="left" shrinkToFit="0" vertical="top" wrapText="1"/>
    </xf>
    <xf borderId="0" fillId="0" fontId="7" numFmtId="0" xfId="0" applyAlignment="1" applyFont="1">
      <alignment horizontal="left" vertical="top"/>
    </xf>
    <xf borderId="0" fillId="0" fontId="37" numFmtId="0" xfId="0" applyAlignment="1" applyFont="1">
      <alignment horizontal="left" readingOrder="0" shrinkToFit="0" vertical="bottom" wrapText="0"/>
    </xf>
    <xf borderId="0" fillId="9" fontId="36" numFmtId="0" xfId="0" applyAlignment="1" applyFill="1" applyFont="1">
      <alignment horizontal="left" readingOrder="0" shrinkToFit="0" vertical="bottom" wrapText="0"/>
    </xf>
    <xf borderId="0" fillId="9" fontId="38" numFmtId="0" xfId="0" applyAlignment="1" applyFont="1">
      <alignment horizontal="left" readingOrder="0" shrinkToFit="0" vertical="bottom" wrapText="0"/>
    </xf>
    <xf borderId="0" fillId="0" fontId="38" numFmtId="0" xfId="0" applyAlignment="1" applyFont="1">
      <alignment horizontal="left" readingOrder="0" shrinkToFit="0" vertical="bottom" wrapText="0"/>
    </xf>
    <xf borderId="0" fillId="8" fontId="39" numFmtId="0" xfId="0" applyAlignment="1" applyFont="1">
      <alignment horizontal="left" readingOrder="0" vertical="top"/>
    </xf>
    <xf borderId="0" fillId="0" fontId="38" numFmtId="0" xfId="0" applyAlignment="1" applyFont="1">
      <alignment horizontal="left" shrinkToFit="0" vertical="bottom" wrapText="0"/>
    </xf>
    <xf borderId="0" fillId="8" fontId="36" numFmtId="0" xfId="0" applyAlignment="1" applyFont="1">
      <alignment horizontal="left" readingOrder="0" vertical="top"/>
    </xf>
    <xf borderId="0" fillId="8" fontId="40" numFmtId="0" xfId="0" applyAlignment="1" applyFont="1">
      <alignment horizontal="left" vertical="top"/>
    </xf>
    <xf borderId="0" fillId="0" fontId="41" numFmtId="0" xfId="0" applyAlignment="1" applyFont="1">
      <alignment horizontal="left" vertical="top"/>
    </xf>
    <xf borderId="0" fillId="0" fontId="7" numFmtId="0" xfId="0" applyAlignment="1" applyFont="1">
      <alignment horizontal="left" readingOrder="0" shrinkToFit="0" vertical="top" wrapText="1"/>
    </xf>
    <xf borderId="0" fillId="0" fontId="42" numFmtId="0" xfId="0" applyAlignment="1" applyFont="1">
      <alignment horizontal="left" readingOrder="0" shrinkToFit="0" vertical="top" wrapText="1"/>
    </xf>
    <xf borderId="0" fillId="0" fontId="7" numFmtId="0" xfId="0" applyAlignment="1" applyFont="1">
      <alignment horizontal="left" readingOrder="0" vertical="top"/>
    </xf>
    <xf borderId="0" fillId="0" fontId="43" numFmtId="0" xfId="0" applyAlignment="1" applyFont="1">
      <alignment horizontal="left" readingOrder="0" vertical="top"/>
    </xf>
    <xf borderId="0" fillId="0" fontId="44" numFmtId="0" xfId="0" applyAlignment="1" applyFont="1">
      <alignment horizontal="left" readingOrder="0" vertical="top"/>
    </xf>
    <xf borderId="0" fillId="0" fontId="45" numFmtId="0" xfId="0" applyAlignment="1" applyFont="1">
      <alignment horizontal="left" vertical="top"/>
    </xf>
    <xf borderId="0" fillId="10" fontId="45" numFmtId="0" xfId="0" applyAlignment="1" applyFill="1" applyFont="1">
      <alignment horizontal="left" vertical="top"/>
    </xf>
    <xf borderId="0" fillId="0" fontId="46" numFmtId="0" xfId="0" applyAlignment="1" applyFont="1">
      <alignment horizontal="left" readingOrder="0" vertical="top"/>
    </xf>
    <xf borderId="0" fillId="11" fontId="41" numFmtId="0" xfId="0" applyAlignment="1" applyFill="1" applyFont="1">
      <alignment horizontal="left" vertical="top"/>
    </xf>
    <xf borderId="0" fillId="10" fontId="47" numFmtId="0" xfId="0" applyAlignment="1" applyFont="1">
      <alignment horizontal="left" readingOrder="0" vertical="top"/>
    </xf>
    <xf borderId="0" fillId="10" fontId="7" numFmtId="0" xfId="0" applyAlignment="1" applyFont="1">
      <alignment horizontal="left" readingOrder="0" vertical="top"/>
    </xf>
    <xf borderId="2" fillId="0" fontId="6" numFmtId="0" xfId="0" applyAlignment="1" applyBorder="1" applyFont="1">
      <alignment horizontal="left" vertical="top"/>
    </xf>
    <xf borderId="2" fillId="0" fontId="48" numFmtId="0" xfId="0" applyAlignment="1" applyBorder="1" applyFont="1">
      <alignment horizontal="left" readingOrder="0" shrinkToFit="0" vertical="top" wrapText="1"/>
    </xf>
    <xf borderId="7" fillId="8" fontId="0" numFmtId="0" xfId="0" applyAlignment="1" applyBorder="1" applyFont="1">
      <alignment horizontal="left" readingOrder="0" shrinkToFit="0" vertical="top" wrapText="1"/>
    </xf>
    <xf borderId="2" fillId="0" fontId="32" numFmtId="0" xfId="0" applyAlignment="1" applyBorder="1" applyFont="1">
      <alignment horizontal="left" readingOrder="0" vertical="top"/>
    </xf>
    <xf borderId="8" fillId="0" fontId="41" numFmtId="0" xfId="0" applyAlignment="1" applyBorder="1" applyFont="1">
      <alignment horizontal="left" vertical="top"/>
    </xf>
    <xf borderId="3" fillId="0" fontId="41" numFmtId="0" xfId="0" applyAlignment="1" applyBorder="1" applyFont="1">
      <alignment horizontal="left" vertical="top"/>
    </xf>
    <xf borderId="7" fillId="0" fontId="0" numFmtId="0" xfId="0" applyAlignment="1" applyBorder="1" applyFont="1">
      <alignment horizontal="left" readingOrder="0" shrinkToFit="0" vertical="top" wrapText="1"/>
    </xf>
    <xf borderId="2" fillId="0" fontId="0"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28" numFmtId="0" xfId="0" applyAlignment="1" applyFont="1">
      <alignment horizontal="left" vertical="top"/>
    </xf>
    <xf borderId="2" fillId="0" fontId="28" numFmtId="0" xfId="0" applyAlignment="1" applyBorder="1" applyFont="1">
      <alignment horizontal="left" vertical="top"/>
    </xf>
    <xf borderId="0" fillId="8" fontId="49" numFmtId="0" xfId="0" applyAlignment="1" applyFont="1">
      <alignment horizontal="left" vertical="top"/>
    </xf>
    <xf borderId="7" fillId="0" fontId="7" numFmtId="0" xfId="0" applyAlignment="1" applyBorder="1" applyFont="1">
      <alignment horizontal="left" readingOrder="0" vertical="top"/>
    </xf>
    <xf borderId="8" fillId="0" fontId="0" numFmtId="0" xfId="0" applyAlignment="1" applyBorder="1" applyFont="1">
      <alignment horizontal="left" readingOrder="0" shrinkToFit="0" vertical="top" wrapText="1"/>
    </xf>
    <xf borderId="8" fillId="0" fontId="7" numFmtId="0" xfId="0" applyAlignment="1" applyBorder="1" applyFont="1">
      <alignment horizontal="left" readingOrder="0" vertical="top"/>
    </xf>
    <xf borderId="7" fillId="8" fontId="0" numFmtId="0" xfId="0" applyAlignment="1" applyBorder="1" applyFont="1">
      <alignment horizontal="left" readingOrder="0" shrinkToFit="0" vertical="top" wrapText="1"/>
    </xf>
    <xf borderId="2" fillId="0" fontId="0" numFmtId="0" xfId="0" applyAlignment="1" applyBorder="1" applyFont="1">
      <alignment horizontal="left" shrinkToFit="0" vertical="top" wrapText="1"/>
    </xf>
    <xf borderId="0" fillId="0" fontId="0" numFmtId="0" xfId="0" applyAlignment="1" applyFont="1">
      <alignment horizontal="left" shrinkToFit="0" vertical="top" wrapText="1"/>
    </xf>
    <xf borderId="0" fillId="0" fontId="0" numFmtId="0" xfId="0" applyAlignment="1" applyFont="1">
      <alignment horizontal="left" readingOrder="0" shrinkToFit="0" vertical="top" wrapText="1"/>
    </xf>
    <xf borderId="0" fillId="12" fontId="7" numFmtId="0" xfId="0" applyAlignment="1" applyFill="1" applyFont="1">
      <alignment horizontal="left" readingOrder="0" vertical="top"/>
    </xf>
    <xf borderId="0" fillId="12" fontId="0" numFmtId="0" xfId="0" applyAlignment="1" applyFont="1">
      <alignment horizontal="left" shrinkToFit="0" vertical="top" wrapText="1"/>
    </xf>
    <xf borderId="0" fillId="12" fontId="0" numFmtId="0" xfId="0" applyAlignment="1" applyFont="1">
      <alignment horizontal="left" readingOrder="0" shrinkToFit="0" vertical="top" wrapText="1"/>
    </xf>
    <xf borderId="0" fillId="0" fontId="50" numFmtId="0" xfId="0" applyAlignment="1" applyFont="1">
      <alignment horizontal="left" readingOrder="0" vertical="top"/>
    </xf>
    <xf borderId="0" fillId="13" fontId="7" numFmtId="0" xfId="0" applyAlignment="1" applyFill="1" applyFont="1">
      <alignment horizontal="left" readingOrder="0" vertical="top"/>
    </xf>
    <xf borderId="0" fillId="13" fontId="0" numFmtId="0" xfId="0" applyAlignment="1" applyFont="1">
      <alignment horizontal="left" readingOrder="0" shrinkToFit="0" vertical="top" wrapText="1"/>
    </xf>
    <xf borderId="0" fillId="0" fontId="48" numFmtId="0" xfId="0" applyAlignment="1" applyFont="1">
      <alignment horizontal="left" readingOrder="0" shrinkToFit="0" vertical="top" wrapText="1"/>
    </xf>
    <xf borderId="2" fillId="0" fontId="51" numFmtId="0" xfId="0" applyAlignment="1" applyBorder="1" applyFont="1">
      <alignment horizontal="left" readingOrder="0" vertical="top"/>
    </xf>
    <xf borderId="0" fillId="8" fontId="52" numFmtId="0" xfId="0" applyAlignment="1" applyFont="1">
      <alignment horizontal="left" readingOrder="0" vertical="top"/>
    </xf>
    <xf borderId="2" fillId="0" fontId="51" numFmtId="0" xfId="0" applyAlignment="1" applyBorder="1" applyFont="1">
      <alignment horizontal="left" readingOrder="0" vertical="top"/>
    </xf>
    <xf borderId="0" fillId="8" fontId="53" numFmtId="0" xfId="0" applyAlignment="1" applyFont="1">
      <alignment horizontal="left" readingOrder="0" vertical="top"/>
    </xf>
    <xf borderId="2" fillId="0" fontId="54" numFmtId="0" xfId="0" applyAlignment="1" applyBorder="1" applyFont="1">
      <alignment horizontal="left" readingOrder="0" vertical="top"/>
    </xf>
    <xf borderId="0" fillId="0" fontId="54" numFmtId="0" xfId="0" applyAlignment="1" applyFont="1">
      <alignment horizontal="left" vertical="top"/>
    </xf>
    <xf borderId="2" fillId="0" fontId="51" numFmtId="0" xfId="0" applyAlignment="1" applyBorder="1" applyFont="1">
      <alignment horizontal="left" readingOrder="0" shrinkToFit="0" vertical="top" wrapText="1"/>
    </xf>
    <xf borderId="2" fillId="14" fontId="7" numFmtId="0" xfId="0" applyAlignment="1" applyBorder="1" applyFill="1" applyFont="1">
      <alignment horizontal="left" vertical="top"/>
    </xf>
    <xf borderId="2" fillId="14" fontId="0" numFmtId="0" xfId="0" applyAlignment="1" applyBorder="1" applyFont="1">
      <alignment horizontal="left" readingOrder="0" shrinkToFit="0" vertical="top" wrapText="1"/>
    </xf>
    <xf borderId="2" fillId="14" fontId="7" numFmtId="0" xfId="0" applyAlignment="1" applyBorder="1" applyFont="1">
      <alignment horizontal="left" readingOrder="0" vertical="top"/>
    </xf>
    <xf borderId="2" fillId="0" fontId="54" numFmtId="0" xfId="0" applyAlignment="1" applyBorder="1" applyFont="1">
      <alignment horizontal="left" readingOrder="0" shrinkToFit="0" vertical="top" wrapText="1"/>
    </xf>
    <xf borderId="2" fillId="0" fontId="54" numFmtId="0" xfId="0" applyAlignment="1" applyBorder="1" applyFont="1">
      <alignment horizontal="left" vertical="top"/>
    </xf>
    <xf borderId="0" fillId="0" fontId="55" numFmtId="0" xfId="0" applyAlignment="1" applyFont="1">
      <alignment horizontal="left" readingOrder="0" shrinkToFit="0" vertical="top" wrapText="1"/>
    </xf>
    <xf borderId="7" fillId="0" fontId="55" numFmtId="0" xfId="0" applyAlignment="1" applyBorder="1" applyFont="1">
      <alignment horizontal="left" readingOrder="0" shrinkToFit="0" vertical="top" wrapText="1"/>
    </xf>
    <xf borderId="0" fillId="0" fontId="56" numFmtId="0" xfId="0" applyAlignment="1" applyFont="1">
      <alignment horizontal="left" readingOrder="0" shrinkToFit="0" vertical="top" wrapText="1"/>
    </xf>
    <xf borderId="0" fillId="15" fontId="57" numFmtId="0" xfId="0" applyAlignment="1" applyFill="1" applyFont="1">
      <alignment horizontal="left" readingOrder="0" shrinkToFit="0" vertical="top" wrapText="1"/>
    </xf>
    <xf borderId="7" fillId="0" fontId="56" numFmtId="0" xfId="0" applyAlignment="1" applyBorder="1" applyFont="1">
      <alignment horizontal="left" readingOrder="0" shrinkToFit="0" vertical="top" wrapText="1"/>
    </xf>
    <xf borderId="8" fillId="0" fontId="56" numFmtId="0" xfId="0" applyAlignment="1" applyBorder="1" applyFont="1">
      <alignment horizontal="left" readingOrder="0" shrinkToFit="0" vertical="top" wrapText="1"/>
    </xf>
    <xf borderId="3" fillId="0" fontId="0" numFmtId="0" xfId="0" applyAlignment="1" applyBorder="1" applyFont="1">
      <alignment horizontal="left" readingOrder="0" shrinkToFit="0" vertical="top" wrapText="1"/>
    </xf>
    <xf borderId="0" fillId="16" fontId="0" numFmtId="0" xfId="0" applyAlignment="1" applyFill="1" applyFont="1">
      <alignment horizontal="left" readingOrder="0" shrinkToFit="0" vertical="top" wrapText="1"/>
    </xf>
    <xf borderId="0" fillId="14" fontId="0" numFmtId="0" xfId="0" applyAlignment="1" applyFont="1">
      <alignment horizontal="left" readingOrder="0" shrinkToFit="0" vertical="top" wrapText="1"/>
    </xf>
    <xf borderId="2" fillId="14" fontId="0" numFmtId="0" xfId="0" applyAlignment="1" applyBorder="1" applyFont="1">
      <alignment horizontal="left" readingOrder="0" shrinkToFit="0" vertical="top" wrapText="1"/>
    </xf>
    <xf borderId="0" fillId="14" fontId="57" numFmtId="0" xfId="0" applyAlignment="1" applyFont="1">
      <alignment horizontal="left" readingOrder="0" shrinkToFit="0" vertical="top" wrapText="1"/>
    </xf>
    <xf borderId="2" fillId="0" fontId="58" numFmtId="0" xfId="0" applyAlignment="1" applyBorder="1" applyFont="1">
      <alignment horizontal="left" readingOrder="0" vertical="top"/>
    </xf>
    <xf borderId="8" fillId="14" fontId="7" numFmtId="0" xfId="0" applyAlignment="1" applyBorder="1" applyFont="1">
      <alignment horizontal="left" readingOrder="0" vertical="top"/>
    </xf>
    <xf borderId="0" fillId="14" fontId="7" numFmtId="0" xfId="0" applyAlignment="1" applyFont="1">
      <alignment horizontal="left" vertical="top"/>
    </xf>
    <xf borderId="2" fillId="14" fontId="42" numFmtId="0" xfId="0" applyAlignment="1" applyBorder="1" applyFont="1">
      <alignment horizontal="left" readingOrder="0" vertical="top"/>
    </xf>
    <xf borderId="2" fillId="8" fontId="55" numFmtId="0" xfId="0" applyAlignment="1" applyBorder="1" applyFont="1">
      <alignment horizontal="left" readingOrder="0" shrinkToFit="0" vertical="top" wrapText="1"/>
    </xf>
    <xf borderId="2" fillId="8" fontId="0" numFmtId="0" xfId="0" applyAlignment="1" applyBorder="1" applyFont="1">
      <alignment horizontal="left" readingOrder="0" shrinkToFit="0" vertical="top" wrapText="1"/>
    </xf>
    <xf borderId="8" fillId="0" fontId="55" numFmtId="0" xfId="0" applyAlignment="1" applyBorder="1" applyFont="1">
      <alignment horizontal="left" readingOrder="0" shrinkToFit="0" vertical="top" wrapText="1"/>
    </xf>
    <xf borderId="2" fillId="0" fontId="55" numFmtId="0" xfId="0" applyAlignment="1" applyBorder="1" applyFont="1">
      <alignment horizontal="left" readingOrder="0" shrinkToFit="0" vertical="top" wrapText="1"/>
    </xf>
    <xf borderId="0" fillId="4" fontId="7" numFmtId="0" xfId="0" applyAlignment="1" applyFont="1">
      <alignment horizontal="left" vertical="top"/>
    </xf>
    <xf borderId="2" fillId="0" fontId="28" numFmtId="0" xfId="0" applyAlignment="1" applyBorder="1" applyFont="1">
      <alignment horizontal="left" vertical="top"/>
    </xf>
    <xf borderId="2" fillId="0" fontId="28" numFmtId="0" xfId="0" applyAlignment="1" applyBorder="1" applyFont="1">
      <alignment horizontal="left" shrinkToFit="0" vertical="top" wrapText="0"/>
    </xf>
    <xf borderId="0" fillId="17" fontId="7" numFmtId="0" xfId="0" applyAlignment="1" applyFill="1" applyFont="1">
      <alignment horizontal="left" readingOrder="0" vertical="top"/>
    </xf>
    <xf borderId="2" fillId="0" fontId="32" numFmtId="0" xfId="0" applyAlignment="1" applyBorder="1" applyFont="1">
      <alignment horizontal="left" readingOrder="0" vertical="top"/>
    </xf>
    <xf borderId="2" fillId="0" fontId="32" numFmtId="0" xfId="0" applyAlignment="1" applyBorder="1" applyFont="1">
      <alignment horizontal="left" readingOrder="0" vertical="top"/>
    </xf>
    <xf borderId="8" fillId="0" fontId="32" numFmtId="0" xfId="0" applyAlignment="1" applyBorder="1" applyFont="1">
      <alignment horizontal="left" readingOrder="0" vertical="top"/>
    </xf>
    <xf borderId="0" fillId="18" fontId="37" numFmtId="0" xfId="0" applyAlignment="1" applyFill="1" applyFont="1">
      <alignment horizontal="left" readingOrder="0" shrinkToFit="0" vertical="bottom" wrapText="0"/>
    </xf>
    <xf borderId="0" fillId="18" fontId="37" numFmtId="0" xfId="0" applyAlignment="1" applyFont="1">
      <alignment horizontal="left" shrinkToFit="0" vertical="bottom" wrapText="0"/>
    </xf>
    <xf borderId="0" fillId="0" fontId="36" numFmtId="0" xfId="0" applyAlignment="1" applyFont="1">
      <alignment horizontal="left" shrinkToFit="0" vertical="bottom" wrapText="0"/>
    </xf>
    <xf borderId="0" fillId="0" fontId="36" numFmtId="0" xfId="0" applyAlignment="1" applyFont="1">
      <alignment horizontal="left" readingOrder="0" shrinkToFit="0" vertical="bottom" wrapText="0"/>
    </xf>
    <xf borderId="0" fillId="0" fontId="36" numFmtId="0" xfId="0" applyAlignment="1" applyFont="1">
      <alignment horizontal="right" readingOrder="0" shrinkToFit="0" vertical="bottom" wrapText="0"/>
    </xf>
    <xf borderId="0" fillId="4" fontId="36" numFmtId="0" xfId="0" applyAlignment="1" applyFont="1">
      <alignment horizontal="left" readingOrder="0" shrinkToFit="0" vertical="bottom" wrapText="0"/>
    </xf>
    <xf borderId="0" fillId="18" fontId="37" numFmtId="0" xfId="0" applyAlignment="1" applyFont="1">
      <alignment horizontal="left" readingOrder="0" shrinkToFit="0" vertical="bottom" wrapText="0"/>
    </xf>
    <xf borderId="0" fillId="18" fontId="37" numFmtId="0" xfId="0" applyAlignment="1" applyFont="1">
      <alignment horizontal="right" readingOrder="0" shrinkToFit="0" vertical="bottom" wrapText="0"/>
    </xf>
    <xf borderId="0" fillId="0" fontId="7" numFmtId="0" xfId="0" applyAlignment="1" applyFont="1">
      <alignment horizontal="center" vertical="top"/>
    </xf>
    <xf borderId="0" fillId="0" fontId="7" numFmtId="0" xfId="0" applyAlignment="1" applyFont="1">
      <alignment horizontal="center" readingOrder="0" vertical="top"/>
    </xf>
    <xf borderId="0" fillId="19" fontId="7" numFmtId="0" xfId="0" applyAlignment="1" applyFill="1" applyFont="1">
      <alignment horizontal="left" readingOrder="0" vertical="top"/>
    </xf>
    <xf borderId="0" fillId="0" fontId="59" numFmtId="0" xfId="0" applyAlignment="1" applyFont="1">
      <alignment horizontal="left" readingOrder="0" vertical="top"/>
    </xf>
    <xf borderId="0" fillId="0" fontId="59" numFmtId="0" xfId="0" applyAlignment="1" applyFont="1">
      <alignment horizontal="left" vertical="top"/>
    </xf>
    <xf borderId="0" fillId="19" fontId="59" numFmtId="0" xfId="0" applyAlignment="1" applyFont="1">
      <alignment horizontal="left" readingOrder="0" vertical="top"/>
    </xf>
    <xf borderId="0" fillId="19" fontId="59" numFmtId="0" xfId="0" applyAlignment="1" applyFont="1">
      <alignment horizontal="left" vertical="top"/>
    </xf>
    <xf borderId="0" fillId="11" fontId="59" numFmtId="0" xfId="0" applyAlignment="1" applyFont="1">
      <alignment horizontal="left" readingOrder="0" vertical="top"/>
    </xf>
    <xf borderId="0" fillId="0" fontId="60" numFmtId="0" xfId="0" applyAlignment="1" applyFont="1">
      <alignment horizontal="left" readingOrder="0" vertical="top"/>
    </xf>
    <xf borderId="0" fillId="0" fontId="37" numFmtId="0" xfId="0" applyAlignment="1" applyFont="1">
      <alignment horizontal="right" readingOrder="0" shrinkToFit="0" vertical="bottom" wrapText="0"/>
    </xf>
    <xf borderId="0" fillId="0" fontId="37" numFmtId="0" xfId="0" applyAlignment="1" applyFont="1">
      <alignment horizontal="right" readingOrder="0" vertical="bottom"/>
    </xf>
    <xf borderId="0" fillId="0" fontId="61" numFmtId="0" xfId="0" applyAlignment="1" applyFont="1">
      <alignment horizontal="right" readingOrder="0" shrinkToFit="0" vertical="bottom" wrapText="0"/>
    </xf>
    <xf borderId="2" fillId="0" fontId="32" numFmtId="0" xfId="0" applyAlignment="1" applyBorder="1" applyFont="1">
      <alignment horizontal="left" readingOrder="0" shrinkToFit="0" vertical="top" wrapText="0"/>
    </xf>
    <xf borderId="9" fillId="0" fontId="32" numFmtId="0" xfId="0" applyAlignment="1" applyBorder="1" applyFont="1">
      <alignment horizontal="left" readingOrder="0" shrinkToFit="0" vertical="top" wrapText="0"/>
    </xf>
    <xf borderId="2" fillId="0" fontId="61" numFmtId="0" xfId="0" applyAlignment="1" applyBorder="1" applyFont="1">
      <alignment horizontal="left" readingOrder="0" shrinkToFit="0" vertical="top" wrapText="0"/>
    </xf>
    <xf borderId="0" fillId="0" fontId="37" numFmtId="0" xfId="0" applyAlignment="1" applyFont="1">
      <alignment horizontal="left" shrinkToFit="0" vertical="bottom" wrapText="0"/>
    </xf>
    <xf borderId="4" fillId="0" fontId="32" numFmtId="0" xfId="0" applyAlignment="1" applyBorder="1" applyFont="1">
      <alignment horizontal="left" readingOrder="0" shrinkToFit="0" vertical="top" wrapText="0"/>
    </xf>
    <xf borderId="0" fillId="0" fontId="61" numFmtId="0" xfId="0" applyAlignment="1" applyFont="1">
      <alignment horizontal="right" readingOrder="0" vertical="bottom"/>
    </xf>
    <xf borderId="0" fillId="0" fontId="62" numFmtId="0" xfId="0" applyAlignment="1" applyFont="1">
      <alignment horizontal="right" readingOrder="0" shrinkToFit="0" vertical="bottom" wrapText="0"/>
    </xf>
    <xf borderId="0" fillId="15" fontId="37" numFmtId="0" xfId="0" applyAlignment="1" applyFont="1">
      <alignment horizontal="left" readingOrder="0" shrinkToFit="0" vertical="bottom" wrapText="0"/>
    </xf>
    <xf borderId="2" fillId="14" fontId="61" numFmtId="0" xfId="0" applyAlignment="1" applyBorder="1" applyFont="1">
      <alignment horizontal="left" readingOrder="0" shrinkToFit="0" vertical="top" wrapText="0"/>
    </xf>
    <xf borderId="0" fillId="0" fontId="37" numFmtId="0" xfId="0" applyAlignment="1" applyFont="1">
      <alignment horizontal="left" readingOrder="0" vertical="bottom"/>
    </xf>
    <xf borderId="0" fillId="0" fontId="63" numFmtId="0" xfId="0" applyAlignment="1" applyFont="1">
      <alignment horizontal="left" readingOrder="0" vertical="bottom"/>
    </xf>
    <xf quotePrefix="1" borderId="0" fillId="0" fontId="7" numFmtId="0" xfId="0" applyAlignment="1" applyFont="1">
      <alignment horizontal="left" readingOrder="0" vertical="top"/>
    </xf>
    <xf borderId="0" fillId="8" fontId="64" numFmtId="0" xfId="0" applyAlignment="1" applyFont="1">
      <alignment horizontal="right" readingOrder="0" vertical="top"/>
    </xf>
    <xf quotePrefix="1" borderId="0" fillId="0" fontId="65" numFmtId="0" xfId="0" applyAlignment="1" applyFont="1">
      <alignment horizontal="right" readingOrder="0" shrinkToFit="0" vertical="bottom" wrapText="0"/>
    </xf>
    <xf borderId="0" fillId="8" fontId="66" numFmtId="0" xfId="0" applyAlignment="1" applyFont="1">
      <alignment horizontal="center" readingOrder="0" vertical="top"/>
    </xf>
    <xf borderId="2" fillId="14" fontId="32" numFmtId="0" xfId="0" applyAlignment="1" applyBorder="1" applyFont="1">
      <alignment horizontal="left" readingOrder="0" shrinkToFit="0" vertical="top" wrapText="0"/>
    </xf>
    <xf borderId="0" fillId="14" fontId="67" numFmtId="0" xfId="0" applyAlignment="1" applyFont="1">
      <alignment horizontal="right" readingOrder="0" vertical="top"/>
    </xf>
    <xf borderId="4" fillId="14" fontId="32" numFmtId="0" xfId="0" applyAlignment="1" applyBorder="1" applyFont="1">
      <alignment horizontal="left" readingOrder="0" shrinkToFit="0" vertical="top" wrapText="0"/>
    </xf>
    <xf borderId="0" fillId="14" fontId="36" numFmtId="0" xfId="0" applyAlignment="1" applyFont="1">
      <alignment horizontal="left" readingOrder="0" shrinkToFit="0" vertical="bottom" wrapText="0"/>
    </xf>
    <xf borderId="0" fillId="15" fontId="68" numFmtId="0" xfId="0" applyAlignment="1" applyFont="1">
      <alignment horizontal="right" readingOrder="0" vertical="top"/>
    </xf>
    <xf borderId="2" fillId="15" fontId="32" numFmtId="0" xfId="0" applyAlignment="1" applyBorder="1" applyFont="1">
      <alignment horizontal="left" readingOrder="0" shrinkToFit="0" vertical="top" wrapText="0"/>
    </xf>
    <xf borderId="4" fillId="15" fontId="32" numFmtId="0" xfId="0" applyAlignment="1" applyBorder="1" applyFont="1">
      <alignment horizontal="left" readingOrder="0" shrinkToFit="0" vertical="top" wrapText="0"/>
    </xf>
    <xf borderId="2" fillId="15" fontId="61" numFmtId="0" xfId="0" applyAlignment="1" applyBorder="1" applyFont="1">
      <alignment horizontal="left" readingOrder="0" shrinkToFit="0" vertical="top" wrapText="0"/>
    </xf>
    <xf borderId="0" fillId="15" fontId="36" numFmtId="0" xfId="0" applyAlignment="1" applyFont="1">
      <alignment horizontal="left" readingOrder="0" shrinkToFit="0" vertical="bottom" wrapText="0"/>
    </xf>
    <xf borderId="0" fillId="15" fontId="7" numFmtId="0" xfId="0" applyAlignment="1" applyFont="1">
      <alignment horizontal="left" vertical="top"/>
    </xf>
    <xf borderId="0" fillId="15" fontId="6" numFmtId="0" xfId="0" applyAlignment="1" applyFont="1">
      <alignment horizontal="left" readingOrder="0" vertical="top"/>
    </xf>
    <xf borderId="0" fillId="15" fontId="6" numFmtId="0" xfId="0" applyAlignment="1" applyFont="1">
      <alignment horizontal="left" vertical="top"/>
    </xf>
    <xf borderId="0" fillId="15" fontId="7" numFmtId="0" xfId="0" applyAlignment="1" applyFont="1">
      <alignment horizontal="left" readingOrder="0" vertical="top"/>
    </xf>
    <xf borderId="0" fillId="12" fontId="36" numFmtId="0" xfId="0" applyAlignment="1" applyFont="1">
      <alignment horizontal="left" readingOrder="0" shrinkToFit="0" vertical="bottom" wrapText="0"/>
    </xf>
    <xf borderId="0" fillId="10" fontId="36" numFmtId="0" xfId="0" applyAlignment="1" applyFont="1">
      <alignment horizontal="left" readingOrder="0" shrinkToFit="0" vertical="bottom" wrapText="0"/>
    </xf>
    <xf borderId="0" fillId="0" fontId="69" numFmtId="0" xfId="0" applyAlignment="1" applyFont="1">
      <alignment horizontal="left" readingOrder="0" vertical="bottom"/>
    </xf>
    <xf borderId="0" fillId="0" fontId="37" numFmtId="0" xfId="0" applyAlignment="1" applyFont="1">
      <alignment horizontal="center" readingOrder="0" shrinkToFit="0" vertical="bottom" wrapText="0"/>
    </xf>
    <xf borderId="0" fillId="0" fontId="37" numFmtId="0" xfId="0" applyAlignment="1" applyFont="1">
      <alignment horizontal="left" readingOrder="0" shrinkToFit="0" vertical="bottom" wrapText="1"/>
    </xf>
    <xf borderId="0" fillId="12" fontId="37" numFmtId="0" xfId="0" applyAlignment="1" applyFont="1">
      <alignment horizontal="left" readingOrder="0" shrinkToFit="0" vertical="bottom" wrapText="1"/>
    </xf>
    <xf borderId="0" fillId="10" fontId="37" numFmtId="0" xfId="0" applyAlignment="1" applyFont="1">
      <alignment horizontal="left" readingOrder="0" shrinkToFit="0" vertical="bottom" wrapText="1"/>
    </xf>
    <xf borderId="0" fillId="0" fontId="36" numFmtId="0" xfId="0" applyAlignment="1" applyFont="1">
      <alignment horizontal="center" readingOrder="0" shrinkToFit="0" vertical="bottom" wrapText="0"/>
    </xf>
    <xf borderId="0" fillId="10" fontId="36" numFmtId="0" xfId="0" applyAlignment="1" applyFont="1">
      <alignment horizontal="right" readingOrder="0" shrinkToFit="0" vertical="bottom" wrapText="0"/>
    </xf>
    <xf quotePrefix="1" borderId="0" fillId="0" fontId="36" numFmtId="0" xfId="0" applyAlignment="1" applyFont="1">
      <alignment horizontal="left" readingOrder="0" shrinkToFit="0" vertical="bottom" wrapText="0"/>
    </xf>
    <xf borderId="0" fillId="12" fontId="36" numFmtId="0" xfId="0" applyAlignment="1" applyFont="1">
      <alignment horizontal="left" shrinkToFit="0" vertical="bottom" wrapText="0"/>
    </xf>
    <xf borderId="0" fillId="12" fontId="36" numFmtId="0" xfId="0" applyAlignment="1" applyFont="1">
      <alignment horizontal="right" readingOrder="0" shrinkToFit="0" vertical="bottom" wrapText="0"/>
    </xf>
    <xf borderId="0" fillId="12" fontId="7" numFmtId="0" xfId="0" applyAlignment="1" applyFont="1">
      <alignment horizontal="left" vertical="top"/>
    </xf>
    <xf borderId="0" fillId="20" fontId="70" numFmtId="0" xfId="0" applyAlignment="1" applyFill="1" applyFont="1">
      <alignment horizontal="left" readingOrder="0" vertical="top"/>
    </xf>
    <xf borderId="0" fillId="20" fontId="70" numFmtId="0" xfId="0" applyAlignment="1" applyFont="1">
      <alignment horizontal="left" readingOrder="0" shrinkToFit="0" vertical="top" wrapText="1"/>
    </xf>
    <xf borderId="0" fillId="8" fontId="71" numFmtId="0" xfId="0" applyAlignment="1" applyFont="1">
      <alignment horizontal="left" readingOrder="0" vertical="top"/>
    </xf>
    <xf borderId="0" fillId="8" fontId="72" numFmtId="0" xfId="0" applyAlignment="1" applyFont="1">
      <alignment horizontal="left" readingOrder="0" shrinkToFit="0" vertical="top" wrapText="1"/>
    </xf>
    <xf borderId="0" fillId="8" fontId="73" numFmtId="0" xfId="0" applyAlignment="1" applyFont="1">
      <alignment horizontal="left" readingOrder="0" shrinkToFit="0" vertical="top" wrapText="1"/>
    </xf>
    <xf borderId="0" fillId="8" fontId="74" numFmtId="0" xfId="0" applyAlignment="1" applyFont="1">
      <alignment horizontal="left" readingOrder="0" vertical="top"/>
    </xf>
    <xf borderId="0" fillId="0" fontId="75" numFmtId="0" xfId="0" applyAlignment="1" applyFont="1">
      <alignment horizontal="left" readingOrder="0" shrinkToFit="0" vertical="top" wrapText="1"/>
    </xf>
    <xf borderId="2" fillId="0" fontId="6" numFmtId="0" xfId="0" applyAlignment="1" applyBorder="1" applyFont="1">
      <alignment horizontal="left" vertical="top"/>
    </xf>
    <xf borderId="2" fillId="10" fontId="7" numFmtId="0" xfId="0" applyAlignment="1" applyBorder="1" applyFont="1">
      <alignment horizontal="left" readingOrder="0" vertical="top"/>
    </xf>
    <xf borderId="9" fillId="0" fontId="7" numFmtId="0" xfId="0" applyAlignment="1" applyBorder="1" applyFont="1">
      <alignment horizontal="left" readingOrder="0" vertical="top"/>
    </xf>
    <xf borderId="2" fillId="0" fontId="7" numFmtId="0" xfId="0" applyAlignment="1" applyBorder="1" applyFont="1">
      <alignment horizontal="left" vertical="top"/>
    </xf>
    <xf borderId="2" fillId="8" fontId="32" numFmtId="0" xfId="0" applyAlignment="1" applyBorder="1" applyFont="1">
      <alignment horizontal="left" readingOrder="0" vertical="top"/>
    </xf>
    <xf borderId="7" fillId="0" fontId="7" numFmtId="0" xfId="0" applyAlignment="1" applyBorder="1" applyFont="1">
      <alignment horizontal="left" vertical="top"/>
    </xf>
    <xf borderId="7" fillId="0" fontId="7" numFmtId="0" xfId="0" applyAlignment="1" applyBorder="1" applyFont="1">
      <alignment horizontal="left" readingOrder="0" shrinkToFit="0" vertical="top" wrapText="1"/>
    </xf>
    <xf borderId="2" fillId="10" fontId="7" numFmtId="0" xfId="0" applyAlignment="1" applyBorder="1" applyFont="1">
      <alignment horizontal="left" readingOrder="0" shrinkToFit="0" vertical="top" wrapText="1"/>
    </xf>
    <xf borderId="0" fillId="0" fontId="76" numFmtId="0" xfId="0" applyAlignment="1" applyFont="1">
      <alignment horizontal="left" readingOrder="0" vertical="top"/>
    </xf>
    <xf borderId="0" fillId="4" fontId="6" numFmtId="0" xfId="0" applyAlignment="1" applyFont="1">
      <alignment horizontal="left" readingOrder="0" vertical="top"/>
    </xf>
    <xf borderId="0" fillId="21" fontId="7" numFmtId="0" xfId="0" applyAlignment="1" applyFill="1" applyFont="1">
      <alignment horizontal="left" readingOrder="0" vertical="top"/>
    </xf>
    <xf borderId="0" fillId="8" fontId="2" numFmtId="0" xfId="0" applyAlignment="1" applyFont="1">
      <alignment horizontal="center" readingOrder="0" vertical="top"/>
    </xf>
    <xf borderId="0" fillId="22" fontId="77" numFmtId="0" xfId="0" applyAlignment="1" applyFill="1" applyFont="1">
      <alignment horizontal="center" readingOrder="0" shrinkToFit="0" vertical="top" wrapText="0"/>
    </xf>
    <xf borderId="0" fillId="0" fontId="7" numFmtId="0" xfId="0" applyAlignment="1" applyFont="1">
      <alignment horizontal="left" shrinkToFit="0" vertical="top" wrapText="0"/>
    </xf>
    <xf borderId="0" fillId="22" fontId="78" numFmtId="0" xfId="0" applyAlignment="1" applyFont="1">
      <alignment horizontal="center" readingOrder="0" shrinkToFit="0" vertical="top" wrapText="0"/>
    </xf>
    <xf borderId="0" fillId="22" fontId="77" numFmtId="0" xfId="0" applyAlignment="1" applyFont="1">
      <alignment horizontal="center" shrinkToFit="0" vertical="top" wrapText="0"/>
    </xf>
    <xf borderId="0" fillId="8" fontId="79" numFmtId="0" xfId="0" applyAlignment="1" applyFont="1">
      <alignment horizontal="left" shrinkToFit="0" vertical="top" wrapText="0"/>
    </xf>
    <xf borderId="0" fillId="0" fontId="7" numFmtId="164" xfId="0" applyAlignment="1" applyFont="1" applyNumberFormat="1">
      <alignment horizontal="left" readingOrder="0" vertical="top"/>
    </xf>
    <xf borderId="0" fillId="0" fontId="80" numFmtId="0" xfId="0" applyAlignment="1" applyFont="1">
      <alignment horizontal="left"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1685925</xdr:colOff>
      <xdr:row>4</xdr:row>
      <xdr:rowOff>123825</xdr:rowOff>
    </xdr:from>
    <xdr:ext cx="6553200" cy="2066925"/>
    <xdr:sp>
      <xdr:nvSpPr>
        <xdr:cNvPr id="3" name="Shape 3"/>
        <xdr:cNvSpPr txBox="1"/>
      </xdr:nvSpPr>
      <xdr:spPr>
        <a:xfrm>
          <a:off x="0" y="0"/>
          <a:ext cx="6540300" cy="2055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350">
              <a:solidFill>
                <a:srgbClr val="444444"/>
              </a:solidFill>
            </a:rPr>
            <a:t>Nature of core business activity:</a:t>
          </a:r>
          <a:endParaRPr sz="1350">
            <a:solidFill>
              <a:srgbClr val="444444"/>
            </a:solidFill>
          </a:endParaRPr>
        </a:p>
        <a:p>
          <a:pPr indent="0" lvl="0" marL="0" rtl="0" algn="l">
            <a:spcBef>
              <a:spcPts val="0"/>
            </a:spcBef>
            <a:spcAft>
              <a:spcPts val="0"/>
            </a:spcAft>
            <a:buNone/>
          </a:pPr>
          <a:r>
            <a:t/>
          </a:r>
          <a:endParaRPr sz="1350">
            <a:solidFill>
              <a:srgbClr val="444444"/>
            </a:solidFill>
          </a:endParaRPr>
        </a:p>
        <a:p>
          <a:pPr indent="0" lvl="0" marL="0" rtl="0" algn="l">
            <a:spcBef>
              <a:spcPts val="0"/>
            </a:spcBef>
            <a:spcAft>
              <a:spcPts val="0"/>
            </a:spcAft>
            <a:buNone/>
          </a:pPr>
          <a:r>
            <a:rPr lang="en-US" sz="1350">
              <a:solidFill>
                <a:srgbClr val="444444"/>
              </a:solidFill>
            </a:rPr>
            <a:t>March 2021: </a:t>
          </a:r>
          <a:r>
            <a:rPr lang="en-US" sz="1350">
              <a:solidFill>
                <a:srgbClr val="444444"/>
              </a:solidFill>
            </a:rPr>
            <a:t>The GST Network has enabled a new feature that requires the taxpayer to select one core business activity on the GST Portal. The idea behind the move was to stop unscrupulous businesses from taking ITC by showing high expenses (fake bills) on unrelated activities.</a:t>
          </a:r>
          <a:endParaRPr sz="1350">
            <a:solidFill>
              <a:srgbClr val="444444"/>
            </a:solidFill>
          </a:endParaRPr>
        </a:p>
        <a:p>
          <a:pPr indent="0" lvl="0" marL="0" rtl="0" algn="l">
            <a:spcBef>
              <a:spcPts val="0"/>
            </a:spcBef>
            <a:spcAft>
              <a:spcPts val="0"/>
            </a:spcAft>
            <a:buNone/>
          </a:pPr>
          <a:r>
            <a:t/>
          </a:r>
          <a:endParaRPr sz="1350">
            <a:solidFill>
              <a:srgbClr val="444444"/>
            </a:solidFill>
          </a:endParaRPr>
        </a:p>
        <a:p>
          <a:pPr indent="0" lvl="0" marL="0" rtl="0" algn="l">
            <a:spcBef>
              <a:spcPts val="0"/>
            </a:spcBef>
            <a:spcAft>
              <a:spcPts val="0"/>
            </a:spcAft>
            <a:buNone/>
          </a:pPr>
          <a:r>
            <a:rPr lang="en-US" sz="1350">
              <a:solidFill>
                <a:srgbClr val="444444"/>
              </a:solidFill>
            </a:rPr>
            <a:t>The field is called nature of core business activity - </a:t>
          </a:r>
          <a:r>
            <a:rPr lang="en-US" sz="1350">
              <a:solidFill>
                <a:srgbClr val="444444"/>
              </a:solidFill>
            </a:rPr>
            <a:t>Manufacturing</a:t>
          </a:r>
          <a:r>
            <a:rPr lang="en-US" sz="1350">
              <a:solidFill>
                <a:srgbClr val="444444"/>
              </a:solidFill>
            </a:rPr>
            <a:t>, trading, services and others</a:t>
          </a:r>
          <a:endParaRPr sz="1350">
            <a:solidFill>
              <a:srgbClr val="444444"/>
            </a:solidFil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600075</xdr:colOff>
      <xdr:row>0</xdr:row>
      <xdr:rowOff>66675</xdr:rowOff>
    </xdr:from>
    <xdr:ext cx="7334250" cy="4314825"/>
    <xdr:grpSp>
      <xdr:nvGrpSpPr>
        <xdr:cNvPr id="2" name="Shape 2" title="Drawing"/>
        <xdr:cNvGrpSpPr/>
      </xdr:nvGrpSpPr>
      <xdr:grpSpPr>
        <a:xfrm>
          <a:off x="152400" y="152400"/>
          <a:ext cx="7315201" cy="4296919"/>
          <a:chOff x="152400" y="152400"/>
          <a:chExt cx="7315201" cy="4296919"/>
        </a:xfrm>
      </xdr:grpSpPr>
      <xdr:pic>
        <xdr:nvPicPr>
          <xdr:cNvPr id="4" name="Shape 4"/>
          <xdr:cNvPicPr preferRelativeResize="0"/>
        </xdr:nvPicPr>
        <xdr:blipFill>
          <a:blip r:embed="rId1">
            <a:alphaModFix/>
          </a:blip>
          <a:stretch>
            <a:fillRect/>
          </a:stretch>
        </xdr:blipFill>
        <xdr:spPr>
          <a:xfrm>
            <a:off x="152400" y="152400"/>
            <a:ext cx="7315201" cy="4296919"/>
          </a:xfrm>
          <a:prstGeom prst="rect">
            <a:avLst/>
          </a:prstGeom>
          <a:noFill/>
          <a:ln>
            <a:noFill/>
          </a:ln>
        </xdr:spPr>
      </xdr:pic>
    </xdr:grp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nsole.crediwatch.io/data/moola/registrations/64a4240489e1ab0a539f662a"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tax2win.in/guide/salts-sands-sulpher-earth-stones-gst-rate-hsn-code" TargetMode="External"/><Relationship Id="rId2" Type="http://schemas.openxmlformats.org/officeDocument/2006/relationships/hyperlink" Target="https://ibm.gov.in/?c=pages&amp;m=index&amp;id=35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ibef.org/industry/information-technology-india.aspx" TargetMode="External"/><Relationship Id="rId22" Type="http://schemas.openxmlformats.org/officeDocument/2006/relationships/hyperlink" Target="https://www.ibef.org/industry/medical-devices.aspx" TargetMode="External"/><Relationship Id="rId21" Type="http://schemas.openxmlformats.org/officeDocument/2006/relationships/hyperlink" Target="https://www.ibef.org/industry/media-entertainment-india.aspx" TargetMode="External"/><Relationship Id="rId24" Type="http://schemas.openxmlformats.org/officeDocument/2006/relationships/hyperlink" Target="https://www.ibef.org/industry/metals-and-mining.aspx" TargetMode="External"/><Relationship Id="rId23" Type="http://schemas.openxmlformats.org/officeDocument/2006/relationships/hyperlink" Target="https://www.ibef.org/industry/metals-and-mining.aspx" TargetMode="External"/><Relationship Id="rId1" Type="http://schemas.openxmlformats.org/officeDocument/2006/relationships/hyperlink" Target="https://www.ibef.org/industry/agriculture-india.aspx" TargetMode="External"/><Relationship Id="rId2" Type="http://schemas.openxmlformats.org/officeDocument/2006/relationships/hyperlink" Target="https://www.ibef.org/industry/india-automobiles.aspx" TargetMode="External"/><Relationship Id="rId3" Type="http://schemas.openxmlformats.org/officeDocument/2006/relationships/hyperlink" Target="https://www.ibef.org/industry/autocomponents-india.aspx" TargetMode="External"/><Relationship Id="rId4" Type="http://schemas.openxmlformats.org/officeDocument/2006/relationships/hyperlink" Target="https://www.ibef.org/industry/cement-india.aspx" TargetMode="External"/><Relationship Id="rId9" Type="http://schemas.openxmlformats.org/officeDocument/2006/relationships/hyperlink" Target="https://www.ibef.org/industry/education-sector-india.aspx" TargetMode="External"/><Relationship Id="rId26" Type="http://schemas.openxmlformats.org/officeDocument/2006/relationships/hyperlink" Target="https://www.ibef.org/industry/power-sector-india.aspx" TargetMode="External"/><Relationship Id="rId25" Type="http://schemas.openxmlformats.org/officeDocument/2006/relationships/hyperlink" Target="https://www.ibef.org/industry/oil-gas-india.aspx" TargetMode="External"/><Relationship Id="rId28" Type="http://schemas.openxmlformats.org/officeDocument/2006/relationships/hyperlink" Target="https://www.ibef.org/industry/telecommunications.aspx" TargetMode="External"/><Relationship Id="rId27" Type="http://schemas.openxmlformats.org/officeDocument/2006/relationships/hyperlink" Target="https://www.ibef.org/industry/real-estate-india.aspx" TargetMode="External"/><Relationship Id="rId5" Type="http://schemas.openxmlformats.org/officeDocument/2006/relationships/hyperlink" Target="https://www.ibef.org/industry/chemical-industry-india.aspx" TargetMode="External"/><Relationship Id="rId6" Type="http://schemas.openxmlformats.org/officeDocument/2006/relationships/hyperlink" Target="https://www.ibef.org/industry/indian-consumer-market.aspx" TargetMode="External"/><Relationship Id="rId29" Type="http://schemas.openxmlformats.org/officeDocument/2006/relationships/hyperlink" Target="https://www.ibef.org/industry/textiles.aspx" TargetMode="External"/><Relationship Id="rId7" Type="http://schemas.openxmlformats.org/officeDocument/2006/relationships/hyperlink" Target="https://www.ibef.org/industry/defence-manufacturing.aspx" TargetMode="External"/><Relationship Id="rId8" Type="http://schemas.openxmlformats.org/officeDocument/2006/relationships/hyperlink" Target="https://www.ibef.org/industry/ecommerce.aspx" TargetMode="External"/><Relationship Id="rId31" Type="http://schemas.openxmlformats.org/officeDocument/2006/relationships/drawing" Target="../drawings/drawing9.xml"/><Relationship Id="rId30" Type="http://schemas.openxmlformats.org/officeDocument/2006/relationships/hyperlink" Target="https://www.ibef.org/industry/tourism-hospitality-india.aspx" TargetMode="External"/><Relationship Id="rId11" Type="http://schemas.openxmlformats.org/officeDocument/2006/relationships/hyperlink" Target="https://www.ibef.org/industry/electronics-system-design-manufacturing-esdm.aspx" TargetMode="External"/><Relationship Id="rId10" Type="http://schemas.openxmlformats.org/officeDocument/2006/relationships/hyperlink" Target="https://www.ibef.org/industry/education-sector-india.aspx" TargetMode="External"/><Relationship Id="rId13" Type="http://schemas.openxmlformats.org/officeDocument/2006/relationships/hyperlink" Target="https://www.ibef.org/industry/financial-services-india.aspx" TargetMode="External"/><Relationship Id="rId12" Type="http://schemas.openxmlformats.org/officeDocument/2006/relationships/hyperlink" Target="https://www.ibef.org/industry/engineering-india.aspx" TargetMode="External"/><Relationship Id="rId15" Type="http://schemas.openxmlformats.org/officeDocument/2006/relationships/hyperlink" Target="https://www.ibef.org/industry/gems-jewellery-india.aspx" TargetMode="External"/><Relationship Id="rId14" Type="http://schemas.openxmlformats.org/officeDocument/2006/relationships/hyperlink" Target="https://www.ibef.org/industry/fmcg.aspx" TargetMode="External"/><Relationship Id="rId17" Type="http://schemas.openxmlformats.org/officeDocument/2006/relationships/hyperlink" Target="https://www.ibef.org/industry/infrastructure-sector-india.aspx" TargetMode="External"/><Relationship Id="rId16" Type="http://schemas.openxmlformats.org/officeDocument/2006/relationships/hyperlink" Target="https://www.ibef.org/industry/healthcare-india.aspx" TargetMode="External"/><Relationship Id="rId19" Type="http://schemas.openxmlformats.org/officeDocument/2006/relationships/hyperlink" Target="https://www.ibef.org/industry/infrastructure-sector-india.aspx" TargetMode="External"/><Relationship Id="rId18" Type="http://schemas.openxmlformats.org/officeDocument/2006/relationships/hyperlink" Target="https://www.ibef.org/industry/infrastructure-sector-india.asp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gstcouncil.gov.in/sites/default/files/Explanatory_notes.pd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teachoo.com/gst/hsn-code/"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tatic.nseindia.com//s3fs-public/inline-files/NSE%20Indices_Industry%20Classification%20Structure-2022-04.pdf"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tatic.nseindia.com//s3fs-public/inline-files/NSE%20Indices_Industry%20Classification%20Structure-2022-04.pdf"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www.gstcouncil.gov.in/gst-revenue"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taxguru.in/goods-and-service-tax/hsn-sac-code-mandatory-invoice-form-gstr-1.html" TargetMode="External"/><Relationship Id="rId2"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57"/>
    <col customWidth="1" min="2" max="2" width="30.14"/>
    <col customWidth="1" min="4" max="4" width="32.86"/>
    <col customWidth="1" min="6" max="6" width="6.86"/>
  </cols>
  <sheetData>
    <row r="1">
      <c r="A1" s="1" t="s">
        <v>0</v>
      </c>
      <c r="B1" s="1"/>
      <c r="C1" s="1"/>
      <c r="D1" s="1"/>
      <c r="E1" s="1"/>
      <c r="F1" s="1"/>
      <c r="G1" s="1"/>
      <c r="H1" s="1"/>
      <c r="I1" s="1"/>
      <c r="J1" s="1"/>
      <c r="K1" s="1"/>
      <c r="L1" s="1"/>
      <c r="M1" s="1"/>
      <c r="N1" s="1"/>
      <c r="O1" s="1"/>
      <c r="P1" s="1"/>
      <c r="Q1" s="1"/>
      <c r="R1" s="1"/>
      <c r="S1" s="1"/>
      <c r="T1" s="1"/>
      <c r="U1" s="1"/>
      <c r="V1" s="1"/>
      <c r="W1" s="1"/>
    </row>
    <row r="2">
      <c r="A2" s="2" t="s">
        <v>1</v>
      </c>
      <c r="B2" s="1"/>
      <c r="C2" s="1"/>
      <c r="D2" s="1"/>
      <c r="E2" s="1"/>
      <c r="F2" s="1"/>
      <c r="G2" s="1"/>
      <c r="H2" s="1"/>
      <c r="I2" s="1"/>
      <c r="J2" s="1"/>
      <c r="K2" s="1"/>
      <c r="L2" s="1"/>
      <c r="M2" s="1"/>
      <c r="N2" s="1"/>
      <c r="O2" s="1"/>
      <c r="P2" s="1"/>
      <c r="Q2" s="1"/>
      <c r="R2" s="1"/>
      <c r="S2" s="1"/>
      <c r="T2" s="1"/>
      <c r="U2" s="1"/>
      <c r="V2" s="1"/>
      <c r="W2" s="1"/>
    </row>
    <row r="3">
      <c r="A3" s="2" t="s">
        <v>2</v>
      </c>
      <c r="B3" s="1"/>
      <c r="C3" s="3"/>
      <c r="D3" s="1"/>
      <c r="E3" s="1"/>
      <c r="F3" s="1"/>
      <c r="G3" s="1"/>
      <c r="H3" s="1"/>
      <c r="I3" s="1"/>
      <c r="J3" s="1"/>
      <c r="K3" s="1"/>
      <c r="L3" s="1"/>
      <c r="M3" s="1"/>
      <c r="N3" s="1"/>
      <c r="O3" s="1"/>
      <c r="P3" s="1"/>
      <c r="Q3" s="1"/>
      <c r="R3" s="1"/>
      <c r="S3" s="1"/>
      <c r="T3" s="1"/>
      <c r="U3" s="1"/>
      <c r="V3" s="1"/>
      <c r="W3" s="1"/>
    </row>
    <row r="4">
      <c r="A4" s="2" t="s">
        <v>3</v>
      </c>
      <c r="B4" s="1"/>
      <c r="C4" s="1"/>
      <c r="D4" s="1"/>
      <c r="E4" s="1"/>
      <c r="F4" s="1"/>
      <c r="G4" s="1"/>
      <c r="H4" s="1"/>
      <c r="I4" s="1"/>
      <c r="J4" s="1"/>
      <c r="K4" s="1"/>
      <c r="L4" s="1"/>
      <c r="M4" s="1"/>
      <c r="N4" s="1"/>
      <c r="O4" s="1"/>
      <c r="P4" s="1"/>
      <c r="Q4" s="1"/>
      <c r="R4" s="1"/>
      <c r="S4" s="1"/>
      <c r="T4" s="1"/>
      <c r="U4" s="1"/>
      <c r="V4" s="1"/>
      <c r="W4" s="1"/>
    </row>
    <row r="5">
      <c r="A5" s="2" t="s">
        <v>4</v>
      </c>
      <c r="B5" s="1"/>
      <c r="C5" s="1"/>
      <c r="D5" s="1"/>
      <c r="E5" s="1"/>
      <c r="F5" s="1"/>
      <c r="G5" s="1"/>
      <c r="H5" s="1"/>
      <c r="I5" s="1"/>
      <c r="J5" s="1"/>
      <c r="K5" s="1"/>
      <c r="L5" s="1"/>
      <c r="M5" s="1"/>
      <c r="N5" s="1"/>
      <c r="O5" s="1"/>
      <c r="P5" s="1"/>
      <c r="Q5" s="1"/>
      <c r="R5" s="1"/>
      <c r="S5" s="1"/>
      <c r="T5" s="1"/>
      <c r="U5" s="1"/>
      <c r="V5" s="1"/>
      <c r="W5" s="1"/>
    </row>
    <row r="6">
      <c r="A6" s="1" t="s">
        <v>5</v>
      </c>
      <c r="B6" s="1"/>
      <c r="C6" s="1"/>
      <c r="D6" s="1"/>
      <c r="E6" s="1"/>
      <c r="F6" s="1"/>
      <c r="G6" s="1"/>
      <c r="H6" s="1"/>
      <c r="I6" s="1"/>
      <c r="J6" s="1"/>
      <c r="K6" s="1"/>
      <c r="L6" s="1"/>
      <c r="M6" s="1"/>
      <c r="N6" s="1"/>
      <c r="O6" s="1"/>
      <c r="P6" s="1"/>
      <c r="Q6" s="1"/>
      <c r="R6" s="1"/>
      <c r="S6" s="1"/>
      <c r="T6" s="1"/>
      <c r="U6" s="1"/>
      <c r="V6" s="1"/>
      <c r="W6" s="1"/>
    </row>
    <row r="7">
      <c r="A7" s="1"/>
      <c r="B7" s="1"/>
      <c r="C7" s="1"/>
      <c r="D7" s="1" t="s">
        <v>6</v>
      </c>
      <c r="E7" s="1"/>
      <c r="F7" s="1"/>
      <c r="G7" s="1"/>
      <c r="H7" s="1"/>
      <c r="I7" s="1"/>
      <c r="J7" s="1"/>
      <c r="K7" s="1"/>
      <c r="L7" s="1"/>
      <c r="M7" s="1"/>
      <c r="N7" s="1"/>
      <c r="O7" s="1"/>
      <c r="P7" s="1"/>
      <c r="Q7" s="1"/>
      <c r="R7" s="1"/>
      <c r="S7" s="1"/>
      <c r="T7" s="1"/>
      <c r="U7" s="1"/>
      <c r="V7" s="1"/>
      <c r="W7" s="1"/>
    </row>
    <row r="8">
      <c r="A8" s="4" t="s">
        <v>7</v>
      </c>
      <c r="B8" s="5" t="s">
        <v>8</v>
      </c>
      <c r="C8" s="1"/>
      <c r="D8" s="1"/>
      <c r="E8" s="1"/>
      <c r="F8" s="1"/>
      <c r="G8" s="1"/>
      <c r="H8" s="1"/>
      <c r="I8" s="1"/>
      <c r="J8" s="1"/>
      <c r="K8" s="1"/>
      <c r="L8" s="1"/>
      <c r="M8" s="1"/>
      <c r="N8" s="1"/>
      <c r="O8" s="1"/>
      <c r="P8" s="1"/>
      <c r="Q8" s="1"/>
      <c r="R8" s="1"/>
      <c r="S8" s="1"/>
      <c r="T8" s="1"/>
      <c r="U8" s="1"/>
      <c r="V8" s="1"/>
      <c r="W8" s="1"/>
    </row>
    <row r="9">
      <c r="A9" s="6" t="s">
        <v>9</v>
      </c>
      <c r="B9" s="6" t="s">
        <v>9</v>
      </c>
      <c r="C9" s="1"/>
      <c r="D9" s="1"/>
      <c r="E9" s="1"/>
      <c r="F9" s="1"/>
      <c r="G9" s="1"/>
      <c r="H9" s="1"/>
      <c r="I9" s="1"/>
      <c r="J9" s="1"/>
      <c r="K9" s="1"/>
      <c r="L9" s="1"/>
      <c r="M9" s="1"/>
      <c r="N9" s="1"/>
      <c r="O9" s="1"/>
      <c r="P9" s="1"/>
      <c r="Q9" s="1"/>
      <c r="R9" s="1"/>
      <c r="S9" s="1"/>
      <c r="T9" s="1"/>
      <c r="U9" s="1"/>
      <c r="V9" s="1"/>
      <c r="W9" s="1"/>
    </row>
    <row r="10">
      <c r="A10" s="6" t="s">
        <v>10</v>
      </c>
      <c r="B10" s="1" t="s">
        <v>11</v>
      </c>
      <c r="C10" s="1"/>
      <c r="D10" s="1"/>
      <c r="E10" s="1"/>
      <c r="F10" s="1"/>
      <c r="G10" s="1"/>
      <c r="H10" s="1"/>
      <c r="I10" s="1"/>
      <c r="J10" s="1"/>
      <c r="K10" s="1"/>
      <c r="L10" s="1"/>
      <c r="M10" s="1"/>
      <c r="N10" s="1"/>
      <c r="O10" s="1"/>
      <c r="P10" s="1"/>
      <c r="Q10" s="1"/>
      <c r="R10" s="1"/>
      <c r="S10" s="1"/>
      <c r="T10" s="1"/>
      <c r="U10" s="1"/>
      <c r="V10" s="1"/>
      <c r="W10" s="1"/>
    </row>
    <row r="11">
      <c r="A11" s="6" t="s">
        <v>12</v>
      </c>
      <c r="B11" s="1" t="s">
        <v>13</v>
      </c>
      <c r="C11" s="1"/>
      <c r="D11" s="1"/>
      <c r="E11" s="1"/>
      <c r="F11" s="1"/>
      <c r="G11" s="1"/>
      <c r="H11" s="1"/>
      <c r="I11" s="1"/>
      <c r="J11" s="1"/>
      <c r="K11" s="1"/>
      <c r="L11" s="1"/>
      <c r="M11" s="1"/>
      <c r="N11" s="1"/>
      <c r="O11" s="1"/>
      <c r="P11" s="1"/>
      <c r="Q11" s="1"/>
      <c r="R11" s="1"/>
      <c r="S11" s="1"/>
      <c r="T11" s="1"/>
      <c r="U11" s="1"/>
      <c r="V11" s="1"/>
      <c r="W11" s="1"/>
    </row>
    <row r="12">
      <c r="A12" s="6" t="s">
        <v>14</v>
      </c>
      <c r="B12" s="1" t="s">
        <v>15</v>
      </c>
      <c r="C12" s="1"/>
      <c r="D12" s="1"/>
      <c r="E12" s="1"/>
      <c r="F12" s="1"/>
      <c r="G12" s="1"/>
      <c r="H12" s="1"/>
      <c r="I12" s="1"/>
      <c r="J12" s="1"/>
      <c r="K12" s="1"/>
      <c r="L12" s="1"/>
      <c r="M12" s="1"/>
      <c r="N12" s="1"/>
      <c r="O12" s="1"/>
      <c r="P12" s="1"/>
      <c r="Q12" s="1"/>
      <c r="R12" s="1"/>
      <c r="S12" s="1"/>
      <c r="T12" s="1"/>
      <c r="U12" s="1"/>
      <c r="V12" s="1"/>
      <c r="W12" s="1"/>
    </row>
    <row r="13">
      <c r="A13" s="6" t="s">
        <v>16</v>
      </c>
      <c r="B13" s="2" t="s">
        <v>17</v>
      </c>
      <c r="C13" s="1"/>
      <c r="D13" s="1"/>
      <c r="E13" s="1"/>
      <c r="F13" s="1"/>
      <c r="G13" s="1"/>
      <c r="H13" s="1"/>
      <c r="I13" s="1"/>
      <c r="J13" s="1"/>
      <c r="K13" s="1"/>
      <c r="L13" s="1"/>
      <c r="M13" s="1"/>
      <c r="N13" s="1"/>
      <c r="O13" s="1"/>
      <c r="P13" s="1"/>
      <c r="Q13" s="1"/>
      <c r="R13" s="1"/>
      <c r="S13" s="1"/>
      <c r="T13" s="1"/>
      <c r="U13" s="1"/>
      <c r="V13" s="1"/>
      <c r="W13" s="1"/>
    </row>
    <row r="14">
      <c r="A14" s="6" t="s">
        <v>18</v>
      </c>
      <c r="B14" s="2" t="s">
        <v>19</v>
      </c>
      <c r="C14" s="1"/>
      <c r="D14" s="1"/>
      <c r="E14" s="1"/>
      <c r="F14" s="1"/>
      <c r="G14" s="1"/>
      <c r="H14" s="1"/>
      <c r="I14" s="1"/>
      <c r="J14" s="1"/>
      <c r="K14" s="1"/>
      <c r="L14" s="1"/>
      <c r="M14" s="1"/>
      <c r="N14" s="1"/>
      <c r="O14" s="1"/>
      <c r="P14" s="1"/>
      <c r="Q14" s="1"/>
      <c r="R14" s="1"/>
      <c r="S14" s="1"/>
      <c r="T14" s="1"/>
      <c r="U14" s="1"/>
      <c r="V14" s="1"/>
      <c r="W14" s="1"/>
    </row>
    <row r="15">
      <c r="A15" s="7" t="s">
        <v>20</v>
      </c>
      <c r="B15" s="6" t="s">
        <v>9</v>
      </c>
      <c r="C15" s="1"/>
      <c r="D15" s="1"/>
      <c r="E15" s="1"/>
      <c r="F15" s="1"/>
      <c r="G15" s="1"/>
      <c r="H15" s="1"/>
      <c r="I15" s="1"/>
      <c r="J15" s="1"/>
      <c r="K15" s="1"/>
      <c r="L15" s="1"/>
      <c r="M15" s="1"/>
      <c r="N15" s="1"/>
      <c r="O15" s="1"/>
      <c r="P15" s="1"/>
      <c r="Q15" s="1"/>
      <c r="R15" s="1"/>
      <c r="S15" s="1"/>
      <c r="T15" s="1"/>
      <c r="U15" s="1"/>
      <c r="V15" s="1"/>
      <c r="W15" s="1"/>
    </row>
    <row r="16">
      <c r="A16" s="1"/>
      <c r="B16" s="1"/>
      <c r="C16" s="1"/>
      <c r="D16" s="1"/>
      <c r="E16" s="1"/>
      <c r="F16" s="1"/>
      <c r="G16" s="1"/>
      <c r="H16" s="1"/>
      <c r="I16" s="1"/>
      <c r="J16" s="1"/>
      <c r="K16" s="1"/>
      <c r="L16" s="1"/>
      <c r="M16" s="1"/>
      <c r="N16" s="1"/>
      <c r="O16" s="1"/>
      <c r="P16" s="1"/>
      <c r="Q16" s="1"/>
      <c r="R16" s="1"/>
      <c r="S16" s="1"/>
      <c r="T16" s="1"/>
      <c r="U16" s="1"/>
      <c r="V16" s="1"/>
      <c r="W16" s="1"/>
    </row>
    <row r="17">
      <c r="A17" s="8" t="s">
        <v>21</v>
      </c>
      <c r="B17" s="8" t="s">
        <v>22</v>
      </c>
      <c r="C17" s="1"/>
      <c r="D17" s="1"/>
      <c r="E17" s="1"/>
      <c r="F17" s="1"/>
      <c r="G17" s="1"/>
      <c r="H17" s="1"/>
      <c r="I17" s="1"/>
      <c r="J17" s="1"/>
      <c r="K17" s="1"/>
      <c r="L17" s="1"/>
      <c r="M17" s="1"/>
      <c r="N17" s="1"/>
      <c r="O17" s="1"/>
      <c r="P17" s="1"/>
      <c r="Q17" s="1"/>
      <c r="R17" s="1"/>
      <c r="S17" s="1"/>
      <c r="T17" s="1"/>
      <c r="U17" s="1"/>
      <c r="V17" s="1"/>
      <c r="W17" s="1"/>
    </row>
    <row r="18">
      <c r="A18" s="1" t="s">
        <v>23</v>
      </c>
      <c r="B18" s="1" t="s">
        <v>17</v>
      </c>
      <c r="C18" s="1"/>
      <c r="D18" s="1"/>
      <c r="E18" s="1"/>
      <c r="F18" s="1"/>
      <c r="G18" s="1"/>
      <c r="H18" s="1"/>
      <c r="I18" s="1"/>
      <c r="J18" s="1"/>
      <c r="K18" s="1"/>
      <c r="L18" s="1"/>
      <c r="M18" s="1"/>
      <c r="N18" s="1"/>
      <c r="O18" s="1"/>
      <c r="P18" s="1"/>
      <c r="Q18" s="1"/>
      <c r="R18" s="1"/>
      <c r="S18" s="1"/>
      <c r="T18" s="1"/>
      <c r="U18" s="1"/>
      <c r="V18" s="1"/>
      <c r="W18" s="1"/>
    </row>
    <row r="19">
      <c r="A19" s="1" t="s">
        <v>24</v>
      </c>
      <c r="B19" s="1" t="s">
        <v>13</v>
      </c>
      <c r="C19" s="1"/>
      <c r="D19" s="1"/>
      <c r="E19" s="1"/>
      <c r="F19" s="1"/>
      <c r="G19" s="1"/>
      <c r="H19" s="1"/>
      <c r="I19" s="1"/>
      <c r="J19" s="1"/>
      <c r="K19" s="1"/>
      <c r="L19" s="1"/>
      <c r="M19" s="1"/>
      <c r="N19" s="1"/>
      <c r="O19" s="1"/>
      <c r="P19" s="1"/>
      <c r="Q19" s="1"/>
      <c r="R19" s="1"/>
      <c r="S19" s="1"/>
      <c r="T19" s="1"/>
      <c r="U19" s="1"/>
      <c r="V19" s="1"/>
      <c r="W19" s="1"/>
    </row>
    <row r="20">
      <c r="A20" s="1" t="s">
        <v>25</v>
      </c>
      <c r="B20" s="1" t="s">
        <v>15</v>
      </c>
      <c r="C20" s="1"/>
      <c r="D20" s="1"/>
      <c r="E20" s="1"/>
      <c r="F20" s="1"/>
      <c r="G20" s="1"/>
      <c r="H20" s="1"/>
      <c r="I20" s="1"/>
      <c r="J20" s="1"/>
      <c r="K20" s="1"/>
      <c r="L20" s="1"/>
      <c r="M20" s="1"/>
      <c r="N20" s="1"/>
      <c r="O20" s="1"/>
      <c r="P20" s="1"/>
      <c r="Q20" s="1"/>
      <c r="R20" s="1"/>
      <c r="S20" s="1"/>
      <c r="T20" s="1"/>
      <c r="U20" s="1"/>
      <c r="V20" s="1"/>
      <c r="W20" s="1"/>
    </row>
    <row r="21">
      <c r="A21" s="1" t="s">
        <v>26</v>
      </c>
      <c r="B21" s="1" t="s">
        <v>15</v>
      </c>
      <c r="C21" s="1"/>
      <c r="D21" s="1"/>
      <c r="E21" s="1"/>
      <c r="F21" s="1"/>
      <c r="G21" s="1"/>
      <c r="H21" s="1"/>
      <c r="I21" s="1"/>
      <c r="J21" s="1"/>
      <c r="K21" s="1"/>
      <c r="L21" s="1"/>
      <c r="M21" s="1"/>
      <c r="N21" s="1"/>
      <c r="O21" s="1"/>
      <c r="P21" s="1"/>
      <c r="Q21" s="1"/>
      <c r="R21" s="1"/>
      <c r="S21" s="1"/>
      <c r="T21" s="1"/>
      <c r="U21" s="1"/>
      <c r="V21" s="1"/>
      <c r="W21" s="1"/>
    </row>
    <row r="22">
      <c r="A22" s="1" t="s">
        <v>27</v>
      </c>
      <c r="B22" s="1" t="s">
        <v>27</v>
      </c>
      <c r="C22" s="1"/>
      <c r="D22" s="1"/>
      <c r="E22" s="1"/>
      <c r="F22" s="1"/>
      <c r="G22" s="1"/>
      <c r="H22" s="1"/>
      <c r="I22" s="1"/>
      <c r="J22" s="1"/>
      <c r="K22" s="1"/>
      <c r="L22" s="1"/>
      <c r="M22" s="1"/>
      <c r="N22" s="1"/>
      <c r="O22" s="1"/>
      <c r="P22" s="1"/>
      <c r="Q22" s="1"/>
      <c r="R22" s="1"/>
      <c r="S22" s="1"/>
      <c r="T22" s="1"/>
      <c r="U22" s="1"/>
      <c r="V22" s="1"/>
      <c r="W22" s="1"/>
    </row>
    <row r="23">
      <c r="A23" s="1" t="s">
        <v>20</v>
      </c>
      <c r="B23" s="1" t="s">
        <v>27</v>
      </c>
      <c r="C23" s="1"/>
      <c r="D23" s="1"/>
      <c r="E23" s="1"/>
      <c r="F23" s="1"/>
      <c r="G23" s="1"/>
      <c r="H23" s="1"/>
      <c r="I23" s="1"/>
      <c r="J23" s="1"/>
      <c r="K23" s="1"/>
      <c r="L23" s="1"/>
      <c r="M23" s="1"/>
      <c r="N23" s="1"/>
      <c r="O23" s="1"/>
      <c r="P23" s="1"/>
      <c r="Q23" s="1"/>
      <c r="R23" s="1"/>
      <c r="S23" s="1"/>
      <c r="T23" s="1"/>
      <c r="U23" s="1"/>
      <c r="V23" s="1"/>
      <c r="W23" s="1"/>
    </row>
    <row r="24">
      <c r="A24" s="1"/>
      <c r="B24" s="1"/>
      <c r="C24" s="1"/>
      <c r="D24" s="1"/>
      <c r="E24" s="1"/>
      <c r="F24" s="1"/>
      <c r="G24" s="1"/>
      <c r="H24" s="1"/>
      <c r="I24" s="1"/>
      <c r="J24" s="1"/>
      <c r="K24" s="1"/>
      <c r="L24" s="1"/>
      <c r="M24" s="1"/>
      <c r="N24" s="1"/>
      <c r="O24" s="1"/>
      <c r="P24" s="1"/>
      <c r="Q24" s="1"/>
      <c r="R24" s="1"/>
      <c r="S24" s="1"/>
      <c r="T24" s="1"/>
      <c r="U24" s="1"/>
      <c r="V24" s="1"/>
      <c r="W24" s="1"/>
    </row>
    <row r="25">
      <c r="A25" s="1"/>
      <c r="B25" s="1"/>
      <c r="C25" s="1"/>
      <c r="D25" s="1"/>
      <c r="E25" s="1"/>
      <c r="F25" s="1"/>
      <c r="G25" s="1"/>
      <c r="H25" s="1"/>
      <c r="I25" s="1"/>
      <c r="J25" s="1"/>
      <c r="K25" s="1"/>
      <c r="L25" s="1"/>
      <c r="M25" s="1"/>
      <c r="N25" s="1"/>
      <c r="O25" s="1"/>
      <c r="P25" s="1"/>
      <c r="Q25" s="1"/>
      <c r="R25" s="1"/>
      <c r="S25" s="1"/>
      <c r="T25" s="1"/>
      <c r="U25" s="1"/>
      <c r="V25" s="1"/>
      <c r="W25" s="1"/>
    </row>
    <row r="26">
      <c r="A26" s="1"/>
      <c r="B26" s="1"/>
      <c r="C26" s="1"/>
      <c r="D26" s="1"/>
      <c r="E26" s="1"/>
      <c r="F26" s="1"/>
      <c r="G26" s="1"/>
      <c r="H26" s="1"/>
      <c r="I26" s="1"/>
      <c r="J26" s="1"/>
      <c r="K26" s="1"/>
      <c r="L26" s="1"/>
      <c r="M26" s="1"/>
      <c r="N26" s="1"/>
      <c r="O26" s="1"/>
      <c r="P26" s="1"/>
      <c r="Q26" s="1"/>
      <c r="R26" s="1"/>
      <c r="S26" s="1"/>
      <c r="T26" s="1"/>
      <c r="U26" s="1"/>
      <c r="V26" s="1"/>
      <c r="W26" s="1"/>
    </row>
    <row r="27">
      <c r="A27" s="1"/>
      <c r="B27" s="1"/>
      <c r="C27" s="1"/>
      <c r="D27" s="1"/>
      <c r="E27" s="1"/>
      <c r="F27" s="1"/>
      <c r="G27" s="1"/>
      <c r="H27" s="1"/>
      <c r="I27" s="1"/>
      <c r="J27" s="1"/>
      <c r="K27" s="1"/>
      <c r="L27" s="1"/>
      <c r="M27" s="1"/>
      <c r="N27" s="1"/>
      <c r="O27" s="1"/>
      <c r="P27" s="1"/>
      <c r="Q27" s="1"/>
      <c r="R27" s="1"/>
      <c r="S27" s="1"/>
      <c r="T27" s="1"/>
      <c r="U27" s="1"/>
      <c r="V27" s="1"/>
      <c r="W27" s="1"/>
    </row>
    <row r="28">
      <c r="A28" s="1"/>
      <c r="B28" s="1"/>
      <c r="C28" s="1"/>
      <c r="D28" s="1"/>
      <c r="E28" s="1"/>
      <c r="F28" s="1"/>
      <c r="G28" s="1"/>
      <c r="H28" s="1"/>
      <c r="I28" s="1"/>
      <c r="J28" s="1"/>
      <c r="K28" s="1"/>
      <c r="L28" s="1"/>
      <c r="M28" s="1"/>
      <c r="N28" s="1"/>
      <c r="O28" s="1"/>
      <c r="P28" s="1"/>
      <c r="Q28" s="1"/>
      <c r="R28" s="1"/>
      <c r="S28" s="1"/>
      <c r="T28" s="1"/>
      <c r="U28" s="1"/>
      <c r="V28" s="1"/>
      <c r="W28" s="1"/>
    </row>
    <row r="29">
      <c r="A29" s="1"/>
      <c r="B29" s="1"/>
      <c r="C29" s="1"/>
      <c r="D29" s="1"/>
      <c r="E29" s="1"/>
      <c r="F29" s="1"/>
      <c r="G29" s="1"/>
      <c r="H29" s="1"/>
      <c r="I29" s="1"/>
      <c r="J29" s="1"/>
      <c r="K29" s="1"/>
      <c r="L29" s="1"/>
      <c r="M29" s="1"/>
      <c r="N29" s="1"/>
      <c r="O29" s="1"/>
      <c r="P29" s="1"/>
      <c r="Q29" s="1"/>
      <c r="R29" s="1"/>
      <c r="S29" s="1"/>
      <c r="T29" s="1"/>
      <c r="U29" s="1"/>
      <c r="V29" s="1"/>
      <c r="W29" s="1"/>
    </row>
    <row r="30">
      <c r="A30" s="1"/>
      <c r="B30" s="1"/>
      <c r="C30" s="1"/>
      <c r="D30" s="1"/>
      <c r="E30" s="1"/>
      <c r="F30" s="1"/>
      <c r="G30" s="1"/>
      <c r="H30" s="1"/>
      <c r="I30" s="1"/>
      <c r="J30" s="1"/>
      <c r="K30" s="1"/>
      <c r="L30" s="1"/>
      <c r="M30" s="1"/>
      <c r="N30" s="1"/>
      <c r="O30" s="1"/>
      <c r="P30" s="1"/>
      <c r="Q30" s="1"/>
      <c r="R30" s="1"/>
      <c r="S30" s="1"/>
      <c r="T30" s="1"/>
      <c r="U30" s="1"/>
      <c r="V30" s="1"/>
      <c r="W30" s="1"/>
    </row>
    <row r="31">
      <c r="A31" s="1"/>
      <c r="B31" s="1"/>
      <c r="C31" s="1"/>
      <c r="D31" s="1"/>
      <c r="E31" s="1"/>
      <c r="F31" s="1"/>
      <c r="G31" s="1"/>
      <c r="H31" s="1"/>
      <c r="I31" s="1"/>
      <c r="J31" s="1"/>
      <c r="K31" s="1"/>
      <c r="L31" s="1"/>
      <c r="M31" s="1"/>
      <c r="N31" s="1"/>
      <c r="O31" s="1"/>
      <c r="P31" s="1"/>
      <c r="Q31" s="1"/>
      <c r="R31" s="1"/>
      <c r="S31" s="1"/>
      <c r="T31" s="1"/>
      <c r="U31" s="1"/>
      <c r="V31" s="1"/>
      <c r="W31" s="1"/>
    </row>
    <row r="32">
      <c r="A32" s="1"/>
      <c r="B32" s="1"/>
      <c r="C32" s="1"/>
      <c r="D32" s="1"/>
      <c r="E32" s="1"/>
      <c r="F32" s="1"/>
      <c r="G32" s="1"/>
      <c r="H32" s="1"/>
      <c r="I32" s="1"/>
      <c r="J32" s="1"/>
      <c r="K32" s="1"/>
      <c r="L32" s="1"/>
      <c r="M32" s="1"/>
      <c r="N32" s="1"/>
      <c r="O32" s="1"/>
      <c r="P32" s="1"/>
      <c r="Q32" s="1"/>
      <c r="R32" s="1"/>
      <c r="S32" s="1"/>
      <c r="T32" s="1"/>
      <c r="U32" s="1"/>
      <c r="V32" s="1"/>
      <c r="W32" s="1"/>
    </row>
    <row r="33">
      <c r="A33" s="1"/>
      <c r="B33" s="1"/>
      <c r="C33" s="1"/>
      <c r="D33" s="1"/>
      <c r="E33" s="1"/>
      <c r="F33" s="1"/>
      <c r="G33" s="1"/>
      <c r="H33" s="1"/>
      <c r="I33" s="1"/>
      <c r="J33" s="1"/>
      <c r="K33" s="1"/>
      <c r="L33" s="1"/>
      <c r="M33" s="1"/>
      <c r="N33" s="1"/>
      <c r="O33" s="1"/>
      <c r="P33" s="1"/>
      <c r="Q33" s="1"/>
      <c r="R33" s="1"/>
      <c r="S33" s="1"/>
      <c r="T33" s="1"/>
      <c r="U33" s="1"/>
      <c r="V33" s="1"/>
      <c r="W33" s="1"/>
    </row>
    <row r="34">
      <c r="A34" s="1"/>
      <c r="B34" s="1"/>
      <c r="C34" s="1"/>
      <c r="D34" s="1"/>
      <c r="E34" s="1"/>
      <c r="F34" s="1"/>
      <c r="G34" s="1"/>
      <c r="H34" s="1"/>
      <c r="I34" s="1"/>
      <c r="J34" s="1"/>
      <c r="K34" s="1"/>
      <c r="L34" s="1"/>
      <c r="M34" s="1"/>
      <c r="N34" s="1"/>
      <c r="O34" s="1"/>
      <c r="P34" s="1"/>
      <c r="Q34" s="1"/>
      <c r="R34" s="1"/>
      <c r="S34" s="1"/>
      <c r="T34" s="1"/>
      <c r="U34" s="1"/>
      <c r="V34" s="1"/>
      <c r="W34" s="1"/>
    </row>
    <row r="35">
      <c r="A35" s="1"/>
      <c r="B35" s="1"/>
      <c r="C35" s="1"/>
      <c r="D35" s="1"/>
      <c r="E35" s="1"/>
      <c r="F35" s="1"/>
      <c r="G35" s="1"/>
      <c r="H35" s="1"/>
      <c r="I35" s="1"/>
      <c r="J35" s="1"/>
      <c r="K35" s="1"/>
      <c r="L35" s="1"/>
      <c r="M35" s="1"/>
      <c r="N35" s="1"/>
      <c r="O35" s="1"/>
      <c r="P35" s="1"/>
      <c r="Q35" s="1"/>
      <c r="R35" s="1"/>
      <c r="S35" s="1"/>
      <c r="T35" s="1"/>
      <c r="U35" s="1"/>
      <c r="V35" s="1"/>
      <c r="W35" s="1"/>
    </row>
    <row r="36">
      <c r="A36" s="1"/>
      <c r="B36" s="1"/>
      <c r="C36" s="1"/>
      <c r="D36" s="1"/>
      <c r="E36" s="1"/>
      <c r="F36" s="1"/>
      <c r="G36" s="1"/>
      <c r="H36" s="1"/>
      <c r="I36" s="1"/>
      <c r="J36" s="1"/>
      <c r="K36" s="1"/>
      <c r="L36" s="1"/>
      <c r="M36" s="1"/>
      <c r="N36" s="1"/>
      <c r="O36" s="1"/>
      <c r="P36" s="1"/>
      <c r="Q36" s="1"/>
      <c r="R36" s="1"/>
      <c r="S36" s="1"/>
      <c r="T36" s="1"/>
      <c r="U36" s="1"/>
      <c r="V36" s="1"/>
      <c r="W36" s="1"/>
    </row>
    <row r="37">
      <c r="A37" s="1"/>
      <c r="B37" s="1"/>
      <c r="C37" s="1"/>
      <c r="D37" s="1"/>
      <c r="E37" s="1"/>
      <c r="F37" s="1"/>
      <c r="G37" s="1"/>
      <c r="H37" s="1"/>
      <c r="I37" s="1"/>
      <c r="J37" s="1"/>
      <c r="K37" s="1"/>
      <c r="L37" s="1"/>
      <c r="M37" s="1"/>
      <c r="N37" s="1"/>
      <c r="O37" s="1"/>
      <c r="P37" s="1"/>
      <c r="Q37" s="1"/>
      <c r="R37" s="1"/>
      <c r="S37" s="1"/>
      <c r="T37" s="1"/>
      <c r="U37" s="1"/>
      <c r="V37" s="1"/>
      <c r="W37" s="1"/>
    </row>
    <row r="38">
      <c r="A38" s="1"/>
      <c r="B38" s="1"/>
      <c r="C38" s="1"/>
      <c r="D38" s="1"/>
      <c r="E38" s="1"/>
      <c r="F38" s="1"/>
      <c r="G38" s="1"/>
      <c r="H38" s="1"/>
      <c r="I38" s="1"/>
      <c r="J38" s="1"/>
      <c r="K38" s="1"/>
      <c r="L38" s="1"/>
      <c r="M38" s="1"/>
      <c r="N38" s="1"/>
      <c r="O38" s="1"/>
      <c r="P38" s="1"/>
      <c r="Q38" s="1"/>
      <c r="R38" s="1"/>
      <c r="S38" s="1"/>
      <c r="T38" s="1"/>
      <c r="U38" s="1"/>
      <c r="V38" s="1"/>
      <c r="W38" s="1"/>
    </row>
    <row r="39">
      <c r="A39" s="1"/>
      <c r="B39" s="1"/>
      <c r="C39" s="1"/>
      <c r="D39" s="1"/>
      <c r="E39" s="1"/>
      <c r="F39" s="1"/>
      <c r="G39" s="1"/>
      <c r="H39" s="1"/>
      <c r="I39" s="1"/>
      <c r="J39" s="1"/>
      <c r="K39" s="1"/>
      <c r="L39" s="1"/>
      <c r="M39" s="1"/>
      <c r="N39" s="1"/>
      <c r="O39" s="1"/>
      <c r="P39" s="1"/>
      <c r="Q39" s="1"/>
      <c r="R39" s="1"/>
      <c r="S39" s="1"/>
      <c r="T39" s="1"/>
      <c r="U39" s="1"/>
      <c r="V39" s="1"/>
      <c r="W39" s="1"/>
    </row>
    <row r="40">
      <c r="A40" s="1"/>
      <c r="B40" s="1"/>
      <c r="C40" s="1"/>
      <c r="D40" s="1"/>
      <c r="E40" s="1"/>
      <c r="F40" s="1"/>
      <c r="G40" s="1"/>
      <c r="H40" s="1"/>
      <c r="I40" s="1"/>
      <c r="J40" s="1"/>
      <c r="K40" s="1"/>
      <c r="L40" s="1"/>
      <c r="M40" s="1"/>
      <c r="N40" s="1"/>
      <c r="O40" s="1"/>
      <c r="P40" s="1"/>
      <c r="Q40" s="1"/>
      <c r="R40" s="1"/>
      <c r="S40" s="1"/>
      <c r="T40" s="1"/>
      <c r="U40" s="1"/>
      <c r="V40" s="1"/>
      <c r="W40" s="1"/>
    </row>
    <row r="41">
      <c r="A41" s="1"/>
      <c r="B41" s="1"/>
      <c r="C41" s="1"/>
      <c r="D41" s="1"/>
      <c r="E41" s="1"/>
      <c r="F41" s="1"/>
      <c r="G41" s="1"/>
      <c r="H41" s="1"/>
      <c r="I41" s="1"/>
      <c r="J41" s="1"/>
      <c r="K41" s="1"/>
      <c r="L41" s="1"/>
      <c r="M41" s="1"/>
      <c r="N41" s="1"/>
      <c r="O41" s="1"/>
      <c r="P41" s="1"/>
      <c r="Q41" s="1"/>
      <c r="R41" s="1"/>
      <c r="S41" s="1"/>
      <c r="T41" s="1"/>
      <c r="U41" s="1"/>
      <c r="V41" s="1"/>
      <c r="W41" s="1"/>
    </row>
    <row r="42">
      <c r="A42" s="1"/>
      <c r="B42" s="1"/>
      <c r="C42" s="1"/>
      <c r="D42" s="1"/>
      <c r="E42" s="1"/>
      <c r="F42" s="1"/>
      <c r="G42" s="1"/>
      <c r="H42" s="1"/>
      <c r="I42" s="1"/>
      <c r="J42" s="1"/>
      <c r="K42" s="1"/>
      <c r="L42" s="1"/>
      <c r="M42" s="1"/>
      <c r="N42" s="1"/>
      <c r="O42" s="1"/>
      <c r="P42" s="1"/>
      <c r="Q42" s="1"/>
      <c r="R42" s="1"/>
      <c r="S42" s="1"/>
      <c r="T42" s="1"/>
      <c r="U42" s="1"/>
      <c r="V42" s="1"/>
      <c r="W42" s="1"/>
    </row>
    <row r="43">
      <c r="A43" s="1"/>
      <c r="B43" s="1"/>
      <c r="C43" s="1"/>
      <c r="D43" s="1"/>
      <c r="E43" s="1"/>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1"/>
      <c r="C46" s="1"/>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2" width="44.57"/>
    <col customWidth="1" min="3" max="3" width="24.71"/>
    <col customWidth="1" min="4" max="4" width="11.71"/>
    <col customWidth="1" min="5" max="5" width="12.57"/>
    <col customWidth="1" min="6" max="26" width="28.0"/>
  </cols>
  <sheetData>
    <row r="1">
      <c r="A1" s="9" t="s">
        <v>28</v>
      </c>
      <c r="B1" s="10"/>
      <c r="C1" s="10"/>
    </row>
    <row r="2">
      <c r="A2" s="11"/>
      <c r="B2" s="12"/>
      <c r="C2" s="12"/>
    </row>
    <row r="3">
      <c r="A3" s="11"/>
      <c r="B3" s="12"/>
      <c r="C3" s="12"/>
    </row>
    <row r="4">
      <c r="A4" s="13"/>
      <c r="B4" s="14" t="s">
        <v>29</v>
      </c>
      <c r="C4" s="14" t="s">
        <v>30</v>
      </c>
      <c r="D4" s="15" t="s">
        <v>31</v>
      </c>
    </row>
    <row r="5">
      <c r="A5" s="15" t="s">
        <v>13</v>
      </c>
      <c r="B5" s="16" t="s">
        <v>32</v>
      </c>
      <c r="C5" s="17" t="s">
        <v>33</v>
      </c>
      <c r="D5" s="18" t="s">
        <v>34</v>
      </c>
    </row>
    <row r="6">
      <c r="A6" s="19" t="s">
        <v>15</v>
      </c>
      <c r="B6" s="16" t="s">
        <v>35</v>
      </c>
      <c r="C6" s="17" t="s">
        <v>33</v>
      </c>
      <c r="D6" s="18" t="s">
        <v>34</v>
      </c>
    </row>
    <row r="7">
      <c r="A7" s="19" t="s">
        <v>17</v>
      </c>
      <c r="B7" s="16" t="s">
        <v>36</v>
      </c>
      <c r="C7" s="17" t="s">
        <v>33</v>
      </c>
      <c r="D7" s="18" t="s">
        <v>34</v>
      </c>
    </row>
    <row r="8">
      <c r="A8" s="20" t="s">
        <v>37</v>
      </c>
      <c r="B8" s="21" t="s">
        <v>38</v>
      </c>
      <c r="C8" s="22" t="s">
        <v>39</v>
      </c>
      <c r="D8" s="18" t="s">
        <v>34</v>
      </c>
    </row>
    <row r="10">
      <c r="C10" s="23" t="s">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9.14"/>
    <col customWidth="1" min="4" max="4" width="26.86"/>
  </cols>
  <sheetData>
    <row r="3">
      <c r="B3" s="15" t="s">
        <v>41</v>
      </c>
      <c r="C3" s="15" t="s">
        <v>42</v>
      </c>
    </row>
    <row r="4">
      <c r="B4" s="18" t="s">
        <v>13</v>
      </c>
      <c r="C4" s="18" t="s">
        <v>43</v>
      </c>
    </row>
    <row r="5">
      <c r="B5" s="18" t="s">
        <v>15</v>
      </c>
      <c r="C5" s="18" t="s">
        <v>44</v>
      </c>
    </row>
    <row r="6">
      <c r="B6" s="18" t="s">
        <v>45</v>
      </c>
      <c r="C6" s="18" t="s">
        <v>46</v>
      </c>
    </row>
    <row r="7">
      <c r="B7" s="18" t="s">
        <v>17</v>
      </c>
      <c r="C7" s="18" t="s">
        <v>47</v>
      </c>
    </row>
    <row r="8">
      <c r="B8" s="18" t="s">
        <v>48</v>
      </c>
      <c r="C8" s="18" t="s">
        <v>49</v>
      </c>
    </row>
    <row r="10">
      <c r="D10" s="24" t="s">
        <v>50</v>
      </c>
      <c r="F10" s="24" t="s">
        <v>51</v>
      </c>
    </row>
    <row r="11">
      <c r="B11" s="23" t="s">
        <v>52</v>
      </c>
      <c r="C11" s="23" t="s">
        <v>53</v>
      </c>
      <c r="D11" s="23" t="s">
        <v>54</v>
      </c>
      <c r="F11" s="23" t="s">
        <v>55</v>
      </c>
    </row>
    <row r="12">
      <c r="B12" s="23" t="s">
        <v>56</v>
      </c>
      <c r="C12" s="23" t="s">
        <v>57</v>
      </c>
      <c r="D12" s="23" t="s">
        <v>58</v>
      </c>
      <c r="F12" s="23" t="s">
        <v>59</v>
      </c>
    </row>
    <row r="13">
      <c r="A13" s="25" t="s">
        <v>60</v>
      </c>
      <c r="B13" s="23" t="s">
        <v>61</v>
      </c>
      <c r="C13" s="23" t="s">
        <v>62</v>
      </c>
    </row>
    <row r="14">
      <c r="B14" s="23" t="s">
        <v>63</v>
      </c>
      <c r="C14" s="23" t="s">
        <v>64</v>
      </c>
    </row>
    <row r="15">
      <c r="B15" s="23" t="s">
        <v>65</v>
      </c>
      <c r="C15" s="23" t="s">
        <v>66</v>
      </c>
      <c r="D15" s="23" t="s">
        <v>67</v>
      </c>
    </row>
    <row r="17">
      <c r="C17" s="26" t="s">
        <v>68</v>
      </c>
    </row>
    <row r="19">
      <c r="C19" s="27" t="s">
        <v>69</v>
      </c>
    </row>
  </sheetData>
  <mergeCells count="1">
    <mergeCell ref="A13:A14"/>
  </mergeCells>
  <hyperlinks>
    <hyperlink r:id="rId2" ref="C19"/>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43"/>
    <col customWidth="1" min="2" max="2" width="46.57"/>
    <col customWidth="1" min="3" max="3" width="24.43"/>
    <col customWidth="1" min="4" max="5" width="108.0"/>
    <col customWidth="1" min="6" max="6" width="17.57"/>
    <col customWidth="1" min="7" max="7" width="39.86"/>
    <col customWidth="1" min="8" max="8" width="15.29"/>
    <col customWidth="1" min="9" max="9" width="11.86"/>
    <col customWidth="1" min="10" max="10" width="12.0"/>
    <col customWidth="1" min="11" max="11" width="90.14"/>
    <col customWidth="1" min="12" max="12" width="12.29"/>
    <col customWidth="1" min="13" max="13" width="35.57"/>
    <col customWidth="1" min="14" max="27" width="8.71"/>
  </cols>
  <sheetData>
    <row r="1" ht="12.75" customHeight="1">
      <c r="A1" s="28" t="s">
        <v>70</v>
      </c>
      <c r="B1" s="29" t="s">
        <v>71</v>
      </c>
      <c r="C1" s="30" t="s">
        <v>72</v>
      </c>
      <c r="D1" s="31" t="s">
        <v>73</v>
      </c>
      <c r="E1" s="32" t="s">
        <v>74</v>
      </c>
      <c r="F1" s="33" t="s">
        <v>75</v>
      </c>
      <c r="G1" s="34" t="s">
        <v>76</v>
      </c>
      <c r="H1" s="34" t="s">
        <v>77</v>
      </c>
      <c r="I1" s="34" t="s">
        <v>78</v>
      </c>
      <c r="J1" s="34" t="s">
        <v>79</v>
      </c>
      <c r="K1" s="35" t="s">
        <v>80</v>
      </c>
      <c r="L1" s="36" t="s">
        <v>81</v>
      </c>
    </row>
    <row r="2" ht="12.75" customHeight="1">
      <c r="A2" s="37" t="s">
        <v>82</v>
      </c>
      <c r="B2" s="38" t="s">
        <v>83</v>
      </c>
      <c r="C2" s="39" t="s">
        <v>84</v>
      </c>
      <c r="D2" s="40" t="s">
        <v>85</v>
      </c>
      <c r="E2" s="41" t="s">
        <v>86</v>
      </c>
      <c r="F2" s="42" t="s">
        <v>13</v>
      </c>
      <c r="G2" s="43" t="s">
        <v>87</v>
      </c>
      <c r="H2" s="44"/>
      <c r="I2" s="45"/>
      <c r="J2" s="45"/>
      <c r="K2" s="46" t="s">
        <v>87</v>
      </c>
      <c r="L2" s="47" t="s">
        <v>88</v>
      </c>
      <c r="P2" s="23" t="s">
        <v>89</v>
      </c>
      <c r="Q2" s="23" t="s">
        <v>90</v>
      </c>
    </row>
    <row r="3" ht="12.75" customHeight="1">
      <c r="A3" s="48"/>
      <c r="B3" s="48"/>
      <c r="C3" s="39" t="s">
        <v>91</v>
      </c>
      <c r="D3" s="40" t="s">
        <v>92</v>
      </c>
      <c r="E3" s="41" t="s">
        <v>93</v>
      </c>
      <c r="F3" s="42" t="s">
        <v>13</v>
      </c>
      <c r="G3" s="49" t="s">
        <v>94</v>
      </c>
      <c r="H3" s="45"/>
      <c r="I3" s="45"/>
      <c r="J3" s="45"/>
      <c r="K3" s="50" t="s">
        <v>95</v>
      </c>
      <c r="L3" s="51"/>
      <c r="P3" s="23" t="s">
        <v>96</v>
      </c>
      <c r="Q3" s="52" t="s">
        <v>97</v>
      </c>
    </row>
    <row r="4" ht="12.75" customHeight="1">
      <c r="A4" s="48"/>
      <c r="B4" s="48"/>
      <c r="C4" s="39" t="s">
        <v>98</v>
      </c>
      <c r="D4" s="40" t="s">
        <v>99</v>
      </c>
      <c r="E4" s="41" t="s">
        <v>100</v>
      </c>
      <c r="F4" s="42" t="s">
        <v>101</v>
      </c>
      <c r="G4" s="53" t="s">
        <v>102</v>
      </c>
      <c r="H4" s="45"/>
      <c r="I4" s="45"/>
      <c r="J4" s="45"/>
      <c r="K4" s="50" t="s">
        <v>103</v>
      </c>
      <c r="L4" s="47"/>
      <c r="P4" s="23" t="s">
        <v>104</v>
      </c>
      <c r="Q4" s="52" t="s">
        <v>105</v>
      </c>
    </row>
    <row r="5" ht="12.75" customHeight="1">
      <c r="A5" s="54"/>
      <c r="B5" s="54"/>
      <c r="C5" s="39" t="s">
        <v>106</v>
      </c>
      <c r="D5" s="55" t="s">
        <v>107</v>
      </c>
      <c r="E5" s="56" t="s">
        <v>108</v>
      </c>
      <c r="F5" s="42" t="s">
        <v>101</v>
      </c>
      <c r="G5" s="45" t="s">
        <v>109</v>
      </c>
      <c r="H5" s="45"/>
      <c r="I5" s="45"/>
      <c r="J5" s="45"/>
      <c r="K5" s="57" t="s">
        <v>110</v>
      </c>
      <c r="L5" s="51"/>
      <c r="P5" s="23" t="s">
        <v>111</v>
      </c>
      <c r="Q5" s="58" t="s">
        <v>112</v>
      </c>
    </row>
    <row r="6" ht="12.75" customHeight="1">
      <c r="A6" s="37" t="s">
        <v>113</v>
      </c>
      <c r="B6" s="38" t="s">
        <v>114</v>
      </c>
      <c r="C6" s="39" t="s">
        <v>115</v>
      </c>
      <c r="D6" s="40" t="s">
        <v>116</v>
      </c>
      <c r="E6" s="41" t="s">
        <v>117</v>
      </c>
      <c r="F6" s="42" t="s">
        <v>13</v>
      </c>
      <c r="G6" s="45" t="s">
        <v>118</v>
      </c>
      <c r="H6" s="45"/>
      <c r="I6" s="45"/>
      <c r="J6" s="45"/>
      <c r="K6" s="57" t="s">
        <v>118</v>
      </c>
      <c r="L6" s="47" t="s">
        <v>119</v>
      </c>
      <c r="P6" s="23" t="s">
        <v>120</v>
      </c>
      <c r="Q6" s="59" t="s">
        <v>121</v>
      </c>
    </row>
    <row r="7" ht="12.75" customHeight="1">
      <c r="A7" s="54"/>
      <c r="B7" s="54"/>
      <c r="C7" s="39" t="s">
        <v>122</v>
      </c>
      <c r="D7" s="40" t="s">
        <v>123</v>
      </c>
      <c r="E7" s="60"/>
      <c r="F7" s="42" t="s">
        <v>13</v>
      </c>
      <c r="G7" s="45" t="s">
        <v>124</v>
      </c>
      <c r="H7" s="45"/>
      <c r="I7" s="45"/>
      <c r="J7" s="45"/>
      <c r="K7" s="57" t="s">
        <v>124</v>
      </c>
      <c r="L7" s="51"/>
      <c r="P7" s="23" t="s">
        <v>125</v>
      </c>
      <c r="Q7" s="61" t="s">
        <v>126</v>
      </c>
    </row>
    <row r="8" ht="12.75" customHeight="1">
      <c r="A8" s="48"/>
      <c r="B8" s="48"/>
      <c r="C8" s="39" t="s">
        <v>127</v>
      </c>
      <c r="D8" s="62" t="s">
        <v>128</v>
      </c>
      <c r="E8" s="60"/>
      <c r="F8" s="42" t="s">
        <v>13</v>
      </c>
      <c r="G8" s="45" t="s">
        <v>118</v>
      </c>
      <c r="H8" s="45"/>
      <c r="I8" s="45"/>
      <c r="J8" s="45"/>
      <c r="K8" s="57" t="s">
        <v>118</v>
      </c>
      <c r="L8" s="51"/>
      <c r="P8" s="23" t="s">
        <v>129</v>
      </c>
      <c r="Q8" s="23" t="s">
        <v>130</v>
      </c>
    </row>
    <row r="9" ht="12.75" customHeight="1">
      <c r="A9" s="48"/>
      <c r="B9" s="48"/>
      <c r="C9" s="39" t="s">
        <v>131</v>
      </c>
      <c r="D9" s="62" t="s">
        <v>132</v>
      </c>
      <c r="E9" s="60"/>
      <c r="F9" s="42" t="s">
        <v>13</v>
      </c>
      <c r="G9" s="45" t="s">
        <v>118</v>
      </c>
      <c r="H9" s="45"/>
      <c r="I9" s="45"/>
      <c r="J9" s="45"/>
      <c r="K9" s="57" t="s">
        <v>118</v>
      </c>
      <c r="L9" s="51"/>
      <c r="P9" s="23" t="s">
        <v>133</v>
      </c>
      <c r="Q9" s="23" t="s">
        <v>134</v>
      </c>
    </row>
    <row r="10" ht="12.75" customHeight="1">
      <c r="A10" s="48"/>
      <c r="B10" s="48"/>
      <c r="C10" s="39" t="s">
        <v>135</v>
      </c>
      <c r="D10" s="62" t="s">
        <v>136</v>
      </c>
      <c r="E10" s="60"/>
      <c r="F10" s="42" t="s">
        <v>101</v>
      </c>
      <c r="G10" s="45" t="s">
        <v>118</v>
      </c>
      <c r="H10" s="45"/>
      <c r="I10" s="45"/>
      <c r="J10" s="45"/>
      <c r="K10" s="57" t="s">
        <v>118</v>
      </c>
      <c r="L10" s="51"/>
    </row>
    <row r="11" ht="12.75" customHeight="1">
      <c r="A11" s="37" t="s">
        <v>137</v>
      </c>
      <c r="B11" s="63" t="s">
        <v>138</v>
      </c>
      <c r="C11" s="64" t="s">
        <v>139</v>
      </c>
      <c r="D11" s="62" t="s">
        <v>140</v>
      </c>
      <c r="E11" s="41" t="s">
        <v>141</v>
      </c>
      <c r="F11" s="42" t="s">
        <v>13</v>
      </c>
      <c r="G11" s="53" t="s">
        <v>142</v>
      </c>
      <c r="H11" s="45"/>
      <c r="I11" s="45"/>
      <c r="J11" s="45"/>
      <c r="K11" s="50" t="s">
        <v>143</v>
      </c>
      <c r="L11" s="47" t="s">
        <v>144</v>
      </c>
      <c r="M11" s="65"/>
    </row>
    <row r="12" ht="12.75" customHeight="1">
      <c r="A12" s="54"/>
      <c r="B12" s="54"/>
      <c r="C12" s="39" t="s">
        <v>145</v>
      </c>
      <c r="D12" s="40" t="s">
        <v>146</v>
      </c>
      <c r="E12" s="41" t="s">
        <v>147</v>
      </c>
      <c r="F12" s="42" t="s">
        <v>13</v>
      </c>
      <c r="G12" s="45" t="s">
        <v>148</v>
      </c>
      <c r="H12" s="45" t="s">
        <v>149</v>
      </c>
      <c r="I12" s="45"/>
      <c r="J12" s="45"/>
      <c r="K12" s="50" t="s">
        <v>150</v>
      </c>
      <c r="L12" s="47" t="s">
        <v>151</v>
      </c>
    </row>
    <row r="13" ht="12.75" customHeight="1">
      <c r="A13" s="54"/>
      <c r="B13" s="54"/>
      <c r="C13" s="39" t="s">
        <v>152</v>
      </c>
      <c r="D13" s="55" t="s">
        <v>153</v>
      </c>
      <c r="E13" s="56" t="s">
        <v>154</v>
      </c>
      <c r="F13" s="42" t="s">
        <v>13</v>
      </c>
      <c r="G13" s="66" t="s">
        <v>155</v>
      </c>
      <c r="H13" s="45" t="s">
        <v>156</v>
      </c>
      <c r="I13" s="45"/>
      <c r="J13" s="45"/>
      <c r="K13" s="57" t="s">
        <v>157</v>
      </c>
      <c r="L13" s="47" t="s">
        <v>158</v>
      </c>
    </row>
    <row r="14" ht="12.75" customHeight="1">
      <c r="A14" s="48"/>
      <c r="B14" s="48"/>
      <c r="C14" s="39" t="s">
        <v>159</v>
      </c>
      <c r="D14" s="40" t="s">
        <v>160</v>
      </c>
      <c r="E14" s="41" t="s">
        <v>161</v>
      </c>
      <c r="F14" s="42" t="s">
        <v>13</v>
      </c>
      <c r="G14" s="45" t="s">
        <v>162</v>
      </c>
      <c r="H14" s="45"/>
      <c r="I14" s="45"/>
      <c r="J14" s="45"/>
      <c r="K14" s="57" t="s">
        <v>157</v>
      </c>
      <c r="L14" s="47" t="s">
        <v>163</v>
      </c>
    </row>
    <row r="15" ht="12.75" customHeight="1">
      <c r="A15" s="48"/>
      <c r="B15" s="48"/>
      <c r="C15" s="39" t="s">
        <v>164</v>
      </c>
      <c r="D15" s="40" t="s">
        <v>165</v>
      </c>
      <c r="E15" s="41" t="s">
        <v>166</v>
      </c>
      <c r="F15" s="42" t="s">
        <v>13</v>
      </c>
      <c r="G15" s="45" t="s">
        <v>167</v>
      </c>
      <c r="H15" s="45"/>
      <c r="I15" s="45"/>
      <c r="J15" s="45"/>
      <c r="K15" s="57" t="s">
        <v>167</v>
      </c>
      <c r="L15" s="51"/>
    </row>
    <row r="16" ht="12.75" customHeight="1">
      <c r="A16" s="54"/>
      <c r="B16" s="54"/>
      <c r="C16" s="39" t="s">
        <v>168</v>
      </c>
      <c r="D16" s="40" t="s">
        <v>169</v>
      </c>
      <c r="E16" s="41" t="s">
        <v>170</v>
      </c>
      <c r="F16" s="42" t="s">
        <v>13</v>
      </c>
      <c r="G16" s="45" t="s">
        <v>171</v>
      </c>
      <c r="H16" s="45" t="s">
        <v>172</v>
      </c>
      <c r="I16" s="45"/>
      <c r="J16" s="45"/>
      <c r="K16" s="57" t="s">
        <v>173</v>
      </c>
      <c r="L16" s="67" t="s">
        <v>174</v>
      </c>
    </row>
    <row r="17" ht="12.75" customHeight="1">
      <c r="A17" s="48"/>
      <c r="B17" s="48"/>
      <c r="C17" s="39" t="s">
        <v>175</v>
      </c>
      <c r="D17" s="62" t="s">
        <v>176</v>
      </c>
      <c r="E17" s="41"/>
      <c r="F17" s="42" t="s">
        <v>13</v>
      </c>
      <c r="G17" s="53" t="s">
        <v>177</v>
      </c>
      <c r="H17" s="45"/>
      <c r="I17" s="45"/>
      <c r="J17" s="45"/>
      <c r="K17" s="50" t="s">
        <v>178</v>
      </c>
      <c r="L17" s="47" t="s">
        <v>179</v>
      </c>
    </row>
    <row r="18" ht="12.75" customHeight="1">
      <c r="A18" s="54"/>
      <c r="B18" s="54"/>
      <c r="C18" s="39" t="s">
        <v>180</v>
      </c>
      <c r="D18" s="68" t="s">
        <v>181</v>
      </c>
      <c r="E18" s="41" t="s">
        <v>182</v>
      </c>
      <c r="F18" s="42" t="s">
        <v>13</v>
      </c>
      <c r="G18" s="45" t="s">
        <v>183</v>
      </c>
      <c r="H18" s="45" t="s">
        <v>184</v>
      </c>
      <c r="I18" s="45" t="s">
        <v>185</v>
      </c>
      <c r="J18" s="45" t="s">
        <v>186</v>
      </c>
      <c r="K18" s="57" t="s">
        <v>187</v>
      </c>
      <c r="L18" s="47" t="s">
        <v>188</v>
      </c>
    </row>
    <row r="19" ht="12.75" customHeight="1">
      <c r="A19" s="54"/>
      <c r="B19" s="54"/>
      <c r="C19" s="39" t="s">
        <v>189</v>
      </c>
      <c r="D19" s="55" t="s">
        <v>190</v>
      </c>
      <c r="E19" s="69"/>
      <c r="F19" s="42" t="s">
        <v>13</v>
      </c>
      <c r="G19" s="45" t="s">
        <v>191</v>
      </c>
      <c r="H19" s="45"/>
      <c r="I19" s="45"/>
      <c r="J19" s="45"/>
      <c r="K19" s="57" t="s">
        <v>191</v>
      </c>
      <c r="L19" s="51"/>
    </row>
    <row r="20" ht="12.75" customHeight="1">
      <c r="A20" s="54"/>
      <c r="B20" s="54"/>
      <c r="C20" s="39" t="s">
        <v>192</v>
      </c>
      <c r="D20" s="62" t="s">
        <v>193</v>
      </c>
      <c r="E20" s="60"/>
      <c r="F20" s="42" t="s">
        <v>13</v>
      </c>
      <c r="G20" s="45" t="s">
        <v>194</v>
      </c>
      <c r="H20" s="45"/>
      <c r="I20" s="45"/>
      <c r="J20" s="45"/>
      <c r="K20" s="57" t="s">
        <v>194</v>
      </c>
      <c r="L20" s="47" t="s">
        <v>195</v>
      </c>
      <c r="N20" s="23" t="s">
        <v>196</v>
      </c>
      <c r="O20" s="70" t="s">
        <v>197</v>
      </c>
    </row>
    <row r="21" ht="12.75" customHeight="1">
      <c r="A21" s="54"/>
      <c r="B21" s="54"/>
      <c r="C21" s="39" t="s">
        <v>198</v>
      </c>
      <c r="D21" s="55" t="s">
        <v>199</v>
      </c>
      <c r="E21" s="69"/>
      <c r="F21" s="42" t="s">
        <v>13</v>
      </c>
      <c r="G21" s="45" t="s">
        <v>200</v>
      </c>
      <c r="H21" s="45"/>
      <c r="I21" s="45"/>
      <c r="J21" s="45"/>
      <c r="K21" s="57" t="s">
        <v>200</v>
      </c>
      <c r="L21" s="47" t="s">
        <v>201</v>
      </c>
      <c r="N21" s="23" t="s">
        <v>202</v>
      </c>
      <c r="O21" s="23" t="s">
        <v>203</v>
      </c>
    </row>
    <row r="22" ht="12.75" customHeight="1">
      <c r="A22" s="54"/>
      <c r="B22" s="54"/>
      <c r="C22" s="39" t="s">
        <v>204</v>
      </c>
      <c r="D22" s="62" t="s">
        <v>205</v>
      </c>
      <c r="E22" s="69"/>
      <c r="F22" s="42" t="s">
        <v>13</v>
      </c>
      <c r="G22" s="45" t="s">
        <v>206</v>
      </c>
      <c r="H22" s="45"/>
      <c r="I22" s="45"/>
      <c r="J22" s="45"/>
      <c r="K22" s="57" t="s">
        <v>206</v>
      </c>
      <c r="L22" s="51"/>
    </row>
    <row r="23" ht="12.75" customHeight="1">
      <c r="A23" s="54"/>
      <c r="B23" s="54"/>
      <c r="C23" s="39" t="s">
        <v>207</v>
      </c>
      <c r="D23" s="40" t="s">
        <v>208</v>
      </c>
      <c r="E23" s="41" t="s">
        <v>209</v>
      </c>
      <c r="F23" s="42" t="s">
        <v>13</v>
      </c>
      <c r="G23" s="45" t="s">
        <v>210</v>
      </c>
      <c r="H23" s="45" t="s">
        <v>211</v>
      </c>
      <c r="I23" s="45"/>
      <c r="J23" s="45"/>
      <c r="K23" s="57" t="s">
        <v>212</v>
      </c>
      <c r="L23" s="47" t="s">
        <v>213</v>
      </c>
    </row>
    <row r="24" ht="12.75" customHeight="1">
      <c r="A24" s="37" t="s">
        <v>214</v>
      </c>
      <c r="B24" s="63" t="s">
        <v>215</v>
      </c>
      <c r="C24" s="39" t="s">
        <v>216</v>
      </c>
      <c r="D24" s="62" t="s">
        <v>217</v>
      </c>
      <c r="E24" s="60"/>
      <c r="F24" s="42" t="s">
        <v>11</v>
      </c>
      <c r="G24" s="45" t="s">
        <v>218</v>
      </c>
      <c r="H24" s="45"/>
      <c r="I24" s="45"/>
      <c r="J24" s="45"/>
      <c r="K24" s="57" t="s">
        <v>218</v>
      </c>
      <c r="L24" s="47" t="s">
        <v>219</v>
      </c>
    </row>
    <row r="25" ht="12.75" customHeight="1">
      <c r="A25" s="54"/>
      <c r="B25" s="54"/>
      <c r="C25" s="39" t="s">
        <v>220</v>
      </c>
      <c r="D25" s="55" t="s">
        <v>221</v>
      </c>
      <c r="E25" s="69"/>
      <c r="F25" s="42" t="s">
        <v>13</v>
      </c>
      <c r="G25" s="45" t="s">
        <v>218</v>
      </c>
      <c r="H25" s="45"/>
      <c r="I25" s="45"/>
      <c r="J25" s="45"/>
      <c r="K25" s="57" t="s">
        <v>218</v>
      </c>
      <c r="L25" s="51"/>
    </row>
    <row r="26" ht="12.75" customHeight="1">
      <c r="A26" s="48"/>
      <c r="B26" s="48"/>
      <c r="C26" s="39" t="s">
        <v>222</v>
      </c>
      <c r="D26" s="40" t="s">
        <v>223</v>
      </c>
      <c r="E26" s="60"/>
      <c r="F26" s="42" t="s">
        <v>13</v>
      </c>
      <c r="G26" s="45"/>
      <c r="H26" s="45"/>
      <c r="I26" s="45"/>
      <c r="J26" s="45"/>
      <c r="K26" s="57"/>
      <c r="L26" s="51"/>
    </row>
    <row r="27" ht="12.75" customHeight="1">
      <c r="A27" s="37" t="s">
        <v>224</v>
      </c>
      <c r="B27" s="71" t="s">
        <v>225</v>
      </c>
      <c r="C27" s="39" t="s">
        <v>226</v>
      </c>
      <c r="D27" s="62" t="s">
        <v>227</v>
      </c>
      <c r="E27" s="60"/>
      <c r="F27" s="42" t="s">
        <v>45</v>
      </c>
      <c r="G27" s="45" t="s">
        <v>45</v>
      </c>
      <c r="H27" s="45"/>
      <c r="I27" s="45"/>
      <c r="J27" s="45"/>
      <c r="K27" s="57" t="s">
        <v>45</v>
      </c>
      <c r="L27" s="51"/>
    </row>
    <row r="28" ht="12.75" customHeight="1">
      <c r="A28" s="48"/>
      <c r="B28" s="48"/>
      <c r="C28" s="39" t="s">
        <v>228</v>
      </c>
      <c r="D28" s="62" t="s">
        <v>229</v>
      </c>
      <c r="E28" s="60"/>
      <c r="F28" s="42" t="s">
        <v>45</v>
      </c>
      <c r="G28" s="45" t="s">
        <v>45</v>
      </c>
      <c r="H28" s="45"/>
      <c r="I28" s="45"/>
      <c r="J28" s="45"/>
      <c r="K28" s="57" t="s">
        <v>45</v>
      </c>
      <c r="L28" s="51"/>
    </row>
    <row r="29" ht="12.75" customHeight="1">
      <c r="A29" s="54"/>
      <c r="B29" s="54"/>
      <c r="C29" s="39" t="s">
        <v>230</v>
      </c>
      <c r="D29" s="40" t="s">
        <v>231</v>
      </c>
      <c r="E29" s="60"/>
      <c r="F29" s="42" t="s">
        <v>45</v>
      </c>
      <c r="G29" s="45" t="s">
        <v>45</v>
      </c>
      <c r="H29" s="45"/>
      <c r="I29" s="45"/>
      <c r="J29" s="45"/>
      <c r="K29" s="57" t="s">
        <v>45</v>
      </c>
      <c r="L29" s="51"/>
    </row>
    <row r="30" ht="12.75" customHeight="1">
      <c r="A30" s="37" t="s">
        <v>232</v>
      </c>
      <c r="B30" s="29" t="s">
        <v>233</v>
      </c>
      <c r="C30" s="30" t="s">
        <v>234</v>
      </c>
      <c r="D30" s="31" t="s">
        <v>235</v>
      </c>
      <c r="E30" s="60"/>
      <c r="F30" s="42" t="s">
        <v>45</v>
      </c>
      <c r="G30" s="45" t="s">
        <v>45</v>
      </c>
      <c r="H30" s="45"/>
      <c r="I30" s="45"/>
      <c r="J30" s="45"/>
      <c r="K30" s="57" t="s">
        <v>45</v>
      </c>
      <c r="L30" s="51"/>
      <c r="M30" s="23" t="s">
        <v>236</v>
      </c>
    </row>
    <row r="31" ht="12.75" customHeight="1">
      <c r="A31" s="48"/>
      <c r="B31" s="72"/>
      <c r="C31" s="30" t="s">
        <v>237</v>
      </c>
      <c r="D31" s="73" t="s">
        <v>238</v>
      </c>
      <c r="E31" s="60"/>
      <c r="F31" s="42" t="s">
        <v>45</v>
      </c>
      <c r="G31" s="45" t="s">
        <v>45</v>
      </c>
      <c r="H31" s="45"/>
      <c r="I31" s="45"/>
      <c r="J31" s="45"/>
      <c r="K31" s="57" t="s">
        <v>45</v>
      </c>
      <c r="L31" s="51"/>
    </row>
    <row r="32" ht="12.75" customHeight="1">
      <c r="A32" s="54"/>
      <c r="B32" s="74"/>
      <c r="C32" s="30" t="s">
        <v>239</v>
      </c>
      <c r="D32" s="31" t="s">
        <v>240</v>
      </c>
      <c r="E32" s="60"/>
      <c r="F32" s="42" t="s">
        <v>45</v>
      </c>
      <c r="G32" s="45" t="s">
        <v>45</v>
      </c>
      <c r="H32" s="45"/>
      <c r="I32" s="45"/>
      <c r="J32" s="45"/>
      <c r="K32" s="57" t="s">
        <v>45</v>
      </c>
      <c r="L32" s="51"/>
    </row>
    <row r="33" ht="12.75" customHeight="1">
      <c r="A33" s="37" t="s">
        <v>241</v>
      </c>
      <c r="B33" s="63" t="s">
        <v>242</v>
      </c>
      <c r="C33" s="39" t="s">
        <v>243</v>
      </c>
      <c r="D33" s="62" t="s">
        <v>244</v>
      </c>
      <c r="E33" s="60"/>
      <c r="F33" s="42" t="s">
        <v>15</v>
      </c>
      <c r="G33" s="45" t="s">
        <v>15</v>
      </c>
      <c r="H33" s="45"/>
      <c r="I33" s="45"/>
      <c r="J33" s="45"/>
      <c r="K33" s="57" t="s">
        <v>15</v>
      </c>
      <c r="L33" s="51"/>
    </row>
    <row r="34" ht="12.75" customHeight="1">
      <c r="A34" s="48"/>
      <c r="B34" s="48"/>
      <c r="C34" s="39" t="s">
        <v>245</v>
      </c>
      <c r="D34" s="40" t="s">
        <v>246</v>
      </c>
      <c r="E34" s="60"/>
      <c r="F34" s="42" t="s">
        <v>15</v>
      </c>
      <c r="G34" s="45" t="s">
        <v>15</v>
      </c>
      <c r="H34" s="45"/>
      <c r="I34" s="45"/>
      <c r="J34" s="45"/>
      <c r="K34" s="57" t="s">
        <v>15</v>
      </c>
      <c r="L34" s="51"/>
    </row>
    <row r="35" ht="12.75" customHeight="1">
      <c r="A35" s="37" t="s">
        <v>247</v>
      </c>
      <c r="B35" s="63" t="s">
        <v>248</v>
      </c>
      <c r="C35" s="39" t="s">
        <v>249</v>
      </c>
      <c r="D35" s="40" t="s">
        <v>250</v>
      </c>
      <c r="E35" s="60"/>
      <c r="F35" s="42" t="s">
        <v>101</v>
      </c>
      <c r="G35" s="45" t="s">
        <v>251</v>
      </c>
      <c r="H35" s="45"/>
      <c r="I35" s="45"/>
      <c r="J35" s="45"/>
      <c r="K35" s="57" t="s">
        <v>251</v>
      </c>
      <c r="L35" s="51"/>
    </row>
    <row r="36" ht="12.75" customHeight="1">
      <c r="A36" s="48"/>
      <c r="B36" s="48"/>
      <c r="C36" s="39" t="s">
        <v>252</v>
      </c>
      <c r="D36" s="40" t="s">
        <v>253</v>
      </c>
      <c r="E36" s="60"/>
      <c r="F36" s="42" t="s">
        <v>101</v>
      </c>
      <c r="G36" s="45" t="s">
        <v>251</v>
      </c>
      <c r="H36" s="45"/>
      <c r="I36" s="45"/>
      <c r="J36" s="45"/>
      <c r="K36" s="57" t="s">
        <v>251</v>
      </c>
      <c r="L36" s="51"/>
    </row>
    <row r="37" ht="12.75" customHeight="1">
      <c r="A37" s="48"/>
      <c r="B37" s="48"/>
      <c r="C37" s="39" t="s">
        <v>254</v>
      </c>
      <c r="D37" s="40" t="s">
        <v>255</v>
      </c>
      <c r="E37" s="60"/>
      <c r="F37" s="42" t="s">
        <v>101</v>
      </c>
      <c r="G37" s="45" t="s">
        <v>251</v>
      </c>
      <c r="H37" s="45"/>
      <c r="I37" s="45"/>
      <c r="J37" s="45"/>
      <c r="K37" s="57" t="s">
        <v>251</v>
      </c>
      <c r="L37" s="51"/>
    </row>
    <row r="38" ht="12.75" customHeight="1">
      <c r="A38" s="48"/>
      <c r="B38" s="48"/>
      <c r="C38" s="39" t="s">
        <v>256</v>
      </c>
      <c r="D38" s="40" t="s">
        <v>257</v>
      </c>
      <c r="E38" s="60"/>
      <c r="F38" s="42" t="s">
        <v>101</v>
      </c>
      <c r="G38" s="45" t="s">
        <v>251</v>
      </c>
      <c r="H38" s="45"/>
      <c r="I38" s="45"/>
      <c r="J38" s="45"/>
      <c r="K38" s="57" t="s">
        <v>251</v>
      </c>
      <c r="L38" s="51"/>
    </row>
    <row r="39" ht="12.75" customHeight="1">
      <c r="A39" s="54"/>
      <c r="B39" s="54"/>
      <c r="C39" s="39" t="s">
        <v>258</v>
      </c>
      <c r="D39" s="55" t="s">
        <v>259</v>
      </c>
      <c r="E39" s="69"/>
      <c r="F39" s="42" t="s">
        <v>101</v>
      </c>
      <c r="G39" s="45" t="s">
        <v>251</v>
      </c>
      <c r="H39" s="45"/>
      <c r="I39" s="45"/>
      <c r="J39" s="45"/>
      <c r="K39" s="57" t="s">
        <v>251</v>
      </c>
      <c r="L39" s="51"/>
    </row>
    <row r="40" ht="12.75" customHeight="1">
      <c r="A40" s="48"/>
      <c r="B40" s="48"/>
      <c r="C40" s="39" t="s">
        <v>260</v>
      </c>
      <c r="D40" s="40" t="s">
        <v>261</v>
      </c>
      <c r="E40" s="60"/>
      <c r="F40" s="42" t="s">
        <v>45</v>
      </c>
      <c r="G40" s="45" t="s">
        <v>45</v>
      </c>
      <c r="H40" s="45"/>
      <c r="I40" s="45"/>
      <c r="J40" s="45"/>
      <c r="K40" s="57" t="s">
        <v>45</v>
      </c>
      <c r="L40" s="51"/>
    </row>
    <row r="41" ht="12.75" customHeight="1">
      <c r="A41" s="48"/>
      <c r="B41" s="48"/>
      <c r="C41" s="39" t="s">
        <v>262</v>
      </c>
      <c r="D41" s="40" t="s">
        <v>263</v>
      </c>
      <c r="E41" s="60"/>
      <c r="F41" s="42" t="s">
        <v>101</v>
      </c>
      <c r="G41" s="45" t="s">
        <v>264</v>
      </c>
      <c r="H41" s="45"/>
      <c r="I41" s="45"/>
      <c r="J41" s="45"/>
      <c r="K41" s="57" t="s">
        <v>264</v>
      </c>
      <c r="L41" s="51"/>
    </row>
    <row r="42" ht="12.75" customHeight="1">
      <c r="A42" s="39" t="s">
        <v>265</v>
      </c>
      <c r="B42" s="29" t="s">
        <v>266</v>
      </c>
      <c r="C42" s="30" t="s">
        <v>267</v>
      </c>
      <c r="D42" s="31" t="s">
        <v>268</v>
      </c>
      <c r="E42" s="60"/>
      <c r="F42" s="42" t="s">
        <v>101</v>
      </c>
      <c r="G42" s="45" t="s">
        <v>269</v>
      </c>
      <c r="H42" s="45"/>
      <c r="I42" s="45"/>
      <c r="J42" s="45"/>
      <c r="K42" s="57" t="s">
        <v>269</v>
      </c>
      <c r="L42" s="51"/>
    </row>
    <row r="43" ht="12.75" customHeight="1">
      <c r="A43" s="48"/>
      <c r="B43" s="72"/>
      <c r="C43" s="30" t="s">
        <v>270</v>
      </c>
      <c r="D43" s="31" t="s">
        <v>271</v>
      </c>
      <c r="E43" s="60"/>
      <c r="F43" s="42" t="s">
        <v>101</v>
      </c>
      <c r="G43" s="45" t="s">
        <v>269</v>
      </c>
      <c r="H43" s="45"/>
      <c r="I43" s="45"/>
      <c r="J43" s="45"/>
      <c r="K43" s="57" t="s">
        <v>269</v>
      </c>
      <c r="L43" s="51"/>
    </row>
    <row r="44" ht="12.75" customHeight="1">
      <c r="A44" s="39" t="s">
        <v>272</v>
      </c>
      <c r="B44" s="63" t="s">
        <v>273</v>
      </c>
      <c r="C44" s="39" t="s">
        <v>274</v>
      </c>
      <c r="D44" s="40" t="s">
        <v>275</v>
      </c>
      <c r="E44" s="60"/>
      <c r="F44" s="42" t="s">
        <v>101</v>
      </c>
      <c r="G44" s="45" t="s">
        <v>276</v>
      </c>
      <c r="H44" s="45"/>
      <c r="I44" s="45"/>
      <c r="J44" s="45"/>
      <c r="K44" s="57" t="s">
        <v>276</v>
      </c>
      <c r="L44" s="51"/>
    </row>
    <row r="45" ht="12.75" customHeight="1">
      <c r="A45" s="48"/>
      <c r="B45" s="48"/>
      <c r="C45" s="39" t="s">
        <v>277</v>
      </c>
      <c r="D45" s="40" t="s">
        <v>278</v>
      </c>
      <c r="E45" s="60"/>
      <c r="F45" s="42" t="s">
        <v>101</v>
      </c>
      <c r="G45" s="45"/>
      <c r="H45" s="45"/>
      <c r="I45" s="45"/>
      <c r="J45" s="45"/>
      <c r="K45" s="57"/>
      <c r="L45" s="51"/>
    </row>
    <row r="46" ht="12.75" customHeight="1">
      <c r="A46" s="48"/>
      <c r="B46" s="48"/>
      <c r="C46" s="39" t="s">
        <v>279</v>
      </c>
      <c r="D46" s="40" t="s">
        <v>280</v>
      </c>
      <c r="E46" s="60"/>
      <c r="F46" s="42" t="s">
        <v>101</v>
      </c>
      <c r="G46" s="45" t="s">
        <v>276</v>
      </c>
      <c r="H46" s="45"/>
      <c r="I46" s="45"/>
      <c r="J46" s="45"/>
      <c r="K46" s="57" t="s">
        <v>276</v>
      </c>
      <c r="L46" s="47" t="s">
        <v>281</v>
      </c>
    </row>
    <row r="47" ht="12.75" customHeight="1">
      <c r="A47" s="48"/>
      <c r="B47" s="48"/>
      <c r="C47" s="39" t="s">
        <v>282</v>
      </c>
      <c r="D47" s="40" t="s">
        <v>283</v>
      </c>
      <c r="E47" s="60"/>
      <c r="F47" s="42" t="s">
        <v>101</v>
      </c>
      <c r="G47" s="45" t="s">
        <v>276</v>
      </c>
      <c r="H47" s="45"/>
      <c r="I47" s="45"/>
      <c r="J47" s="45"/>
      <c r="K47" s="57" t="s">
        <v>276</v>
      </c>
      <c r="L47" s="51"/>
    </row>
    <row r="48" ht="12.75" customHeight="1">
      <c r="A48" s="48"/>
      <c r="B48" s="48"/>
      <c r="C48" s="39" t="s">
        <v>284</v>
      </c>
      <c r="D48" s="40" t="s">
        <v>285</v>
      </c>
      <c r="E48" s="60"/>
      <c r="F48" s="42" t="s">
        <v>101</v>
      </c>
      <c r="G48" s="45" t="s">
        <v>276</v>
      </c>
      <c r="H48" s="45"/>
      <c r="I48" s="45"/>
      <c r="J48" s="45"/>
      <c r="K48" s="57" t="s">
        <v>276</v>
      </c>
      <c r="L48" s="51"/>
    </row>
    <row r="49" ht="12.75" customHeight="1">
      <c r="A49" s="48"/>
      <c r="B49" s="48"/>
      <c r="C49" s="39" t="s">
        <v>286</v>
      </c>
      <c r="D49" s="40" t="s">
        <v>287</v>
      </c>
      <c r="E49" s="60"/>
      <c r="F49" s="42" t="s">
        <v>101</v>
      </c>
      <c r="G49" s="45" t="s">
        <v>288</v>
      </c>
      <c r="H49" s="45"/>
      <c r="I49" s="45"/>
      <c r="J49" s="45"/>
      <c r="K49" s="57" t="s">
        <v>288</v>
      </c>
      <c r="L49" s="51"/>
    </row>
    <row r="50" ht="12.75" customHeight="1">
      <c r="A50" s="48"/>
      <c r="B50" s="48"/>
      <c r="C50" s="39" t="s">
        <v>289</v>
      </c>
      <c r="D50" s="40" t="s">
        <v>290</v>
      </c>
      <c r="E50" s="60"/>
      <c r="F50" s="42" t="s">
        <v>101</v>
      </c>
      <c r="G50" s="45" t="s">
        <v>288</v>
      </c>
      <c r="H50" s="45"/>
      <c r="I50" s="45"/>
      <c r="J50" s="45"/>
      <c r="K50" s="57" t="s">
        <v>288</v>
      </c>
      <c r="L50" s="51"/>
    </row>
    <row r="51" ht="12.75" customHeight="1">
      <c r="A51" s="48"/>
      <c r="B51" s="48"/>
      <c r="C51" s="39" t="s">
        <v>291</v>
      </c>
      <c r="D51" s="40" t="s">
        <v>292</v>
      </c>
      <c r="E51" s="60"/>
      <c r="F51" s="42" t="s">
        <v>101</v>
      </c>
      <c r="G51" s="45" t="s">
        <v>288</v>
      </c>
      <c r="H51" s="45"/>
      <c r="I51" s="45"/>
      <c r="J51" s="45"/>
      <c r="K51" s="57" t="s">
        <v>288</v>
      </c>
      <c r="L51" s="51"/>
    </row>
    <row r="52" ht="12.75" customHeight="1">
      <c r="A52" s="39" t="s">
        <v>293</v>
      </c>
      <c r="B52" s="63" t="s">
        <v>294</v>
      </c>
      <c r="C52" s="30" t="s">
        <v>295</v>
      </c>
      <c r="D52" s="31" t="s">
        <v>296</v>
      </c>
      <c r="E52" s="60"/>
      <c r="F52" s="42" t="s">
        <v>48</v>
      </c>
      <c r="G52" s="45" t="s">
        <v>297</v>
      </c>
      <c r="H52" s="45"/>
      <c r="I52" s="45"/>
      <c r="J52" s="45"/>
      <c r="K52" s="57" t="s">
        <v>297</v>
      </c>
      <c r="L52" s="51"/>
    </row>
    <row r="53" ht="12.75" customHeight="1">
      <c r="A53" s="48"/>
      <c r="B53" s="48"/>
      <c r="C53" s="30" t="s">
        <v>298</v>
      </c>
      <c r="D53" s="31" t="s">
        <v>299</v>
      </c>
      <c r="E53" s="60"/>
      <c r="F53" s="42" t="s">
        <v>48</v>
      </c>
      <c r="G53" s="45" t="s">
        <v>48</v>
      </c>
      <c r="H53" s="45"/>
      <c r="I53" s="45"/>
      <c r="J53" s="45"/>
      <c r="K53" s="57" t="s">
        <v>48</v>
      </c>
      <c r="L53" s="51"/>
    </row>
    <row r="54" ht="12.75" customHeight="1">
      <c r="A54" s="48"/>
      <c r="B54" s="48"/>
      <c r="C54" s="30" t="s">
        <v>300</v>
      </c>
      <c r="D54" s="31" t="s">
        <v>301</v>
      </c>
      <c r="E54" s="60"/>
      <c r="F54" s="42" t="s">
        <v>48</v>
      </c>
      <c r="G54" s="45" t="s">
        <v>302</v>
      </c>
      <c r="H54" s="45"/>
      <c r="I54" s="45"/>
      <c r="J54" s="45"/>
      <c r="K54" s="57" t="s">
        <v>302</v>
      </c>
      <c r="L54" s="51"/>
    </row>
    <row r="55" ht="12.75" customHeight="1">
      <c r="A55" s="48"/>
      <c r="B55" s="48"/>
      <c r="C55" s="30" t="s">
        <v>303</v>
      </c>
      <c r="D55" s="31" t="s">
        <v>304</v>
      </c>
      <c r="E55" s="60"/>
      <c r="F55" s="42" t="s">
        <v>48</v>
      </c>
      <c r="G55" s="45" t="s">
        <v>305</v>
      </c>
      <c r="H55" s="45"/>
      <c r="I55" s="45"/>
      <c r="J55" s="45"/>
      <c r="K55" s="57" t="s">
        <v>305</v>
      </c>
      <c r="L55" s="51"/>
    </row>
    <row r="56" ht="12.75" customHeight="1">
      <c r="A56" s="48"/>
      <c r="B56" s="48"/>
      <c r="C56" s="30" t="s">
        <v>306</v>
      </c>
      <c r="D56" s="31" t="s">
        <v>307</v>
      </c>
      <c r="E56" s="60"/>
      <c r="F56" s="42" t="s">
        <v>48</v>
      </c>
      <c r="G56" s="45" t="s">
        <v>305</v>
      </c>
      <c r="H56" s="45"/>
      <c r="I56" s="45"/>
      <c r="J56" s="45"/>
      <c r="K56" s="57" t="s">
        <v>305</v>
      </c>
      <c r="L56" s="51"/>
    </row>
    <row r="57" ht="12.75" customHeight="1">
      <c r="A57" s="48"/>
      <c r="B57" s="48"/>
      <c r="C57" s="30" t="s">
        <v>308</v>
      </c>
      <c r="D57" s="31" t="s">
        <v>309</v>
      </c>
      <c r="E57" s="60"/>
      <c r="F57" s="42" t="s">
        <v>48</v>
      </c>
      <c r="G57" s="45" t="s">
        <v>305</v>
      </c>
      <c r="H57" s="45"/>
      <c r="I57" s="45"/>
      <c r="J57" s="45"/>
      <c r="K57" s="57" t="s">
        <v>305</v>
      </c>
      <c r="L57" s="51"/>
    </row>
    <row r="58" ht="12.75" customHeight="1">
      <c r="A58" s="48"/>
      <c r="B58" s="48"/>
      <c r="C58" s="30" t="s">
        <v>310</v>
      </c>
      <c r="D58" s="31" t="s">
        <v>311</v>
      </c>
      <c r="E58" s="60"/>
      <c r="F58" s="42" t="s">
        <v>101</v>
      </c>
      <c r="G58" s="45" t="s">
        <v>305</v>
      </c>
      <c r="H58" s="45"/>
      <c r="I58" s="45"/>
      <c r="J58" s="45"/>
      <c r="K58" s="57" t="s">
        <v>305</v>
      </c>
      <c r="L58" s="51"/>
    </row>
    <row r="59" ht="12.75" customHeight="1">
      <c r="A59" s="48"/>
      <c r="B59" s="48"/>
      <c r="C59" s="30" t="s">
        <v>312</v>
      </c>
      <c r="D59" s="31" t="s">
        <v>313</v>
      </c>
      <c r="E59" s="60"/>
      <c r="F59" s="42" t="s">
        <v>48</v>
      </c>
      <c r="G59" s="45" t="s">
        <v>305</v>
      </c>
      <c r="H59" s="45"/>
      <c r="I59" s="45"/>
      <c r="J59" s="45"/>
      <c r="K59" s="57" t="s">
        <v>305</v>
      </c>
      <c r="L59" s="51"/>
    </row>
    <row r="60" ht="12.75" customHeight="1">
      <c r="A60" s="39" t="s">
        <v>314</v>
      </c>
      <c r="B60" s="63" t="s">
        <v>315</v>
      </c>
      <c r="C60" s="39" t="s">
        <v>316</v>
      </c>
      <c r="D60" s="40" t="s">
        <v>317</v>
      </c>
      <c r="E60" s="60"/>
      <c r="F60" s="42" t="s">
        <v>45</v>
      </c>
      <c r="G60" s="45" t="s">
        <v>318</v>
      </c>
      <c r="H60" s="45"/>
      <c r="I60" s="45"/>
      <c r="J60" s="45"/>
      <c r="K60" s="57" t="s">
        <v>318</v>
      </c>
      <c r="L60" s="51"/>
    </row>
    <row r="61" ht="12.75" customHeight="1">
      <c r="A61" s="48"/>
      <c r="B61" s="48"/>
      <c r="C61" s="39" t="s">
        <v>319</v>
      </c>
      <c r="D61" s="40" t="s">
        <v>320</v>
      </c>
      <c r="E61" s="60"/>
      <c r="F61" s="42" t="s">
        <v>45</v>
      </c>
      <c r="G61" s="45" t="s">
        <v>318</v>
      </c>
      <c r="H61" s="45"/>
      <c r="I61" s="45"/>
      <c r="J61" s="45"/>
      <c r="K61" s="57" t="s">
        <v>318</v>
      </c>
      <c r="L61" s="51"/>
    </row>
    <row r="62" ht="12.75" customHeight="1">
      <c r="A62" s="39" t="s">
        <v>321</v>
      </c>
      <c r="B62" s="63" t="s">
        <v>322</v>
      </c>
      <c r="C62" s="39" t="s">
        <v>323</v>
      </c>
      <c r="D62" s="40" t="s">
        <v>324</v>
      </c>
      <c r="E62" s="60"/>
      <c r="F62" s="42" t="s">
        <v>101</v>
      </c>
      <c r="G62" s="45" t="s">
        <v>305</v>
      </c>
      <c r="H62" s="45"/>
      <c r="I62" s="45"/>
      <c r="J62" s="45"/>
      <c r="K62" s="57" t="s">
        <v>305</v>
      </c>
      <c r="L62" s="51"/>
    </row>
    <row r="63" ht="12.75" customHeight="1">
      <c r="A63" s="48"/>
      <c r="B63" s="48"/>
      <c r="C63" s="39" t="s">
        <v>325</v>
      </c>
      <c r="D63" s="40" t="s">
        <v>326</v>
      </c>
      <c r="E63" s="60"/>
      <c r="F63" s="42" t="s">
        <v>101</v>
      </c>
      <c r="G63" s="45" t="s">
        <v>305</v>
      </c>
      <c r="H63" s="45"/>
      <c r="I63" s="45"/>
      <c r="J63" s="45"/>
      <c r="K63" s="57" t="s">
        <v>305</v>
      </c>
      <c r="L63" s="51"/>
    </row>
    <row r="64" ht="12.75" customHeight="1">
      <c r="A64" s="48"/>
      <c r="B64" s="48"/>
      <c r="C64" s="39" t="s">
        <v>327</v>
      </c>
      <c r="D64" s="40" t="s">
        <v>328</v>
      </c>
      <c r="E64" s="60"/>
      <c r="F64" s="42" t="s">
        <v>101</v>
      </c>
      <c r="G64" s="45" t="s">
        <v>329</v>
      </c>
      <c r="H64" s="45"/>
      <c r="I64" s="45"/>
      <c r="J64" s="45"/>
      <c r="K64" s="57" t="s">
        <v>329</v>
      </c>
      <c r="L64" s="51"/>
    </row>
    <row r="65" ht="12.75" customHeight="1">
      <c r="A65" s="48"/>
      <c r="B65" s="48"/>
      <c r="C65" s="39" t="s">
        <v>330</v>
      </c>
      <c r="D65" s="40" t="s">
        <v>331</v>
      </c>
      <c r="E65" s="60"/>
      <c r="F65" s="42" t="s">
        <v>101</v>
      </c>
      <c r="G65" s="45" t="s">
        <v>329</v>
      </c>
      <c r="H65" s="45"/>
      <c r="I65" s="45"/>
      <c r="J65" s="45"/>
      <c r="K65" s="57" t="s">
        <v>329</v>
      </c>
      <c r="L65" s="51"/>
    </row>
    <row r="66" ht="12.75" customHeight="1">
      <c r="A66" s="48"/>
      <c r="B66" s="48"/>
      <c r="C66" s="39" t="s">
        <v>332</v>
      </c>
      <c r="D66" s="40" t="s">
        <v>333</v>
      </c>
      <c r="E66" s="60"/>
      <c r="F66" s="42" t="s">
        <v>101</v>
      </c>
      <c r="G66" s="45" t="s">
        <v>329</v>
      </c>
      <c r="H66" s="45"/>
      <c r="I66" s="45"/>
      <c r="J66" s="45"/>
      <c r="K66" s="57" t="s">
        <v>329</v>
      </c>
      <c r="L66" s="51"/>
    </row>
    <row r="67" ht="12.75" customHeight="1">
      <c r="A67" s="48"/>
      <c r="B67" s="48"/>
      <c r="C67" s="39" t="s">
        <v>334</v>
      </c>
      <c r="D67" s="40" t="s">
        <v>335</v>
      </c>
      <c r="E67" s="60"/>
      <c r="F67" s="42" t="s">
        <v>101</v>
      </c>
      <c r="G67" s="45" t="s">
        <v>276</v>
      </c>
      <c r="H67" s="45"/>
      <c r="I67" s="45"/>
      <c r="J67" s="45"/>
      <c r="K67" s="57" t="s">
        <v>276</v>
      </c>
      <c r="L67" s="51"/>
    </row>
    <row r="68" ht="12.75" customHeight="1">
      <c r="A68" s="48"/>
      <c r="B68" s="48"/>
      <c r="C68" s="39" t="s">
        <v>336</v>
      </c>
      <c r="D68" s="40" t="s">
        <v>337</v>
      </c>
      <c r="E68" s="60"/>
      <c r="F68" s="42" t="s">
        <v>101</v>
      </c>
      <c r="G68" s="45" t="s">
        <v>329</v>
      </c>
      <c r="H68" s="45"/>
      <c r="I68" s="45"/>
      <c r="J68" s="45"/>
      <c r="K68" s="57" t="s">
        <v>329</v>
      </c>
      <c r="L68" s="51"/>
    </row>
    <row r="69" ht="12.75" customHeight="1">
      <c r="A69" s="48"/>
      <c r="B69" s="48"/>
      <c r="C69" s="39" t="s">
        <v>338</v>
      </c>
      <c r="D69" s="40" t="s">
        <v>339</v>
      </c>
      <c r="E69" s="60"/>
      <c r="F69" s="42" t="s">
        <v>101</v>
      </c>
      <c r="G69" s="45" t="s">
        <v>329</v>
      </c>
      <c r="H69" s="45"/>
      <c r="I69" s="45"/>
      <c r="J69" s="45"/>
      <c r="K69" s="57" t="s">
        <v>329</v>
      </c>
      <c r="L69" s="51"/>
    </row>
    <row r="70" ht="12.75" customHeight="1">
      <c r="A70" s="48"/>
      <c r="B70" s="48"/>
      <c r="C70" s="39" t="s">
        <v>340</v>
      </c>
      <c r="D70" s="40" t="s">
        <v>341</v>
      </c>
      <c r="E70" s="60"/>
      <c r="F70" s="42" t="s">
        <v>101</v>
      </c>
      <c r="G70" s="45" t="s">
        <v>329</v>
      </c>
      <c r="H70" s="45"/>
      <c r="I70" s="45"/>
      <c r="J70" s="45"/>
      <c r="K70" s="57" t="s">
        <v>329</v>
      </c>
      <c r="L70" s="51"/>
    </row>
    <row r="71" ht="12.75" customHeight="1">
      <c r="A71" s="39" t="s">
        <v>342</v>
      </c>
      <c r="B71" s="63" t="s">
        <v>343</v>
      </c>
      <c r="C71" s="39" t="s">
        <v>344</v>
      </c>
      <c r="D71" s="62" t="s">
        <v>345</v>
      </c>
      <c r="E71" s="60"/>
      <c r="F71" s="42" t="s">
        <v>101</v>
      </c>
      <c r="G71" s="45" t="s">
        <v>329</v>
      </c>
      <c r="H71" s="45"/>
      <c r="I71" s="45"/>
      <c r="J71" s="45"/>
      <c r="K71" s="57" t="s">
        <v>329</v>
      </c>
      <c r="L71" s="51"/>
    </row>
    <row r="72" ht="12.75" customHeight="1">
      <c r="A72" s="48"/>
      <c r="B72" s="48"/>
      <c r="C72" s="39" t="s">
        <v>346</v>
      </c>
      <c r="D72" s="62" t="s">
        <v>347</v>
      </c>
      <c r="E72" s="60"/>
      <c r="F72" s="42" t="s">
        <v>101</v>
      </c>
      <c r="G72" s="45" t="s">
        <v>329</v>
      </c>
      <c r="H72" s="45"/>
      <c r="I72" s="45"/>
      <c r="J72" s="45"/>
      <c r="K72" s="57" t="s">
        <v>329</v>
      </c>
      <c r="L72" s="51"/>
    </row>
    <row r="73" ht="12.75" customHeight="1">
      <c r="A73" s="48"/>
      <c r="B73" s="48"/>
      <c r="C73" s="39" t="s">
        <v>348</v>
      </c>
      <c r="D73" s="40" t="s">
        <v>349</v>
      </c>
      <c r="E73" s="60"/>
      <c r="F73" s="42" t="s">
        <v>101</v>
      </c>
      <c r="G73" s="45" t="s">
        <v>329</v>
      </c>
      <c r="H73" s="45"/>
      <c r="I73" s="45"/>
      <c r="J73" s="45"/>
      <c r="K73" s="57" t="s">
        <v>329</v>
      </c>
      <c r="L73" s="51"/>
    </row>
    <row r="74" ht="12.75" customHeight="1">
      <c r="A74" s="48"/>
      <c r="B74" s="48"/>
      <c r="C74" s="39" t="s">
        <v>350</v>
      </c>
      <c r="D74" s="40" t="s">
        <v>351</v>
      </c>
      <c r="E74" s="60"/>
      <c r="F74" s="42" t="s">
        <v>101</v>
      </c>
      <c r="G74" s="45" t="s">
        <v>329</v>
      </c>
      <c r="H74" s="45"/>
      <c r="I74" s="45"/>
      <c r="J74" s="45"/>
      <c r="K74" s="57" t="s">
        <v>329</v>
      </c>
      <c r="L74" s="51"/>
    </row>
    <row r="75" ht="12.75" customHeight="1">
      <c r="A75" s="48"/>
      <c r="B75" s="48"/>
      <c r="C75" s="39" t="s">
        <v>352</v>
      </c>
      <c r="D75" s="40" t="s">
        <v>353</v>
      </c>
      <c r="E75" s="60"/>
      <c r="F75" s="42" t="s">
        <v>101</v>
      </c>
      <c r="G75" s="45" t="s">
        <v>329</v>
      </c>
      <c r="H75" s="45"/>
      <c r="I75" s="45"/>
      <c r="J75" s="45"/>
      <c r="K75" s="57" t="s">
        <v>329</v>
      </c>
      <c r="L75" s="51"/>
    </row>
    <row r="76" ht="12.75" customHeight="1">
      <c r="A76" s="48"/>
      <c r="B76" s="48"/>
      <c r="C76" s="39" t="s">
        <v>354</v>
      </c>
      <c r="D76" s="40" t="s">
        <v>355</v>
      </c>
      <c r="E76" s="60"/>
      <c r="F76" s="42" t="s">
        <v>101</v>
      </c>
      <c r="G76" s="45" t="s">
        <v>329</v>
      </c>
      <c r="H76" s="45"/>
      <c r="I76" s="45"/>
      <c r="J76" s="45"/>
      <c r="K76" s="57" t="s">
        <v>329</v>
      </c>
      <c r="L76" s="51"/>
    </row>
    <row r="77" ht="12.75" customHeight="1">
      <c r="A77" s="48"/>
      <c r="B77" s="48"/>
      <c r="C77" s="39" t="s">
        <v>356</v>
      </c>
      <c r="D77" s="40" t="s">
        <v>357</v>
      </c>
      <c r="E77" s="60"/>
      <c r="F77" s="42" t="s">
        <v>101</v>
      </c>
      <c r="G77" s="45" t="s">
        <v>329</v>
      </c>
      <c r="H77" s="45"/>
      <c r="I77" s="45"/>
      <c r="J77" s="45"/>
      <c r="K77" s="57" t="s">
        <v>329</v>
      </c>
      <c r="L77" s="51"/>
    </row>
    <row r="78" ht="12.75" customHeight="1">
      <c r="A78" s="37" t="s">
        <v>358</v>
      </c>
      <c r="B78" s="63" t="s">
        <v>359</v>
      </c>
      <c r="C78" s="39" t="s">
        <v>360</v>
      </c>
      <c r="D78" s="40" t="s">
        <v>361</v>
      </c>
      <c r="E78" s="60"/>
      <c r="F78" s="42" t="s">
        <v>101</v>
      </c>
      <c r="G78" s="45" t="s">
        <v>329</v>
      </c>
      <c r="H78" s="45"/>
      <c r="I78" s="45"/>
      <c r="J78" s="45"/>
      <c r="K78" s="57" t="s">
        <v>329</v>
      </c>
      <c r="L78" s="51"/>
    </row>
    <row r="79" ht="12.75" customHeight="1">
      <c r="A79" s="48"/>
      <c r="B79" s="48"/>
      <c r="C79" s="39" t="s">
        <v>362</v>
      </c>
      <c r="D79" s="40" t="s">
        <v>363</v>
      </c>
      <c r="E79" s="60"/>
      <c r="F79" s="42" t="s">
        <v>101</v>
      </c>
      <c r="G79" s="45" t="s">
        <v>329</v>
      </c>
      <c r="H79" s="45"/>
      <c r="I79" s="45"/>
      <c r="J79" s="45"/>
      <c r="K79" s="57" t="s">
        <v>329</v>
      </c>
      <c r="L79" s="51"/>
    </row>
    <row r="80" ht="12.75" customHeight="1">
      <c r="A80" s="48"/>
      <c r="B80" s="48"/>
      <c r="C80" s="39" t="s">
        <v>364</v>
      </c>
      <c r="D80" s="40" t="s">
        <v>365</v>
      </c>
      <c r="E80" s="60"/>
      <c r="F80" s="42" t="s">
        <v>101</v>
      </c>
      <c r="G80" s="45" t="s">
        <v>329</v>
      </c>
      <c r="H80" s="45"/>
      <c r="I80" s="45"/>
      <c r="J80" s="45"/>
      <c r="K80" s="57" t="s">
        <v>329</v>
      </c>
      <c r="L80" s="51"/>
    </row>
    <row r="81" ht="12.75" customHeight="1">
      <c r="A81" s="37" t="s">
        <v>366</v>
      </c>
      <c r="B81" s="63" t="s">
        <v>367</v>
      </c>
      <c r="C81" s="39" t="s">
        <v>368</v>
      </c>
      <c r="D81" s="40" t="s">
        <v>369</v>
      </c>
      <c r="E81" s="60"/>
      <c r="F81" s="42" t="s">
        <v>101</v>
      </c>
      <c r="G81" s="45" t="s">
        <v>370</v>
      </c>
      <c r="H81" s="45"/>
      <c r="I81" s="45"/>
      <c r="J81" s="45"/>
      <c r="K81" s="57" t="s">
        <v>370</v>
      </c>
      <c r="L81" s="51"/>
    </row>
    <row r="82" ht="12.75" customHeight="1">
      <c r="A82" s="48"/>
      <c r="B82" s="48"/>
      <c r="C82" s="39" t="s">
        <v>371</v>
      </c>
      <c r="D82" s="40" t="s">
        <v>372</v>
      </c>
      <c r="E82" s="60"/>
      <c r="F82" s="42" t="s">
        <v>101</v>
      </c>
      <c r="G82" s="45" t="s">
        <v>370</v>
      </c>
      <c r="H82" s="45"/>
      <c r="I82" s="45"/>
      <c r="J82" s="45"/>
      <c r="K82" s="57" t="s">
        <v>370</v>
      </c>
      <c r="L82" s="51"/>
    </row>
    <row r="83" ht="12.75" customHeight="1">
      <c r="A83" s="48"/>
      <c r="B83" s="48"/>
      <c r="C83" s="39" t="s">
        <v>373</v>
      </c>
      <c r="D83" s="40" t="s">
        <v>374</v>
      </c>
      <c r="E83" s="60"/>
      <c r="F83" s="42" t="s">
        <v>101</v>
      </c>
      <c r="G83" s="45" t="s">
        <v>370</v>
      </c>
      <c r="H83" s="45"/>
      <c r="I83" s="45"/>
      <c r="J83" s="45"/>
      <c r="K83" s="57" t="s">
        <v>370</v>
      </c>
      <c r="L83" s="47" t="s">
        <v>375</v>
      </c>
    </row>
    <row r="84" ht="12.75" customHeight="1">
      <c r="A84" s="48"/>
      <c r="B84" s="48"/>
      <c r="C84" s="39" t="s">
        <v>376</v>
      </c>
      <c r="D84" s="40" t="s">
        <v>377</v>
      </c>
      <c r="E84" s="60"/>
      <c r="F84" s="42" t="s">
        <v>101</v>
      </c>
      <c r="G84" s="45" t="s">
        <v>370</v>
      </c>
      <c r="H84" s="45"/>
      <c r="I84" s="45"/>
      <c r="J84" s="45"/>
      <c r="K84" s="57" t="s">
        <v>370</v>
      </c>
      <c r="L84" s="51"/>
    </row>
    <row r="85" ht="12.75" customHeight="1">
      <c r="A85" s="37" t="s">
        <v>378</v>
      </c>
      <c r="B85" s="63" t="s">
        <v>379</v>
      </c>
      <c r="C85" s="39" t="s">
        <v>380</v>
      </c>
      <c r="D85" s="40" t="s">
        <v>381</v>
      </c>
      <c r="E85" s="60"/>
      <c r="F85" s="42" t="s">
        <v>101</v>
      </c>
      <c r="G85" s="45" t="s">
        <v>382</v>
      </c>
      <c r="H85" s="45"/>
      <c r="I85" s="45"/>
      <c r="J85" s="45"/>
      <c r="K85" s="57" t="s">
        <v>382</v>
      </c>
      <c r="L85" s="51"/>
    </row>
    <row r="86" ht="12.75" customHeight="1">
      <c r="A86" s="48"/>
      <c r="B86" s="48"/>
      <c r="C86" s="39" t="s">
        <v>383</v>
      </c>
      <c r="D86" s="40" t="s">
        <v>384</v>
      </c>
      <c r="E86" s="60"/>
      <c r="F86" s="42" t="s">
        <v>101</v>
      </c>
      <c r="G86" s="45" t="s">
        <v>382</v>
      </c>
      <c r="H86" s="45"/>
      <c r="I86" s="45"/>
      <c r="J86" s="45"/>
      <c r="K86" s="57" t="s">
        <v>382</v>
      </c>
      <c r="L86" s="51"/>
    </row>
    <row r="87" ht="12.75" customHeight="1">
      <c r="A87" s="48"/>
      <c r="B87" s="48"/>
      <c r="C87" s="39" t="s">
        <v>385</v>
      </c>
      <c r="D87" s="40" t="s">
        <v>386</v>
      </c>
      <c r="E87" s="60"/>
      <c r="F87" s="42" t="s">
        <v>101</v>
      </c>
      <c r="G87" s="45" t="s">
        <v>382</v>
      </c>
      <c r="H87" s="45"/>
      <c r="I87" s="45"/>
      <c r="J87" s="45"/>
      <c r="K87" s="57" t="s">
        <v>382</v>
      </c>
      <c r="L87" s="51"/>
    </row>
    <row r="88" ht="12.75" customHeight="1">
      <c r="A88" s="48"/>
      <c r="B88" s="48"/>
      <c r="C88" s="39" t="s">
        <v>387</v>
      </c>
      <c r="D88" s="40" t="s">
        <v>388</v>
      </c>
      <c r="E88" s="60"/>
      <c r="F88" s="42" t="s">
        <v>101</v>
      </c>
      <c r="G88" s="45" t="s">
        <v>382</v>
      </c>
      <c r="H88" s="45"/>
      <c r="I88" s="45"/>
      <c r="J88" s="45"/>
      <c r="K88" s="57" t="s">
        <v>382</v>
      </c>
      <c r="L88" s="51"/>
    </row>
    <row r="89" ht="12.75" customHeight="1">
      <c r="A89" s="48"/>
      <c r="B89" s="48"/>
      <c r="C89" s="39" t="s">
        <v>389</v>
      </c>
      <c r="D89" s="40" t="s">
        <v>390</v>
      </c>
      <c r="E89" s="60"/>
      <c r="F89" s="42" t="s">
        <v>101</v>
      </c>
      <c r="G89" s="45" t="s">
        <v>329</v>
      </c>
      <c r="H89" s="45"/>
      <c r="I89" s="45"/>
      <c r="J89" s="45"/>
      <c r="K89" s="57" t="s">
        <v>329</v>
      </c>
      <c r="L89" s="51"/>
    </row>
    <row r="90" ht="12.75" customHeight="1">
      <c r="A90" s="48"/>
      <c r="B90" s="48"/>
      <c r="C90" s="39" t="s">
        <v>391</v>
      </c>
      <c r="D90" s="40" t="s">
        <v>392</v>
      </c>
      <c r="E90" s="60"/>
      <c r="F90" s="42" t="s">
        <v>101</v>
      </c>
      <c r="G90" s="45" t="s">
        <v>382</v>
      </c>
      <c r="H90" s="45"/>
      <c r="I90" s="45"/>
      <c r="J90" s="45"/>
      <c r="K90" s="57" t="s">
        <v>382</v>
      </c>
      <c r="L90" s="51"/>
    </row>
    <row r="91" ht="12.75" customHeight="1">
      <c r="A91" s="37" t="s">
        <v>393</v>
      </c>
      <c r="B91" s="63" t="s">
        <v>394</v>
      </c>
      <c r="C91" s="39" t="s">
        <v>395</v>
      </c>
      <c r="D91" s="40" t="s">
        <v>396</v>
      </c>
      <c r="E91" s="60"/>
      <c r="F91" s="42" t="s">
        <v>101</v>
      </c>
      <c r="G91" s="45" t="s">
        <v>397</v>
      </c>
      <c r="H91" s="45"/>
      <c r="I91" s="45"/>
      <c r="J91" s="45"/>
      <c r="K91" s="57" t="s">
        <v>397</v>
      </c>
      <c r="L91" s="51"/>
    </row>
    <row r="92" ht="12.75" customHeight="1">
      <c r="A92" s="48"/>
      <c r="B92" s="48"/>
      <c r="C92" s="39" t="s">
        <v>398</v>
      </c>
      <c r="D92" s="40" t="s">
        <v>399</v>
      </c>
      <c r="E92" s="60"/>
      <c r="F92" s="42" t="s">
        <v>101</v>
      </c>
      <c r="G92" s="45" t="s">
        <v>397</v>
      </c>
      <c r="H92" s="45"/>
      <c r="I92" s="45"/>
      <c r="J92" s="45"/>
      <c r="K92" s="57" t="s">
        <v>397</v>
      </c>
      <c r="L92" s="51"/>
    </row>
    <row r="93" ht="12.75" customHeight="1">
      <c r="A93" s="48"/>
      <c r="B93" s="48"/>
      <c r="C93" s="39" t="s">
        <v>400</v>
      </c>
      <c r="D93" s="62" t="s">
        <v>401</v>
      </c>
      <c r="E93" s="60"/>
      <c r="F93" s="42" t="s">
        <v>101</v>
      </c>
      <c r="G93" s="45" t="s">
        <v>397</v>
      </c>
      <c r="H93" s="45"/>
      <c r="I93" s="45"/>
      <c r="J93" s="45"/>
      <c r="K93" s="57" t="s">
        <v>397</v>
      </c>
      <c r="L93" s="51"/>
    </row>
    <row r="94" ht="12.75" customHeight="1">
      <c r="A94" s="48"/>
      <c r="B94" s="48"/>
      <c r="C94" s="39" t="s">
        <v>402</v>
      </c>
      <c r="D94" s="40" t="s">
        <v>403</v>
      </c>
      <c r="E94" s="60"/>
      <c r="F94" s="42" t="s">
        <v>101</v>
      </c>
      <c r="G94" s="45" t="s">
        <v>397</v>
      </c>
      <c r="H94" s="45"/>
      <c r="I94" s="45"/>
      <c r="J94" s="45"/>
      <c r="K94" s="57" t="s">
        <v>397</v>
      </c>
      <c r="L94" s="51"/>
    </row>
    <row r="95" ht="12.75" customHeight="1">
      <c r="A95" s="37" t="s">
        <v>404</v>
      </c>
      <c r="B95" s="63" t="s">
        <v>405</v>
      </c>
      <c r="C95" s="39" t="s">
        <v>406</v>
      </c>
      <c r="D95" s="40" t="s">
        <v>407</v>
      </c>
      <c r="E95" s="60"/>
      <c r="F95" s="42" t="s">
        <v>101</v>
      </c>
      <c r="G95" s="45" t="s">
        <v>329</v>
      </c>
      <c r="H95" s="45"/>
      <c r="I95" s="45"/>
      <c r="J95" s="45"/>
      <c r="K95" s="57" t="s">
        <v>329</v>
      </c>
      <c r="L95" s="51"/>
    </row>
    <row r="96" ht="12.75" customHeight="1">
      <c r="A96" s="48"/>
      <c r="B96" s="48"/>
      <c r="C96" s="39" t="s">
        <v>408</v>
      </c>
      <c r="D96" s="40" t="s">
        <v>409</v>
      </c>
      <c r="E96" s="60"/>
      <c r="F96" s="42" t="s">
        <v>101</v>
      </c>
      <c r="G96" s="45" t="s">
        <v>329</v>
      </c>
      <c r="H96" s="45"/>
      <c r="I96" s="45"/>
      <c r="J96" s="45"/>
      <c r="K96" s="57" t="s">
        <v>329</v>
      </c>
      <c r="L96" s="51"/>
    </row>
    <row r="97" ht="12.75" customHeight="1">
      <c r="A97" s="48"/>
      <c r="B97" s="48"/>
      <c r="C97" s="39" t="s">
        <v>410</v>
      </c>
      <c r="D97" s="40" t="s">
        <v>411</v>
      </c>
      <c r="E97" s="60"/>
      <c r="F97" s="42" t="s">
        <v>101</v>
      </c>
      <c r="G97" s="45" t="s">
        <v>329</v>
      </c>
      <c r="H97" s="45"/>
      <c r="I97" s="45"/>
      <c r="J97" s="45"/>
      <c r="K97" s="57" t="s">
        <v>329</v>
      </c>
      <c r="L97" s="51"/>
    </row>
    <row r="98" ht="12.75" customHeight="1">
      <c r="A98" s="48"/>
      <c r="B98" s="48"/>
      <c r="C98" s="39" t="s">
        <v>412</v>
      </c>
      <c r="D98" s="40" t="s">
        <v>413</v>
      </c>
      <c r="E98" s="60"/>
      <c r="F98" s="42" t="s">
        <v>101</v>
      </c>
      <c r="G98" s="45" t="s">
        <v>329</v>
      </c>
      <c r="H98" s="45"/>
      <c r="I98" s="45"/>
      <c r="J98" s="45"/>
      <c r="K98" s="57" t="s">
        <v>329</v>
      </c>
      <c r="L98" s="51"/>
    </row>
    <row r="99" ht="12.75" customHeight="1">
      <c r="A99" s="37" t="s">
        <v>414</v>
      </c>
      <c r="B99" s="63" t="s">
        <v>415</v>
      </c>
      <c r="C99" s="39" t="s">
        <v>416</v>
      </c>
      <c r="D99" s="40" t="s">
        <v>417</v>
      </c>
      <c r="E99" s="60"/>
      <c r="F99" s="42" t="s">
        <v>101</v>
      </c>
      <c r="G99" s="45" t="s">
        <v>329</v>
      </c>
      <c r="H99" s="45"/>
      <c r="I99" s="45"/>
      <c r="J99" s="45"/>
      <c r="K99" s="57" t="s">
        <v>329</v>
      </c>
      <c r="L99" s="51"/>
    </row>
    <row r="100" ht="12.75" customHeight="1">
      <c r="A100" s="48"/>
      <c r="B100" s="48"/>
      <c r="C100" s="39" t="s">
        <v>418</v>
      </c>
      <c r="D100" s="40" t="s">
        <v>419</v>
      </c>
      <c r="E100" s="60"/>
      <c r="F100" s="42" t="s">
        <v>101</v>
      </c>
      <c r="G100" s="45" t="s">
        <v>329</v>
      </c>
      <c r="H100" s="45"/>
      <c r="I100" s="45"/>
      <c r="J100" s="45"/>
      <c r="K100" s="57" t="s">
        <v>329</v>
      </c>
      <c r="L100" s="51"/>
    </row>
    <row r="101" ht="12.75" customHeight="1">
      <c r="A101" s="37" t="s">
        <v>420</v>
      </c>
      <c r="B101" s="63" t="s">
        <v>421</v>
      </c>
      <c r="C101" s="39" t="s">
        <v>422</v>
      </c>
      <c r="D101" s="40" t="s">
        <v>423</v>
      </c>
      <c r="E101" s="60"/>
      <c r="F101" s="42" t="s">
        <v>101</v>
      </c>
      <c r="G101" s="45" t="s">
        <v>329</v>
      </c>
      <c r="H101" s="45"/>
      <c r="I101" s="45"/>
      <c r="J101" s="45"/>
      <c r="K101" s="57" t="s">
        <v>329</v>
      </c>
      <c r="L101" s="51"/>
    </row>
    <row r="102" ht="12.75" customHeight="1">
      <c r="C102" s="75"/>
    </row>
    <row r="103" ht="12.75" customHeight="1">
      <c r="C103" s="75"/>
      <c r="L103" s="76"/>
    </row>
    <row r="104" ht="12.75" customHeight="1">
      <c r="C104" s="75"/>
      <c r="D104" s="23" t="s">
        <v>424</v>
      </c>
      <c r="E104" s="23"/>
      <c r="L104" s="23" t="s">
        <v>425</v>
      </c>
    </row>
    <row r="105" ht="12.75" customHeight="1">
      <c r="C105" s="75"/>
      <c r="D105" s="23" t="s">
        <v>426</v>
      </c>
      <c r="E105" s="23"/>
      <c r="L105" s="61" t="s">
        <v>427</v>
      </c>
    </row>
    <row r="106" ht="12.75" customHeight="1">
      <c r="C106" s="75"/>
      <c r="D106" s="23" t="s">
        <v>428</v>
      </c>
      <c r="E106" s="23"/>
      <c r="L106" s="23" t="s">
        <v>429</v>
      </c>
    </row>
    <row r="107" ht="12.75" customHeight="1">
      <c r="C107" s="75"/>
      <c r="D107" s="23" t="s">
        <v>430</v>
      </c>
      <c r="E107" s="23"/>
      <c r="L107" s="23" t="s">
        <v>431</v>
      </c>
    </row>
    <row r="108" ht="12.75" customHeight="1">
      <c r="C108" s="75"/>
    </row>
    <row r="109" ht="12.75" customHeight="1">
      <c r="C109" s="75"/>
      <c r="D109" s="23" t="s">
        <v>432</v>
      </c>
      <c r="E109" s="23"/>
      <c r="L109" s="23" t="s">
        <v>433</v>
      </c>
    </row>
    <row r="110" ht="12.75" customHeight="1">
      <c r="C110" s="75"/>
      <c r="D110" s="23" t="s">
        <v>434</v>
      </c>
      <c r="E110" s="23"/>
      <c r="L110" s="23" t="s">
        <v>435</v>
      </c>
    </row>
    <row r="111" ht="12.75" customHeight="1">
      <c r="C111" s="75"/>
      <c r="D111" s="23" t="s">
        <v>436</v>
      </c>
      <c r="E111" s="23"/>
      <c r="L111" s="23" t="s">
        <v>437</v>
      </c>
    </row>
    <row r="112" ht="12.75" customHeight="1">
      <c r="C112" s="75"/>
      <c r="D112" s="23" t="s">
        <v>438</v>
      </c>
      <c r="E112" s="23"/>
      <c r="L112" s="23" t="s">
        <v>439</v>
      </c>
    </row>
    <row r="113" ht="12.75" customHeight="1">
      <c r="C113" s="75"/>
      <c r="L113" s="23" t="s">
        <v>440</v>
      </c>
    </row>
    <row r="114" ht="12.75" customHeight="1">
      <c r="C114" s="75"/>
      <c r="L114" s="23" t="s">
        <v>441</v>
      </c>
    </row>
    <row r="115" ht="12.75" customHeight="1">
      <c r="C115" s="75"/>
      <c r="L115" s="23" t="s">
        <v>442</v>
      </c>
    </row>
    <row r="116" ht="12.75" customHeight="1">
      <c r="C116" s="75"/>
      <c r="L116" s="23" t="s">
        <v>443</v>
      </c>
    </row>
    <row r="117" ht="12.75" customHeight="1">
      <c r="C117" s="75"/>
      <c r="L117" s="23" t="s">
        <v>444</v>
      </c>
    </row>
    <row r="118" ht="12.75" customHeight="1">
      <c r="C118" s="75"/>
    </row>
    <row r="119" ht="12.75" customHeight="1">
      <c r="C119" s="75"/>
    </row>
    <row r="120" ht="12.75" customHeight="1">
      <c r="C120" s="75"/>
    </row>
    <row r="121" ht="12.75" customHeight="1">
      <c r="C121" s="75"/>
    </row>
    <row r="122" ht="12.75" customHeight="1">
      <c r="C122" s="75"/>
    </row>
    <row r="123" ht="12.75" customHeight="1">
      <c r="C123" s="75"/>
    </row>
    <row r="124" ht="12.75" customHeight="1">
      <c r="C124" s="75"/>
    </row>
    <row r="125" ht="12.75" customHeight="1">
      <c r="C125" s="75"/>
    </row>
    <row r="126" ht="12.75" customHeight="1">
      <c r="C126" s="75"/>
    </row>
    <row r="127" ht="12.75" customHeight="1">
      <c r="C127" s="75"/>
    </row>
    <row r="128" ht="12.75" customHeight="1">
      <c r="C128" s="75"/>
    </row>
    <row r="129" ht="12.75" customHeight="1">
      <c r="C129" s="75"/>
    </row>
    <row r="130" ht="12.75" customHeight="1">
      <c r="C130" s="75"/>
    </row>
    <row r="131" ht="12.75" customHeight="1">
      <c r="C131" s="75"/>
    </row>
    <row r="132" ht="12.75" customHeight="1">
      <c r="C132" s="75"/>
    </row>
    <row r="133" ht="12.75" customHeight="1">
      <c r="C133" s="75"/>
    </row>
    <row r="134" ht="12.75" customHeight="1">
      <c r="C134" s="75"/>
    </row>
    <row r="135" ht="12.75" customHeight="1">
      <c r="C135" s="75"/>
    </row>
    <row r="136" ht="12.75" customHeight="1">
      <c r="C136" s="75"/>
    </row>
    <row r="137" ht="12.75" customHeight="1">
      <c r="C137" s="75"/>
    </row>
    <row r="138" ht="12.75" customHeight="1">
      <c r="C138" s="75"/>
    </row>
    <row r="139" ht="12.75" customHeight="1">
      <c r="C139" s="75"/>
    </row>
    <row r="140" ht="12.75" customHeight="1">
      <c r="C140" s="75"/>
    </row>
    <row r="141" ht="12.75" customHeight="1">
      <c r="C141" s="75"/>
    </row>
    <row r="142" ht="12.75" customHeight="1">
      <c r="C142" s="75"/>
    </row>
    <row r="143" ht="12.75" customHeight="1">
      <c r="C143" s="75"/>
    </row>
    <row r="144" ht="12.75" customHeight="1">
      <c r="C144" s="75"/>
    </row>
    <row r="145" ht="12.75" customHeight="1">
      <c r="C145" s="75"/>
    </row>
    <row r="146" ht="12.75" customHeight="1">
      <c r="C146" s="75"/>
    </row>
    <row r="147" ht="12.75" customHeight="1">
      <c r="C147" s="75"/>
    </row>
    <row r="148" ht="12.75" customHeight="1">
      <c r="C148" s="75"/>
    </row>
    <row r="149" ht="12.75" customHeight="1">
      <c r="C149" s="75"/>
    </row>
    <row r="150" ht="12.75" customHeight="1">
      <c r="C150" s="75"/>
    </row>
    <row r="151" ht="12.75" customHeight="1">
      <c r="C151" s="75"/>
    </row>
    <row r="152" ht="12.75" customHeight="1">
      <c r="C152" s="75"/>
    </row>
    <row r="153" ht="12.75" customHeight="1">
      <c r="C153" s="75"/>
    </row>
    <row r="154" ht="12.75" customHeight="1">
      <c r="C154" s="75"/>
    </row>
    <row r="155" ht="12.75" customHeight="1">
      <c r="C155" s="75"/>
    </row>
    <row r="156" ht="12.75" customHeight="1">
      <c r="C156" s="75"/>
    </row>
    <row r="157" ht="12.75" customHeight="1">
      <c r="C157" s="75"/>
    </row>
    <row r="158" ht="12.75" customHeight="1">
      <c r="C158" s="75"/>
    </row>
    <row r="159" ht="12.75" customHeight="1">
      <c r="C159" s="75"/>
    </row>
    <row r="160" ht="12.75" customHeight="1">
      <c r="C160" s="75"/>
    </row>
    <row r="161" ht="12.75" customHeight="1">
      <c r="C161" s="75"/>
    </row>
    <row r="162" ht="12.75" customHeight="1">
      <c r="C162" s="75"/>
    </row>
    <row r="163" ht="12.75" customHeight="1">
      <c r="C163" s="75"/>
    </row>
    <row r="164" ht="12.75" customHeight="1">
      <c r="C164" s="75"/>
    </row>
    <row r="165" ht="12.75" customHeight="1">
      <c r="C165" s="75"/>
    </row>
    <row r="166" ht="12.75" customHeight="1">
      <c r="C166" s="75"/>
    </row>
    <row r="167" ht="12.75" customHeight="1">
      <c r="C167" s="75"/>
    </row>
    <row r="168" ht="12.75" customHeight="1">
      <c r="C168" s="75"/>
    </row>
    <row r="169" ht="12.75" customHeight="1">
      <c r="C169" s="75"/>
    </row>
    <row r="170" ht="12.75" customHeight="1">
      <c r="C170" s="75"/>
    </row>
    <row r="171" ht="12.75" customHeight="1">
      <c r="C171" s="75"/>
    </row>
    <row r="172" ht="12.75" customHeight="1">
      <c r="C172" s="75"/>
    </row>
    <row r="173" ht="12.75" customHeight="1">
      <c r="C173" s="75"/>
    </row>
    <row r="174" ht="12.75" customHeight="1">
      <c r="C174" s="75"/>
    </row>
    <row r="175" ht="12.75" customHeight="1">
      <c r="C175" s="75"/>
    </row>
    <row r="176" ht="12.75" customHeight="1">
      <c r="C176" s="75"/>
    </row>
    <row r="177" ht="12.75" customHeight="1">
      <c r="C177" s="75"/>
    </row>
    <row r="178" ht="12.75" customHeight="1">
      <c r="C178" s="75"/>
    </row>
    <row r="179" ht="12.75" customHeight="1">
      <c r="C179" s="75"/>
    </row>
    <row r="180" ht="12.75" customHeight="1">
      <c r="C180" s="75"/>
    </row>
    <row r="181" ht="12.75" customHeight="1">
      <c r="C181" s="75"/>
    </row>
    <row r="182" ht="12.75" customHeight="1">
      <c r="C182" s="75"/>
    </row>
    <row r="183" ht="12.75" customHeight="1">
      <c r="C183" s="75"/>
    </row>
    <row r="184" ht="12.75" customHeight="1">
      <c r="C184" s="75"/>
    </row>
    <row r="185" ht="12.75" customHeight="1">
      <c r="C185" s="75"/>
    </row>
    <row r="186" ht="12.75" customHeight="1">
      <c r="C186" s="75"/>
    </row>
    <row r="187" ht="12.75" customHeight="1">
      <c r="C187" s="75"/>
    </row>
    <row r="188" ht="12.75" customHeight="1">
      <c r="C188" s="75"/>
    </row>
    <row r="189" ht="12.75" customHeight="1">
      <c r="C189" s="75"/>
    </row>
    <row r="190" ht="12.75" customHeight="1">
      <c r="C190" s="75"/>
    </row>
    <row r="191" ht="12.75" customHeight="1">
      <c r="C191" s="75"/>
    </row>
    <row r="192" ht="12.75" customHeight="1">
      <c r="C192" s="75"/>
    </row>
    <row r="193" ht="12.75" customHeight="1">
      <c r="C193" s="75"/>
    </row>
    <row r="194" ht="12.75" customHeight="1">
      <c r="C194" s="75"/>
    </row>
    <row r="195" ht="12.75" customHeight="1">
      <c r="C195" s="75"/>
    </row>
    <row r="196" ht="12.75" customHeight="1">
      <c r="C196" s="75"/>
    </row>
    <row r="197" ht="12.75" customHeight="1">
      <c r="C197" s="75"/>
    </row>
    <row r="198" ht="12.75" customHeight="1">
      <c r="C198" s="75"/>
    </row>
    <row r="199" ht="12.75" customHeight="1">
      <c r="C199" s="75"/>
    </row>
    <row r="200" ht="12.75" customHeight="1">
      <c r="C200" s="75"/>
    </row>
    <row r="201" ht="12.75" customHeight="1">
      <c r="C201" s="75"/>
    </row>
    <row r="202" ht="12.75" customHeight="1">
      <c r="C202" s="75"/>
    </row>
    <row r="203" ht="12.75" customHeight="1">
      <c r="C203" s="75"/>
    </row>
    <row r="204" ht="12.75" customHeight="1">
      <c r="C204" s="75"/>
    </row>
    <row r="205" ht="12.75" customHeight="1">
      <c r="C205" s="75"/>
    </row>
    <row r="206" ht="12.75" customHeight="1">
      <c r="C206" s="75"/>
    </row>
    <row r="207" ht="12.75" customHeight="1">
      <c r="C207" s="75"/>
    </row>
    <row r="208" ht="12.75" customHeight="1">
      <c r="C208" s="75"/>
    </row>
    <row r="209" ht="12.75" customHeight="1">
      <c r="C209" s="75"/>
    </row>
    <row r="210" ht="12.75" customHeight="1">
      <c r="C210" s="75"/>
    </row>
    <row r="211" ht="12.75" customHeight="1">
      <c r="C211" s="75"/>
    </row>
    <row r="212" ht="12.75" customHeight="1">
      <c r="C212" s="75"/>
    </row>
    <row r="213" ht="12.75" customHeight="1">
      <c r="C213" s="75"/>
    </row>
    <row r="214" ht="12.75" customHeight="1">
      <c r="C214" s="75"/>
    </row>
    <row r="215" ht="12.75" customHeight="1">
      <c r="C215" s="75"/>
    </row>
    <row r="216" ht="12.75" customHeight="1">
      <c r="C216" s="75"/>
    </row>
    <row r="217" ht="12.75" customHeight="1">
      <c r="C217" s="75"/>
    </row>
    <row r="218" ht="12.75" customHeight="1">
      <c r="C218" s="75"/>
    </row>
    <row r="219" ht="12.75" customHeight="1">
      <c r="C219" s="75"/>
    </row>
    <row r="220" ht="12.75" customHeight="1">
      <c r="C220" s="75"/>
    </row>
    <row r="221" ht="12.75" customHeight="1">
      <c r="C221" s="75"/>
    </row>
    <row r="222" ht="12.75" customHeight="1">
      <c r="C222" s="75"/>
    </row>
    <row r="223" ht="12.75" customHeight="1">
      <c r="C223" s="75"/>
    </row>
    <row r="224" ht="12.75" customHeight="1">
      <c r="C224" s="75"/>
    </row>
    <row r="225" ht="12.75" customHeight="1">
      <c r="C225" s="75"/>
    </row>
    <row r="226" ht="12.75" customHeight="1">
      <c r="C226" s="75"/>
    </row>
    <row r="227" ht="12.75" customHeight="1">
      <c r="C227" s="75"/>
    </row>
    <row r="228" ht="12.75" customHeight="1">
      <c r="C228" s="75"/>
    </row>
    <row r="229" ht="12.75" customHeight="1">
      <c r="C229" s="75"/>
    </row>
    <row r="230" ht="12.75" customHeight="1">
      <c r="C230" s="75"/>
    </row>
    <row r="231" ht="12.75" customHeight="1">
      <c r="C231" s="75"/>
    </row>
    <row r="232" ht="12.75" customHeight="1">
      <c r="C232" s="75"/>
    </row>
    <row r="233" ht="12.75" customHeight="1">
      <c r="C233" s="75"/>
    </row>
    <row r="234" ht="12.75" customHeight="1">
      <c r="C234" s="75"/>
    </row>
    <row r="235" ht="12.75" customHeight="1">
      <c r="C235" s="75"/>
    </row>
    <row r="236" ht="12.75" customHeight="1">
      <c r="C236" s="75"/>
    </row>
    <row r="237" ht="12.75" customHeight="1">
      <c r="C237" s="75"/>
    </row>
    <row r="238" ht="12.75" customHeight="1">
      <c r="C238" s="75"/>
    </row>
    <row r="239" ht="12.75" customHeight="1">
      <c r="C239" s="75"/>
    </row>
    <row r="240" ht="12.75" customHeight="1">
      <c r="C240" s="75"/>
    </row>
    <row r="241" ht="12.75" customHeight="1">
      <c r="C241" s="75"/>
    </row>
    <row r="242" ht="12.75" customHeight="1">
      <c r="C242" s="75"/>
    </row>
    <row r="243" ht="12.75" customHeight="1">
      <c r="C243" s="75"/>
    </row>
    <row r="244" ht="12.75" customHeight="1">
      <c r="C244" s="75"/>
    </row>
    <row r="245" ht="12.75" customHeight="1">
      <c r="C245" s="75"/>
    </row>
    <row r="246" ht="12.75" customHeight="1">
      <c r="C246" s="75"/>
    </row>
    <row r="247" ht="12.75" customHeight="1">
      <c r="C247" s="75"/>
    </row>
    <row r="248" ht="12.75" customHeight="1">
      <c r="C248" s="75"/>
    </row>
    <row r="249" ht="12.75" customHeight="1">
      <c r="C249" s="75"/>
    </row>
    <row r="250" ht="12.75" customHeight="1">
      <c r="C250" s="75"/>
    </row>
    <row r="251" ht="12.75" customHeight="1">
      <c r="C251" s="75"/>
    </row>
    <row r="252" ht="12.75" customHeight="1">
      <c r="C252" s="75"/>
    </row>
    <row r="253" ht="12.75" customHeight="1">
      <c r="C253" s="75"/>
    </row>
    <row r="254" ht="12.75" customHeight="1">
      <c r="C254" s="75"/>
    </row>
    <row r="255" ht="12.75" customHeight="1">
      <c r="C255" s="75"/>
    </row>
    <row r="256" ht="12.75" customHeight="1">
      <c r="C256" s="75"/>
    </row>
    <row r="257" ht="12.75" customHeight="1">
      <c r="C257" s="75"/>
    </row>
    <row r="258" ht="12.75" customHeight="1">
      <c r="C258" s="75"/>
    </row>
    <row r="259" ht="12.75" customHeight="1">
      <c r="C259" s="75"/>
    </row>
    <row r="260" ht="12.75" customHeight="1">
      <c r="C260" s="75"/>
    </row>
    <row r="261" ht="12.75" customHeight="1">
      <c r="C261" s="75"/>
    </row>
    <row r="262" ht="12.75" customHeight="1">
      <c r="C262" s="75"/>
    </row>
    <row r="263" ht="12.75" customHeight="1">
      <c r="C263" s="75"/>
    </row>
    <row r="264" ht="12.75" customHeight="1">
      <c r="C264" s="75"/>
    </row>
    <row r="265" ht="12.75" customHeight="1">
      <c r="C265" s="75"/>
    </row>
    <row r="266" ht="12.75" customHeight="1">
      <c r="C266" s="75"/>
    </row>
    <row r="267" ht="12.75" customHeight="1">
      <c r="C267" s="75"/>
    </row>
    <row r="268" ht="12.75" customHeight="1">
      <c r="C268" s="75"/>
    </row>
    <row r="269" ht="12.75" customHeight="1">
      <c r="C269" s="75"/>
    </row>
    <row r="270" ht="12.75" customHeight="1">
      <c r="C270" s="75"/>
    </row>
    <row r="271" ht="12.75" customHeight="1">
      <c r="C271" s="75"/>
    </row>
    <row r="272" ht="12.75" customHeight="1">
      <c r="C272" s="75"/>
    </row>
    <row r="273" ht="12.75" customHeight="1">
      <c r="C273" s="75"/>
    </row>
    <row r="274" ht="12.75" customHeight="1">
      <c r="C274" s="75"/>
    </row>
    <row r="275" ht="12.75" customHeight="1">
      <c r="C275" s="75"/>
    </row>
    <row r="276" ht="12.75" customHeight="1">
      <c r="C276" s="75"/>
    </row>
    <row r="277" ht="12.75" customHeight="1">
      <c r="C277" s="75"/>
    </row>
    <row r="278" ht="12.75" customHeight="1">
      <c r="C278" s="75"/>
    </row>
    <row r="279" ht="12.75" customHeight="1">
      <c r="C279" s="75"/>
    </row>
    <row r="280" ht="12.75" customHeight="1">
      <c r="C280" s="75"/>
    </row>
    <row r="281" ht="12.75" customHeight="1">
      <c r="C281" s="75"/>
    </row>
    <row r="282" ht="12.75" customHeight="1">
      <c r="C282" s="75"/>
    </row>
    <row r="283" ht="12.75" customHeight="1">
      <c r="C283" s="75"/>
    </row>
    <row r="284" ht="12.75" customHeight="1">
      <c r="C284" s="75"/>
    </row>
    <row r="285" ht="12.75" customHeight="1">
      <c r="C285" s="75"/>
    </row>
    <row r="286" ht="12.75" customHeight="1">
      <c r="C286" s="75"/>
    </row>
    <row r="287" ht="12.75" customHeight="1">
      <c r="C287" s="75"/>
    </row>
    <row r="288" ht="12.75" customHeight="1">
      <c r="C288" s="75"/>
    </row>
    <row r="289" ht="12.75" customHeight="1">
      <c r="C289" s="75"/>
    </row>
    <row r="290" ht="12.75" customHeight="1">
      <c r="C290" s="75"/>
    </row>
    <row r="291" ht="12.75" customHeight="1">
      <c r="C291" s="75"/>
    </row>
    <row r="292" ht="12.75" customHeight="1">
      <c r="C292" s="75"/>
    </row>
    <row r="293" ht="12.75" customHeight="1">
      <c r="C293" s="75"/>
    </row>
    <row r="294" ht="12.75" customHeight="1">
      <c r="C294" s="75"/>
    </row>
    <row r="295" ht="12.75" customHeight="1">
      <c r="C295" s="75"/>
    </row>
    <row r="296" ht="12.75" customHeight="1">
      <c r="C296" s="75"/>
    </row>
    <row r="297" ht="12.75" customHeight="1">
      <c r="C297" s="75"/>
    </row>
    <row r="298" ht="12.75" customHeight="1">
      <c r="C298" s="75"/>
    </row>
    <row r="299" ht="12.75" customHeight="1">
      <c r="C299" s="75"/>
    </row>
    <row r="300" ht="12.75" customHeight="1">
      <c r="C300" s="75"/>
    </row>
    <row r="301" ht="12.75" customHeight="1">
      <c r="C301" s="75"/>
    </row>
    <row r="302" ht="12.75" customHeight="1">
      <c r="C302" s="75"/>
    </row>
    <row r="303" ht="12.75" customHeight="1">
      <c r="C303" s="75"/>
    </row>
    <row r="304" ht="12.75" customHeight="1">
      <c r="C304" s="75"/>
    </row>
    <row r="305" ht="12.75" customHeight="1">
      <c r="C305" s="75"/>
    </row>
    <row r="306" ht="12.75" customHeight="1">
      <c r="C306" s="75"/>
    </row>
    <row r="307" ht="12.75" customHeight="1">
      <c r="C307" s="75"/>
    </row>
    <row r="308" ht="12.75" customHeight="1">
      <c r="C308" s="75"/>
    </row>
    <row r="309" ht="12.75" customHeight="1">
      <c r="C309" s="75"/>
    </row>
    <row r="310" ht="12.75" customHeight="1">
      <c r="C310" s="75"/>
    </row>
    <row r="311" ht="12.75" customHeight="1">
      <c r="C311" s="75"/>
    </row>
    <row r="312" ht="12.75" customHeight="1">
      <c r="C312" s="75"/>
    </row>
    <row r="313" ht="12.75" customHeight="1">
      <c r="C313" s="75"/>
    </row>
    <row r="314" ht="12.75" customHeight="1">
      <c r="C314" s="75"/>
    </row>
    <row r="315" ht="12.75" customHeight="1">
      <c r="C315" s="75"/>
    </row>
    <row r="316" ht="12.75" customHeight="1">
      <c r="C316" s="75"/>
    </row>
    <row r="317" ht="12.75" customHeight="1">
      <c r="C317" s="75"/>
    </row>
    <row r="318" ht="12.75" customHeight="1">
      <c r="C318" s="75"/>
    </row>
    <row r="319" ht="12.75" customHeight="1">
      <c r="C319" s="75"/>
    </row>
    <row r="320" ht="12.75" customHeight="1">
      <c r="C320" s="75"/>
    </row>
    <row r="321" ht="12.75" customHeight="1">
      <c r="C321" s="75"/>
    </row>
    <row r="322" ht="12.75" customHeight="1">
      <c r="C322" s="75"/>
    </row>
    <row r="323" ht="12.75" customHeight="1">
      <c r="C323" s="75"/>
    </row>
    <row r="324" ht="12.75" customHeight="1">
      <c r="C324" s="75"/>
    </row>
    <row r="325" ht="12.75" customHeight="1">
      <c r="C325" s="75"/>
    </row>
    <row r="326" ht="12.75" customHeight="1">
      <c r="C326" s="75"/>
    </row>
    <row r="327" ht="12.75" customHeight="1">
      <c r="C327" s="75"/>
    </row>
    <row r="328" ht="12.75" customHeight="1">
      <c r="C328" s="75"/>
    </row>
    <row r="329" ht="12.75" customHeight="1">
      <c r="C329" s="75"/>
    </row>
    <row r="330" ht="12.75" customHeight="1">
      <c r="C330" s="75"/>
    </row>
    <row r="331" ht="12.75" customHeight="1">
      <c r="C331" s="75"/>
    </row>
    <row r="332" ht="12.75" customHeight="1">
      <c r="C332" s="75"/>
    </row>
    <row r="333" ht="12.75" customHeight="1">
      <c r="C333" s="75"/>
    </row>
    <row r="334" ht="12.75" customHeight="1">
      <c r="C334" s="75"/>
    </row>
    <row r="335" ht="12.75" customHeight="1">
      <c r="C335" s="75"/>
    </row>
    <row r="336" ht="12.75" customHeight="1">
      <c r="C336" s="75"/>
    </row>
    <row r="337" ht="12.75" customHeight="1">
      <c r="C337" s="75"/>
    </row>
    <row r="338" ht="12.75" customHeight="1">
      <c r="C338" s="75"/>
    </row>
    <row r="339" ht="12.75" customHeight="1">
      <c r="C339" s="75"/>
    </row>
    <row r="340" ht="12.75" customHeight="1">
      <c r="C340" s="75"/>
    </row>
    <row r="341" ht="12.75" customHeight="1">
      <c r="C341" s="75"/>
    </row>
    <row r="342" ht="12.75" customHeight="1">
      <c r="C342" s="75"/>
    </row>
    <row r="343" ht="12.75" customHeight="1">
      <c r="C343" s="75"/>
    </row>
    <row r="344" ht="12.75" customHeight="1">
      <c r="C344" s="75"/>
    </row>
    <row r="345" ht="12.75" customHeight="1">
      <c r="C345" s="75"/>
    </row>
    <row r="346" ht="12.75" customHeight="1">
      <c r="C346" s="75"/>
    </row>
    <row r="347" ht="12.75" customHeight="1">
      <c r="C347" s="75"/>
    </row>
    <row r="348" ht="12.75" customHeight="1">
      <c r="C348" s="75"/>
    </row>
    <row r="349" ht="12.75" customHeight="1">
      <c r="C349" s="75"/>
    </row>
    <row r="350" ht="12.75" customHeight="1">
      <c r="C350" s="75"/>
    </row>
    <row r="351" ht="12.75" customHeight="1">
      <c r="C351" s="75"/>
    </row>
    <row r="352" ht="12.75" customHeight="1">
      <c r="C352" s="75"/>
    </row>
    <row r="353" ht="12.75" customHeight="1">
      <c r="C353" s="75"/>
    </row>
    <row r="354" ht="12.75" customHeight="1">
      <c r="C354" s="75"/>
    </row>
    <row r="355" ht="12.75" customHeight="1">
      <c r="C355" s="75"/>
    </row>
    <row r="356" ht="12.75" customHeight="1">
      <c r="C356" s="75"/>
    </row>
    <row r="357" ht="12.75" customHeight="1">
      <c r="C357" s="75"/>
    </row>
    <row r="358" ht="12.75" customHeight="1">
      <c r="C358" s="75"/>
    </row>
    <row r="359" ht="12.75" customHeight="1">
      <c r="C359" s="75"/>
    </row>
    <row r="360" ht="12.75" customHeight="1">
      <c r="C360" s="75"/>
    </row>
    <row r="361" ht="12.75" customHeight="1">
      <c r="C361" s="75"/>
    </row>
    <row r="362" ht="12.75" customHeight="1">
      <c r="C362" s="75"/>
    </row>
    <row r="363" ht="12.75" customHeight="1">
      <c r="C363" s="75"/>
    </row>
    <row r="364" ht="12.75" customHeight="1">
      <c r="C364" s="75"/>
    </row>
    <row r="365" ht="12.75" customHeight="1">
      <c r="C365" s="75"/>
    </row>
    <row r="366" ht="12.75" customHeight="1">
      <c r="C366" s="75"/>
    </row>
    <row r="367" ht="12.75" customHeight="1">
      <c r="C367" s="75"/>
    </row>
    <row r="368" ht="12.75" customHeight="1">
      <c r="C368" s="75"/>
    </row>
    <row r="369" ht="12.75" customHeight="1">
      <c r="C369" s="75"/>
    </row>
    <row r="370" ht="12.75" customHeight="1">
      <c r="C370" s="75"/>
    </row>
    <row r="371" ht="12.75" customHeight="1">
      <c r="C371" s="75"/>
    </row>
    <row r="372" ht="12.75" customHeight="1">
      <c r="C372" s="75"/>
    </row>
    <row r="373" ht="12.75" customHeight="1">
      <c r="C373" s="75"/>
    </row>
    <row r="374" ht="12.75" customHeight="1">
      <c r="C374" s="75"/>
    </row>
    <row r="375" ht="12.75" customHeight="1">
      <c r="C375" s="75"/>
    </row>
    <row r="376" ht="12.75" customHeight="1">
      <c r="C376" s="75"/>
    </row>
    <row r="377" ht="12.75" customHeight="1">
      <c r="C377" s="75"/>
    </row>
    <row r="378" ht="12.75" customHeight="1">
      <c r="C378" s="75"/>
    </row>
    <row r="379" ht="12.75" customHeight="1">
      <c r="C379" s="75"/>
    </row>
    <row r="380" ht="12.75" customHeight="1">
      <c r="C380" s="75"/>
    </row>
    <row r="381" ht="12.75" customHeight="1">
      <c r="C381" s="75"/>
    </row>
    <row r="382" ht="12.75" customHeight="1">
      <c r="C382" s="75"/>
    </row>
    <row r="383" ht="12.75" customHeight="1">
      <c r="C383" s="75"/>
    </row>
    <row r="384" ht="12.75" customHeight="1">
      <c r="C384" s="75"/>
    </row>
    <row r="385" ht="12.75" customHeight="1">
      <c r="C385" s="75"/>
    </row>
    <row r="386" ht="12.75" customHeight="1">
      <c r="C386" s="75"/>
    </row>
    <row r="387" ht="12.75" customHeight="1">
      <c r="C387" s="75"/>
    </row>
    <row r="388" ht="12.75" customHeight="1">
      <c r="C388" s="75"/>
    </row>
    <row r="389" ht="12.75" customHeight="1">
      <c r="C389" s="75"/>
    </row>
    <row r="390" ht="12.75" customHeight="1">
      <c r="C390" s="75"/>
    </row>
    <row r="391" ht="12.75" customHeight="1">
      <c r="C391" s="75"/>
    </row>
    <row r="392" ht="12.75" customHeight="1">
      <c r="C392" s="75"/>
    </row>
    <row r="393" ht="12.75" customHeight="1">
      <c r="C393" s="75"/>
    </row>
    <row r="394" ht="12.75" customHeight="1">
      <c r="C394" s="75"/>
    </row>
    <row r="395" ht="12.75" customHeight="1">
      <c r="C395" s="75"/>
    </row>
    <row r="396" ht="12.75" customHeight="1">
      <c r="C396" s="75"/>
    </row>
    <row r="397" ht="12.75" customHeight="1">
      <c r="C397" s="75"/>
    </row>
    <row r="398" ht="12.75" customHeight="1">
      <c r="C398" s="75"/>
    </row>
    <row r="399" ht="12.75" customHeight="1">
      <c r="C399" s="75"/>
    </row>
    <row r="400" ht="12.75" customHeight="1">
      <c r="C400" s="75"/>
    </row>
    <row r="401" ht="12.75" customHeight="1">
      <c r="C401" s="75"/>
    </row>
    <row r="402" ht="12.75" customHeight="1">
      <c r="C402" s="75"/>
    </row>
    <row r="403" ht="12.75" customHeight="1">
      <c r="C403" s="75"/>
    </row>
    <row r="404" ht="12.75" customHeight="1">
      <c r="C404" s="75"/>
    </row>
    <row r="405" ht="12.75" customHeight="1">
      <c r="C405" s="75"/>
    </row>
    <row r="406" ht="12.75" customHeight="1">
      <c r="C406" s="75"/>
    </row>
    <row r="407" ht="12.75" customHeight="1">
      <c r="C407" s="75"/>
    </row>
    <row r="408" ht="12.75" customHeight="1">
      <c r="C408" s="75"/>
    </row>
    <row r="409" ht="12.75" customHeight="1">
      <c r="C409" s="75"/>
    </row>
    <row r="410" ht="12.75" customHeight="1">
      <c r="C410" s="75"/>
    </row>
    <row r="411" ht="12.75" customHeight="1">
      <c r="C411" s="75"/>
    </row>
    <row r="412" ht="12.75" customHeight="1">
      <c r="C412" s="75"/>
    </row>
    <row r="413" ht="12.75" customHeight="1">
      <c r="C413" s="75"/>
    </row>
    <row r="414" ht="12.75" customHeight="1">
      <c r="C414" s="75"/>
    </row>
    <row r="415" ht="12.75" customHeight="1">
      <c r="C415" s="75"/>
    </row>
    <row r="416" ht="12.75" customHeight="1">
      <c r="C416" s="75"/>
    </row>
    <row r="417" ht="12.75" customHeight="1">
      <c r="C417" s="75"/>
    </row>
    <row r="418" ht="12.75" customHeight="1">
      <c r="C418" s="75"/>
    </row>
    <row r="419" ht="12.75" customHeight="1">
      <c r="C419" s="75"/>
    </row>
    <row r="420" ht="12.75" customHeight="1">
      <c r="C420" s="75"/>
    </row>
    <row r="421" ht="12.75" customHeight="1">
      <c r="C421" s="75"/>
    </row>
    <row r="422" ht="12.75" customHeight="1">
      <c r="C422" s="75"/>
    </row>
    <row r="423" ht="12.75" customHeight="1">
      <c r="C423" s="75"/>
    </row>
    <row r="424" ht="12.75" customHeight="1">
      <c r="C424" s="75"/>
    </row>
    <row r="425" ht="12.75" customHeight="1">
      <c r="C425" s="75"/>
    </row>
    <row r="426" ht="12.75" customHeight="1">
      <c r="C426" s="75"/>
    </row>
    <row r="427" ht="12.75" customHeight="1">
      <c r="C427" s="75"/>
    </row>
    <row r="428" ht="12.75" customHeight="1">
      <c r="C428" s="75"/>
    </row>
    <row r="429" ht="12.75" customHeight="1">
      <c r="C429" s="75"/>
    </row>
    <row r="430" ht="12.75" customHeight="1">
      <c r="C430" s="75"/>
    </row>
    <row r="431" ht="12.75" customHeight="1">
      <c r="C431" s="75"/>
    </row>
    <row r="432" ht="12.75" customHeight="1">
      <c r="C432" s="75"/>
    </row>
    <row r="433" ht="12.75" customHeight="1">
      <c r="C433" s="75"/>
    </row>
    <row r="434" ht="12.75" customHeight="1">
      <c r="C434" s="75"/>
    </row>
    <row r="435" ht="12.75" customHeight="1">
      <c r="C435" s="75"/>
    </row>
    <row r="436" ht="12.75" customHeight="1">
      <c r="C436" s="75"/>
    </row>
    <row r="437" ht="12.75" customHeight="1">
      <c r="C437" s="75"/>
    </row>
    <row r="438" ht="12.75" customHeight="1">
      <c r="C438" s="75"/>
    </row>
    <row r="439" ht="12.75" customHeight="1">
      <c r="C439" s="75"/>
    </row>
    <row r="440" ht="12.75" customHeight="1">
      <c r="C440" s="75"/>
    </row>
    <row r="441" ht="12.75" customHeight="1">
      <c r="C441" s="75"/>
    </row>
    <row r="442" ht="12.75" customHeight="1">
      <c r="C442" s="75"/>
    </row>
    <row r="443" ht="12.75" customHeight="1">
      <c r="C443" s="75"/>
    </row>
    <row r="444" ht="12.75" customHeight="1">
      <c r="C444" s="75"/>
    </row>
    <row r="445" ht="12.75" customHeight="1">
      <c r="C445" s="75"/>
    </row>
    <row r="446" ht="12.75" customHeight="1">
      <c r="C446" s="75"/>
    </row>
    <row r="447" ht="12.75" customHeight="1">
      <c r="C447" s="75"/>
    </row>
    <row r="448" ht="12.75" customHeight="1">
      <c r="C448" s="75"/>
    </row>
    <row r="449" ht="12.75" customHeight="1">
      <c r="C449" s="75"/>
    </row>
    <row r="450" ht="12.75" customHeight="1">
      <c r="C450" s="75"/>
    </row>
    <row r="451" ht="12.75" customHeight="1">
      <c r="C451" s="75"/>
    </row>
    <row r="452" ht="12.75" customHeight="1">
      <c r="C452" s="75"/>
    </row>
    <row r="453" ht="12.75" customHeight="1">
      <c r="C453" s="75"/>
    </row>
    <row r="454" ht="12.75" customHeight="1">
      <c r="C454" s="75"/>
    </row>
    <row r="455" ht="12.75" customHeight="1">
      <c r="C455" s="75"/>
    </row>
    <row r="456" ht="12.75" customHeight="1">
      <c r="C456" s="75"/>
    </row>
    <row r="457" ht="12.75" customHeight="1">
      <c r="C457" s="75"/>
    </row>
    <row r="458" ht="12.75" customHeight="1">
      <c r="C458" s="75"/>
    </row>
    <row r="459" ht="12.75" customHeight="1">
      <c r="C459" s="75"/>
    </row>
    <row r="460" ht="12.75" customHeight="1">
      <c r="C460" s="75"/>
    </row>
    <row r="461" ht="12.75" customHeight="1">
      <c r="C461" s="75"/>
    </row>
    <row r="462" ht="12.75" customHeight="1">
      <c r="C462" s="75"/>
    </row>
    <row r="463" ht="12.75" customHeight="1">
      <c r="C463" s="75"/>
    </row>
    <row r="464" ht="12.75" customHeight="1">
      <c r="C464" s="75"/>
    </row>
    <row r="465" ht="12.75" customHeight="1">
      <c r="C465" s="75"/>
    </row>
    <row r="466" ht="12.75" customHeight="1">
      <c r="C466" s="75"/>
    </row>
    <row r="467" ht="12.75" customHeight="1">
      <c r="C467" s="75"/>
    </row>
    <row r="468" ht="12.75" customHeight="1">
      <c r="C468" s="75"/>
    </row>
    <row r="469" ht="12.75" customHeight="1">
      <c r="C469" s="75"/>
    </row>
    <row r="470" ht="12.75" customHeight="1">
      <c r="C470" s="75"/>
    </row>
    <row r="471" ht="12.75" customHeight="1">
      <c r="C471" s="75"/>
    </row>
    <row r="472" ht="12.75" customHeight="1">
      <c r="C472" s="75"/>
    </row>
    <row r="473" ht="12.75" customHeight="1">
      <c r="C473" s="75"/>
    </row>
    <row r="474" ht="12.75" customHeight="1">
      <c r="C474" s="75"/>
    </row>
    <row r="475" ht="12.75" customHeight="1">
      <c r="C475" s="75"/>
    </row>
    <row r="476" ht="12.75" customHeight="1">
      <c r="C476" s="75"/>
    </row>
    <row r="477" ht="12.75" customHeight="1">
      <c r="C477" s="75"/>
    </row>
    <row r="478" ht="12.75" customHeight="1">
      <c r="C478" s="75"/>
    </row>
    <row r="479" ht="12.75" customHeight="1">
      <c r="C479" s="75"/>
    </row>
    <row r="480" ht="12.75" customHeight="1">
      <c r="C480" s="75"/>
    </row>
    <row r="481" ht="12.75" customHeight="1">
      <c r="C481" s="75"/>
    </row>
    <row r="482" ht="12.75" customHeight="1">
      <c r="C482" s="75"/>
    </row>
    <row r="483" ht="12.75" customHeight="1">
      <c r="C483" s="75"/>
    </row>
    <row r="484" ht="12.75" customHeight="1">
      <c r="C484" s="75"/>
    </row>
    <row r="485" ht="12.75" customHeight="1">
      <c r="C485" s="75"/>
    </row>
    <row r="486" ht="12.75" customHeight="1">
      <c r="C486" s="75"/>
    </row>
    <row r="487" ht="12.75" customHeight="1">
      <c r="C487" s="75"/>
    </row>
    <row r="488" ht="12.75" customHeight="1">
      <c r="C488" s="75"/>
    </row>
    <row r="489" ht="12.75" customHeight="1">
      <c r="C489" s="75"/>
    </row>
    <row r="490" ht="12.75" customHeight="1">
      <c r="C490" s="75"/>
    </row>
    <row r="491" ht="12.75" customHeight="1">
      <c r="C491" s="75"/>
    </row>
    <row r="492" ht="12.75" customHeight="1">
      <c r="C492" s="75"/>
    </row>
    <row r="493" ht="12.75" customHeight="1">
      <c r="C493" s="75"/>
    </row>
    <row r="494" ht="12.75" customHeight="1">
      <c r="C494" s="75"/>
    </row>
    <row r="495" ht="12.75" customHeight="1">
      <c r="C495" s="75"/>
    </row>
    <row r="496" ht="12.75" customHeight="1">
      <c r="C496" s="75"/>
    </row>
    <row r="497" ht="12.75" customHeight="1">
      <c r="C497" s="75"/>
    </row>
    <row r="498" ht="12.75" customHeight="1">
      <c r="C498" s="75"/>
    </row>
    <row r="499" ht="12.75" customHeight="1">
      <c r="C499" s="75"/>
    </row>
    <row r="500" ht="12.75" customHeight="1">
      <c r="C500" s="75"/>
    </row>
    <row r="501" ht="12.75" customHeight="1">
      <c r="C501" s="75"/>
    </row>
    <row r="502" ht="12.75" customHeight="1">
      <c r="C502" s="75"/>
    </row>
    <row r="503" ht="12.75" customHeight="1">
      <c r="C503" s="75"/>
    </row>
    <row r="504" ht="12.75" customHeight="1">
      <c r="C504" s="75"/>
    </row>
    <row r="505" ht="12.75" customHeight="1">
      <c r="C505" s="75"/>
    </row>
    <row r="506" ht="12.75" customHeight="1">
      <c r="C506" s="75"/>
    </row>
    <row r="507" ht="12.75" customHeight="1">
      <c r="C507" s="75"/>
    </row>
    <row r="508" ht="12.75" customHeight="1">
      <c r="C508" s="75"/>
    </row>
    <row r="509" ht="12.75" customHeight="1">
      <c r="C509" s="75"/>
    </row>
    <row r="510" ht="12.75" customHeight="1">
      <c r="C510" s="75"/>
    </row>
    <row r="511" ht="12.75" customHeight="1">
      <c r="C511" s="75"/>
    </row>
    <row r="512" ht="12.75" customHeight="1">
      <c r="C512" s="75"/>
    </row>
    <row r="513" ht="12.75" customHeight="1">
      <c r="C513" s="75"/>
    </row>
    <row r="514" ht="12.75" customHeight="1">
      <c r="C514" s="75"/>
    </row>
    <row r="515" ht="12.75" customHeight="1">
      <c r="C515" s="75"/>
    </row>
    <row r="516" ht="12.75" customHeight="1">
      <c r="C516" s="75"/>
    </row>
    <row r="517" ht="12.75" customHeight="1">
      <c r="C517" s="75"/>
    </row>
    <row r="518" ht="12.75" customHeight="1">
      <c r="C518" s="75"/>
    </row>
    <row r="519" ht="12.75" customHeight="1">
      <c r="C519" s="75"/>
    </row>
    <row r="520" ht="12.75" customHeight="1">
      <c r="C520" s="75"/>
    </row>
    <row r="521" ht="12.75" customHeight="1">
      <c r="C521" s="75"/>
    </row>
    <row r="522" ht="12.75" customHeight="1">
      <c r="C522" s="75"/>
    </row>
    <row r="523" ht="12.75" customHeight="1">
      <c r="C523" s="75"/>
    </row>
    <row r="524" ht="12.75" customHeight="1">
      <c r="C524" s="75"/>
    </row>
    <row r="525" ht="12.75" customHeight="1">
      <c r="C525" s="75"/>
    </row>
    <row r="526" ht="12.75" customHeight="1">
      <c r="C526" s="75"/>
    </row>
    <row r="527" ht="12.75" customHeight="1">
      <c r="C527" s="75"/>
    </row>
    <row r="528" ht="12.75" customHeight="1">
      <c r="C528" s="75"/>
    </row>
    <row r="529" ht="12.75" customHeight="1">
      <c r="C529" s="75"/>
    </row>
    <row r="530" ht="12.75" customHeight="1">
      <c r="C530" s="75"/>
    </row>
    <row r="531" ht="12.75" customHeight="1">
      <c r="C531" s="75"/>
    </row>
    <row r="532" ht="12.75" customHeight="1">
      <c r="C532" s="75"/>
    </row>
    <row r="533" ht="12.75" customHeight="1">
      <c r="C533" s="75"/>
    </row>
    <row r="534" ht="12.75" customHeight="1">
      <c r="C534" s="75"/>
    </row>
    <row r="535" ht="12.75" customHeight="1">
      <c r="C535" s="75"/>
    </row>
    <row r="536" ht="12.75" customHeight="1">
      <c r="C536" s="75"/>
    </row>
    <row r="537" ht="12.75" customHeight="1">
      <c r="C537" s="75"/>
    </row>
    <row r="538" ht="12.75" customHeight="1">
      <c r="C538" s="75"/>
    </row>
    <row r="539" ht="12.75" customHeight="1">
      <c r="C539" s="75"/>
    </row>
    <row r="540" ht="12.75" customHeight="1">
      <c r="C540" s="75"/>
    </row>
    <row r="541" ht="12.75" customHeight="1">
      <c r="C541" s="75"/>
    </row>
    <row r="542" ht="12.75" customHeight="1">
      <c r="C542" s="75"/>
    </row>
    <row r="543" ht="12.75" customHeight="1">
      <c r="C543" s="75"/>
    </row>
    <row r="544" ht="12.75" customHeight="1">
      <c r="C544" s="75"/>
    </row>
    <row r="545" ht="12.75" customHeight="1">
      <c r="C545" s="75"/>
    </row>
    <row r="546" ht="12.75" customHeight="1">
      <c r="C546" s="75"/>
    </row>
    <row r="547" ht="12.75" customHeight="1">
      <c r="C547" s="75"/>
    </row>
    <row r="548" ht="12.75" customHeight="1">
      <c r="C548" s="75"/>
    </row>
    <row r="549" ht="12.75" customHeight="1">
      <c r="C549" s="75"/>
    </row>
    <row r="550" ht="12.75" customHeight="1">
      <c r="C550" s="75"/>
    </row>
    <row r="551" ht="12.75" customHeight="1">
      <c r="C551" s="75"/>
    </row>
    <row r="552" ht="12.75" customHeight="1">
      <c r="C552" s="75"/>
    </row>
    <row r="553" ht="12.75" customHeight="1">
      <c r="C553" s="75"/>
    </row>
    <row r="554" ht="12.75" customHeight="1">
      <c r="C554" s="75"/>
    </row>
    <row r="555" ht="12.75" customHeight="1">
      <c r="C555" s="75"/>
    </row>
    <row r="556" ht="12.75" customHeight="1">
      <c r="C556" s="75"/>
    </row>
    <row r="557" ht="12.75" customHeight="1">
      <c r="C557" s="75"/>
    </row>
    <row r="558" ht="12.75" customHeight="1">
      <c r="C558" s="75"/>
    </row>
    <row r="559" ht="12.75" customHeight="1">
      <c r="C559" s="75"/>
    </row>
    <row r="560" ht="12.75" customHeight="1">
      <c r="C560" s="75"/>
    </row>
    <row r="561" ht="12.75" customHeight="1">
      <c r="C561" s="75"/>
    </row>
    <row r="562" ht="12.75" customHeight="1">
      <c r="C562" s="75"/>
    </row>
    <row r="563" ht="12.75" customHeight="1">
      <c r="C563" s="75"/>
    </row>
    <row r="564" ht="12.75" customHeight="1">
      <c r="C564" s="75"/>
    </row>
    <row r="565" ht="12.75" customHeight="1">
      <c r="C565" s="75"/>
    </row>
    <row r="566" ht="12.75" customHeight="1">
      <c r="C566" s="75"/>
    </row>
    <row r="567" ht="12.75" customHeight="1">
      <c r="C567" s="75"/>
    </row>
    <row r="568" ht="12.75" customHeight="1">
      <c r="C568" s="75"/>
    </row>
    <row r="569" ht="12.75" customHeight="1">
      <c r="C569" s="75"/>
    </row>
    <row r="570" ht="12.75" customHeight="1">
      <c r="C570" s="75"/>
    </row>
    <row r="571" ht="12.75" customHeight="1">
      <c r="C571" s="75"/>
    </row>
    <row r="572" ht="12.75" customHeight="1">
      <c r="C572" s="75"/>
    </row>
    <row r="573" ht="12.75" customHeight="1">
      <c r="C573" s="75"/>
    </row>
    <row r="574" ht="12.75" customHeight="1">
      <c r="C574" s="75"/>
    </row>
    <row r="575" ht="12.75" customHeight="1">
      <c r="C575" s="75"/>
    </row>
    <row r="576" ht="12.75" customHeight="1">
      <c r="C576" s="75"/>
    </row>
    <row r="577" ht="12.75" customHeight="1">
      <c r="C577" s="75"/>
    </row>
    <row r="578" ht="12.75" customHeight="1">
      <c r="C578" s="75"/>
    </row>
    <row r="579" ht="12.75" customHeight="1">
      <c r="C579" s="75"/>
    </row>
    <row r="580" ht="12.75" customHeight="1">
      <c r="C580" s="75"/>
    </row>
    <row r="581" ht="12.75" customHeight="1">
      <c r="C581" s="75"/>
    </row>
    <row r="582" ht="12.75" customHeight="1">
      <c r="C582" s="75"/>
    </row>
    <row r="583" ht="12.75" customHeight="1">
      <c r="C583" s="75"/>
    </row>
    <row r="584" ht="12.75" customHeight="1">
      <c r="C584" s="75"/>
    </row>
    <row r="585" ht="12.75" customHeight="1">
      <c r="C585" s="75"/>
    </row>
    <row r="586" ht="12.75" customHeight="1">
      <c r="C586" s="75"/>
    </row>
    <row r="587" ht="12.75" customHeight="1">
      <c r="C587" s="75"/>
    </row>
    <row r="588" ht="12.75" customHeight="1">
      <c r="C588" s="75"/>
    </row>
    <row r="589" ht="12.75" customHeight="1">
      <c r="C589" s="75"/>
    </row>
    <row r="590" ht="12.75" customHeight="1">
      <c r="C590" s="75"/>
    </row>
    <row r="591" ht="12.75" customHeight="1">
      <c r="C591" s="75"/>
    </row>
    <row r="592" ht="12.75" customHeight="1">
      <c r="C592" s="75"/>
    </row>
    <row r="593" ht="12.75" customHeight="1">
      <c r="C593" s="75"/>
    </row>
    <row r="594" ht="12.75" customHeight="1">
      <c r="C594" s="75"/>
    </row>
    <row r="595" ht="12.75" customHeight="1">
      <c r="C595" s="75"/>
    </row>
    <row r="596" ht="12.75" customHeight="1">
      <c r="C596" s="75"/>
    </row>
    <row r="597" ht="12.75" customHeight="1">
      <c r="C597" s="75"/>
    </row>
    <row r="598" ht="12.75" customHeight="1">
      <c r="C598" s="75"/>
    </row>
    <row r="599" ht="12.75" customHeight="1">
      <c r="C599" s="75"/>
    </row>
    <row r="600" ht="12.75" customHeight="1">
      <c r="C600" s="75"/>
    </row>
    <row r="601" ht="12.75" customHeight="1">
      <c r="C601" s="75"/>
    </row>
    <row r="602" ht="12.75" customHeight="1">
      <c r="C602" s="75"/>
    </row>
    <row r="603" ht="12.75" customHeight="1">
      <c r="C603" s="75"/>
    </row>
    <row r="604" ht="12.75" customHeight="1">
      <c r="C604" s="75"/>
    </row>
    <row r="605" ht="12.75" customHeight="1">
      <c r="C605" s="75"/>
    </row>
    <row r="606" ht="12.75" customHeight="1">
      <c r="C606" s="75"/>
    </row>
    <row r="607" ht="12.75" customHeight="1">
      <c r="C607" s="75"/>
    </row>
    <row r="608" ht="12.75" customHeight="1">
      <c r="C608" s="75"/>
    </row>
    <row r="609" ht="12.75" customHeight="1">
      <c r="C609" s="75"/>
    </row>
    <row r="610" ht="12.75" customHeight="1">
      <c r="C610" s="75"/>
    </row>
    <row r="611" ht="12.75" customHeight="1">
      <c r="C611" s="75"/>
    </row>
    <row r="612" ht="12.75" customHeight="1">
      <c r="C612" s="75"/>
    </row>
    <row r="613" ht="12.75" customHeight="1">
      <c r="C613" s="75"/>
    </row>
    <row r="614" ht="12.75" customHeight="1">
      <c r="C614" s="75"/>
    </row>
    <row r="615" ht="12.75" customHeight="1">
      <c r="C615" s="75"/>
    </row>
    <row r="616" ht="12.75" customHeight="1">
      <c r="C616" s="75"/>
    </row>
    <row r="617" ht="12.75" customHeight="1">
      <c r="C617" s="75"/>
    </row>
    <row r="618" ht="12.75" customHeight="1">
      <c r="C618" s="75"/>
    </row>
    <row r="619" ht="12.75" customHeight="1">
      <c r="C619" s="75"/>
    </row>
    <row r="620" ht="12.75" customHeight="1">
      <c r="C620" s="75"/>
    </row>
    <row r="621" ht="12.75" customHeight="1">
      <c r="C621" s="75"/>
    </row>
    <row r="622" ht="12.75" customHeight="1">
      <c r="C622" s="75"/>
    </row>
    <row r="623" ht="12.75" customHeight="1">
      <c r="C623" s="75"/>
    </row>
    <row r="624" ht="12.75" customHeight="1">
      <c r="C624" s="75"/>
    </row>
    <row r="625" ht="12.75" customHeight="1">
      <c r="C625" s="75"/>
    </row>
    <row r="626" ht="12.75" customHeight="1">
      <c r="C626" s="75"/>
    </row>
    <row r="627" ht="12.75" customHeight="1">
      <c r="C627" s="75"/>
    </row>
    <row r="628" ht="12.75" customHeight="1">
      <c r="C628" s="75"/>
    </row>
    <row r="629" ht="12.75" customHeight="1">
      <c r="C629" s="75"/>
    </row>
    <row r="630" ht="12.75" customHeight="1">
      <c r="C630" s="75"/>
    </row>
    <row r="631" ht="12.75" customHeight="1">
      <c r="C631" s="75"/>
    </row>
    <row r="632" ht="12.75" customHeight="1">
      <c r="C632" s="75"/>
    </row>
    <row r="633" ht="12.75" customHeight="1">
      <c r="C633" s="75"/>
    </row>
    <row r="634" ht="12.75" customHeight="1">
      <c r="C634" s="75"/>
    </row>
    <row r="635" ht="12.75" customHeight="1">
      <c r="C635" s="75"/>
    </row>
    <row r="636" ht="12.75" customHeight="1">
      <c r="C636" s="75"/>
    </row>
    <row r="637" ht="12.75" customHeight="1">
      <c r="C637" s="75"/>
    </row>
    <row r="638" ht="12.75" customHeight="1">
      <c r="C638" s="75"/>
    </row>
    <row r="639" ht="12.75" customHeight="1">
      <c r="C639" s="75"/>
    </row>
    <row r="640" ht="12.75" customHeight="1">
      <c r="C640" s="75"/>
    </row>
    <row r="641" ht="12.75" customHeight="1">
      <c r="C641" s="75"/>
    </row>
    <row r="642" ht="12.75" customHeight="1">
      <c r="C642" s="75"/>
    </row>
    <row r="643" ht="12.75" customHeight="1">
      <c r="C643" s="75"/>
    </row>
    <row r="644" ht="12.75" customHeight="1">
      <c r="C644" s="75"/>
    </row>
    <row r="645" ht="12.75" customHeight="1">
      <c r="C645" s="75"/>
    </row>
    <row r="646" ht="12.75" customHeight="1">
      <c r="C646" s="75"/>
    </row>
    <row r="647" ht="12.75" customHeight="1">
      <c r="C647" s="75"/>
    </row>
    <row r="648" ht="12.75" customHeight="1">
      <c r="C648" s="75"/>
    </row>
    <row r="649" ht="12.75" customHeight="1">
      <c r="C649" s="75"/>
    </row>
    <row r="650" ht="12.75" customHeight="1">
      <c r="C650" s="75"/>
    </row>
    <row r="651" ht="12.75" customHeight="1">
      <c r="C651" s="75"/>
    </row>
    <row r="652" ht="12.75" customHeight="1">
      <c r="C652" s="75"/>
    </row>
    <row r="653" ht="12.75" customHeight="1">
      <c r="C653" s="75"/>
    </row>
    <row r="654" ht="12.75" customHeight="1">
      <c r="C654" s="75"/>
    </row>
    <row r="655" ht="12.75" customHeight="1">
      <c r="C655" s="75"/>
    </row>
    <row r="656" ht="12.75" customHeight="1">
      <c r="C656" s="75"/>
    </row>
    <row r="657" ht="12.75" customHeight="1">
      <c r="C657" s="75"/>
    </row>
    <row r="658" ht="12.75" customHeight="1">
      <c r="C658" s="75"/>
    </row>
    <row r="659" ht="12.75" customHeight="1">
      <c r="C659" s="75"/>
    </row>
    <row r="660" ht="12.75" customHeight="1">
      <c r="C660" s="75"/>
    </row>
    <row r="661" ht="12.75" customHeight="1">
      <c r="C661" s="75"/>
    </row>
    <row r="662" ht="12.75" customHeight="1">
      <c r="C662" s="75"/>
    </row>
    <row r="663" ht="12.75" customHeight="1">
      <c r="C663" s="75"/>
    </row>
    <row r="664" ht="12.75" customHeight="1">
      <c r="C664" s="75"/>
    </row>
    <row r="665" ht="12.75" customHeight="1">
      <c r="C665" s="75"/>
    </row>
    <row r="666" ht="12.75" customHeight="1">
      <c r="C666" s="75"/>
    </row>
    <row r="667" ht="12.75" customHeight="1">
      <c r="C667" s="75"/>
    </row>
    <row r="668" ht="12.75" customHeight="1">
      <c r="C668" s="75"/>
    </row>
    <row r="669" ht="12.75" customHeight="1">
      <c r="C669" s="75"/>
    </row>
    <row r="670" ht="12.75" customHeight="1">
      <c r="C670" s="75"/>
    </row>
    <row r="671" ht="12.75" customHeight="1">
      <c r="C671" s="75"/>
    </row>
    <row r="672" ht="12.75" customHeight="1">
      <c r="C672" s="75"/>
    </row>
    <row r="673" ht="12.75" customHeight="1">
      <c r="C673" s="75"/>
    </row>
    <row r="674" ht="12.75" customHeight="1">
      <c r="C674" s="75"/>
    </row>
    <row r="675" ht="12.75" customHeight="1">
      <c r="C675" s="75"/>
    </row>
    <row r="676" ht="12.75" customHeight="1">
      <c r="C676" s="75"/>
    </row>
    <row r="677" ht="12.75" customHeight="1">
      <c r="C677" s="75"/>
    </row>
    <row r="678" ht="12.75" customHeight="1">
      <c r="C678" s="75"/>
    </row>
    <row r="679" ht="12.75" customHeight="1">
      <c r="C679" s="75"/>
    </row>
    <row r="680" ht="12.75" customHeight="1">
      <c r="C680" s="75"/>
    </row>
    <row r="681" ht="12.75" customHeight="1">
      <c r="C681" s="75"/>
    </row>
    <row r="682" ht="12.75" customHeight="1">
      <c r="C682" s="75"/>
    </row>
    <row r="683" ht="12.75" customHeight="1">
      <c r="C683" s="75"/>
    </row>
    <row r="684" ht="12.75" customHeight="1">
      <c r="C684" s="75"/>
    </row>
    <row r="685" ht="12.75" customHeight="1">
      <c r="C685" s="75"/>
    </row>
    <row r="686" ht="12.75" customHeight="1">
      <c r="C686" s="75"/>
    </row>
    <row r="687" ht="12.75" customHeight="1">
      <c r="C687" s="75"/>
    </row>
    <row r="688" ht="12.75" customHeight="1">
      <c r="C688" s="75"/>
    </row>
    <row r="689" ht="12.75" customHeight="1">
      <c r="C689" s="75"/>
    </row>
    <row r="690" ht="12.75" customHeight="1">
      <c r="C690" s="75"/>
    </row>
    <row r="691" ht="12.75" customHeight="1">
      <c r="C691" s="75"/>
    </row>
    <row r="692" ht="12.75" customHeight="1">
      <c r="C692" s="75"/>
    </row>
    <row r="693" ht="12.75" customHeight="1">
      <c r="C693" s="75"/>
    </row>
    <row r="694" ht="12.75" customHeight="1">
      <c r="C694" s="75"/>
    </row>
    <row r="695" ht="12.75" customHeight="1">
      <c r="C695" s="75"/>
    </row>
    <row r="696" ht="12.75" customHeight="1">
      <c r="C696" s="75"/>
    </row>
    <row r="697" ht="12.75" customHeight="1">
      <c r="C697" s="75"/>
    </row>
    <row r="698" ht="12.75" customHeight="1">
      <c r="C698" s="75"/>
    </row>
    <row r="699" ht="12.75" customHeight="1">
      <c r="C699" s="75"/>
    </row>
    <row r="700" ht="12.75" customHeight="1">
      <c r="C700" s="75"/>
    </row>
    <row r="701" ht="12.75" customHeight="1">
      <c r="C701" s="75"/>
    </row>
    <row r="702" ht="12.75" customHeight="1">
      <c r="C702" s="75"/>
    </row>
    <row r="703" ht="12.75" customHeight="1">
      <c r="C703" s="75"/>
    </row>
    <row r="704" ht="12.75" customHeight="1">
      <c r="C704" s="75"/>
    </row>
    <row r="705" ht="12.75" customHeight="1">
      <c r="C705" s="75"/>
    </row>
    <row r="706" ht="12.75" customHeight="1">
      <c r="C706" s="75"/>
    </row>
    <row r="707" ht="12.75" customHeight="1">
      <c r="C707" s="75"/>
    </row>
    <row r="708" ht="12.75" customHeight="1">
      <c r="C708" s="75"/>
    </row>
    <row r="709" ht="12.75" customHeight="1">
      <c r="C709" s="75"/>
    </row>
    <row r="710" ht="12.75" customHeight="1">
      <c r="C710" s="75"/>
    </row>
    <row r="711" ht="12.75" customHeight="1">
      <c r="C711" s="75"/>
    </row>
    <row r="712" ht="12.75" customHeight="1">
      <c r="C712" s="75"/>
    </row>
    <row r="713" ht="12.75" customHeight="1">
      <c r="C713" s="75"/>
    </row>
    <row r="714" ht="12.75" customHeight="1">
      <c r="C714" s="75"/>
    </row>
    <row r="715" ht="12.75" customHeight="1">
      <c r="C715" s="75"/>
    </row>
    <row r="716" ht="12.75" customHeight="1">
      <c r="C716" s="75"/>
    </row>
    <row r="717" ht="12.75" customHeight="1">
      <c r="C717" s="75"/>
    </row>
    <row r="718" ht="12.75" customHeight="1">
      <c r="C718" s="75"/>
    </row>
    <row r="719" ht="12.75" customHeight="1">
      <c r="C719" s="75"/>
    </row>
    <row r="720" ht="12.75" customHeight="1">
      <c r="C720" s="75"/>
    </row>
    <row r="721" ht="12.75" customHeight="1">
      <c r="C721" s="75"/>
    </row>
    <row r="722" ht="12.75" customHeight="1">
      <c r="C722" s="75"/>
    </row>
    <row r="723" ht="12.75" customHeight="1">
      <c r="C723" s="75"/>
    </row>
    <row r="724" ht="12.75" customHeight="1">
      <c r="C724" s="75"/>
    </row>
    <row r="725" ht="12.75" customHeight="1">
      <c r="C725" s="75"/>
    </row>
    <row r="726" ht="12.75" customHeight="1">
      <c r="C726" s="75"/>
    </row>
    <row r="727" ht="12.75" customHeight="1">
      <c r="C727" s="75"/>
    </row>
    <row r="728" ht="12.75" customHeight="1">
      <c r="C728" s="75"/>
    </row>
    <row r="729" ht="12.75" customHeight="1">
      <c r="C729" s="75"/>
    </row>
    <row r="730" ht="12.75" customHeight="1">
      <c r="C730" s="75"/>
    </row>
    <row r="731" ht="12.75" customHeight="1">
      <c r="C731" s="75"/>
    </row>
    <row r="732" ht="12.75" customHeight="1">
      <c r="C732" s="75"/>
    </row>
    <row r="733" ht="12.75" customHeight="1">
      <c r="C733" s="75"/>
    </row>
    <row r="734" ht="12.75" customHeight="1">
      <c r="C734" s="75"/>
    </row>
    <row r="735" ht="12.75" customHeight="1">
      <c r="C735" s="75"/>
    </row>
    <row r="736" ht="12.75" customHeight="1">
      <c r="C736" s="75"/>
    </row>
    <row r="737" ht="12.75" customHeight="1">
      <c r="C737" s="75"/>
    </row>
    <row r="738" ht="12.75" customHeight="1">
      <c r="C738" s="75"/>
    </row>
    <row r="739" ht="12.75" customHeight="1">
      <c r="C739" s="75"/>
    </row>
    <row r="740" ht="12.75" customHeight="1">
      <c r="C740" s="75"/>
    </row>
    <row r="741" ht="12.75" customHeight="1">
      <c r="C741" s="75"/>
    </row>
    <row r="742" ht="12.75" customHeight="1">
      <c r="C742" s="75"/>
    </row>
    <row r="743" ht="12.75" customHeight="1">
      <c r="C743" s="75"/>
    </row>
    <row r="744" ht="12.75" customHeight="1">
      <c r="C744" s="75"/>
    </row>
    <row r="745" ht="12.75" customHeight="1">
      <c r="C745" s="75"/>
    </row>
    <row r="746" ht="12.75" customHeight="1">
      <c r="C746" s="75"/>
    </row>
    <row r="747" ht="12.75" customHeight="1">
      <c r="C747" s="75"/>
    </row>
    <row r="748" ht="12.75" customHeight="1">
      <c r="C748" s="75"/>
    </row>
    <row r="749" ht="12.75" customHeight="1">
      <c r="C749" s="75"/>
    </row>
    <row r="750" ht="12.75" customHeight="1">
      <c r="C750" s="75"/>
    </row>
    <row r="751" ht="12.75" customHeight="1">
      <c r="C751" s="75"/>
    </row>
    <row r="752" ht="12.75" customHeight="1">
      <c r="C752" s="75"/>
    </row>
    <row r="753" ht="12.75" customHeight="1">
      <c r="C753" s="75"/>
    </row>
    <row r="754" ht="12.75" customHeight="1">
      <c r="C754" s="75"/>
    </row>
    <row r="755" ht="12.75" customHeight="1">
      <c r="C755" s="75"/>
    </row>
    <row r="756" ht="12.75" customHeight="1">
      <c r="C756" s="75"/>
    </row>
    <row r="757" ht="12.75" customHeight="1">
      <c r="C757" s="75"/>
    </row>
    <row r="758" ht="12.75" customHeight="1">
      <c r="C758" s="75"/>
    </row>
    <row r="759" ht="12.75" customHeight="1">
      <c r="C759" s="75"/>
    </row>
    <row r="760" ht="12.75" customHeight="1">
      <c r="C760" s="75"/>
    </row>
    <row r="761" ht="12.75" customHeight="1">
      <c r="C761" s="75"/>
    </row>
    <row r="762" ht="12.75" customHeight="1">
      <c r="C762" s="75"/>
    </row>
    <row r="763" ht="12.75" customHeight="1">
      <c r="C763" s="75"/>
    </row>
    <row r="764" ht="12.75" customHeight="1">
      <c r="C764" s="75"/>
    </row>
    <row r="765" ht="12.75" customHeight="1">
      <c r="C765" s="75"/>
    </row>
    <row r="766" ht="12.75" customHeight="1">
      <c r="C766" s="75"/>
    </row>
    <row r="767" ht="12.75" customHeight="1">
      <c r="C767" s="75"/>
    </row>
    <row r="768" ht="12.75" customHeight="1">
      <c r="C768" s="75"/>
    </row>
    <row r="769" ht="12.75" customHeight="1">
      <c r="C769" s="75"/>
    </row>
    <row r="770" ht="12.75" customHeight="1">
      <c r="C770" s="75"/>
    </row>
    <row r="771" ht="12.75" customHeight="1">
      <c r="C771" s="75"/>
    </row>
    <row r="772" ht="12.75" customHeight="1">
      <c r="C772" s="75"/>
    </row>
    <row r="773" ht="12.75" customHeight="1">
      <c r="C773" s="75"/>
    </row>
    <row r="774" ht="12.75" customHeight="1">
      <c r="C774" s="75"/>
    </row>
    <row r="775" ht="12.75" customHeight="1">
      <c r="C775" s="75"/>
    </row>
    <row r="776" ht="12.75" customHeight="1">
      <c r="C776" s="75"/>
    </row>
    <row r="777" ht="12.75" customHeight="1">
      <c r="C777" s="75"/>
    </row>
    <row r="778" ht="12.75" customHeight="1">
      <c r="C778" s="75"/>
    </row>
    <row r="779" ht="12.75" customHeight="1">
      <c r="C779" s="75"/>
    </row>
    <row r="780" ht="12.75" customHeight="1">
      <c r="C780" s="75"/>
    </row>
    <row r="781" ht="12.75" customHeight="1">
      <c r="C781" s="75"/>
    </row>
    <row r="782" ht="12.75" customHeight="1">
      <c r="C782" s="75"/>
    </row>
    <row r="783" ht="12.75" customHeight="1">
      <c r="C783" s="75"/>
    </row>
    <row r="784" ht="12.75" customHeight="1">
      <c r="C784" s="75"/>
    </row>
    <row r="785" ht="12.75" customHeight="1">
      <c r="C785" s="75"/>
    </row>
    <row r="786" ht="12.75" customHeight="1">
      <c r="C786" s="75"/>
    </row>
    <row r="787" ht="12.75" customHeight="1">
      <c r="C787" s="75"/>
    </row>
    <row r="788" ht="12.75" customHeight="1">
      <c r="C788" s="75"/>
    </row>
    <row r="789" ht="12.75" customHeight="1">
      <c r="C789" s="75"/>
    </row>
    <row r="790" ht="12.75" customHeight="1">
      <c r="C790" s="75"/>
    </row>
    <row r="791" ht="12.75" customHeight="1">
      <c r="C791" s="75"/>
    </row>
    <row r="792" ht="12.75" customHeight="1">
      <c r="C792" s="75"/>
    </row>
    <row r="793" ht="12.75" customHeight="1">
      <c r="C793" s="75"/>
    </row>
    <row r="794" ht="12.75" customHeight="1">
      <c r="C794" s="75"/>
    </row>
    <row r="795" ht="12.75" customHeight="1">
      <c r="C795" s="75"/>
    </row>
    <row r="796" ht="12.75" customHeight="1">
      <c r="C796" s="75"/>
    </row>
    <row r="797" ht="12.75" customHeight="1">
      <c r="C797" s="75"/>
    </row>
    <row r="798" ht="12.75" customHeight="1">
      <c r="C798" s="75"/>
    </row>
    <row r="799" ht="12.75" customHeight="1">
      <c r="C799" s="75"/>
    </row>
    <row r="800" ht="12.75" customHeight="1">
      <c r="C800" s="75"/>
    </row>
    <row r="801" ht="12.75" customHeight="1">
      <c r="C801" s="75"/>
    </row>
    <row r="802" ht="12.75" customHeight="1">
      <c r="C802" s="75"/>
    </row>
    <row r="803" ht="12.75" customHeight="1">
      <c r="C803" s="75"/>
    </row>
    <row r="804" ht="12.75" customHeight="1">
      <c r="C804" s="75"/>
    </row>
    <row r="805" ht="12.75" customHeight="1">
      <c r="C805" s="75"/>
    </row>
    <row r="806" ht="12.75" customHeight="1">
      <c r="C806" s="75"/>
    </row>
    <row r="807" ht="12.75" customHeight="1">
      <c r="C807" s="75"/>
    </row>
    <row r="808" ht="12.75" customHeight="1">
      <c r="C808" s="75"/>
    </row>
    <row r="809" ht="12.75" customHeight="1">
      <c r="C809" s="75"/>
    </row>
    <row r="810" ht="12.75" customHeight="1">
      <c r="C810" s="75"/>
    </row>
    <row r="811" ht="12.75" customHeight="1">
      <c r="C811" s="75"/>
    </row>
    <row r="812" ht="12.75" customHeight="1">
      <c r="C812" s="75"/>
    </row>
    <row r="813" ht="12.75" customHeight="1">
      <c r="C813" s="75"/>
    </row>
    <row r="814" ht="12.75" customHeight="1">
      <c r="C814" s="75"/>
    </row>
    <row r="815" ht="12.75" customHeight="1">
      <c r="C815" s="75"/>
    </row>
    <row r="816" ht="12.75" customHeight="1">
      <c r="C816" s="75"/>
    </row>
    <row r="817" ht="12.75" customHeight="1">
      <c r="C817" s="75"/>
    </row>
    <row r="818" ht="12.75" customHeight="1">
      <c r="C818" s="75"/>
    </row>
    <row r="819" ht="12.75" customHeight="1">
      <c r="C819" s="75"/>
    </row>
    <row r="820" ht="12.75" customHeight="1">
      <c r="C820" s="75"/>
    </row>
    <row r="821" ht="12.75" customHeight="1">
      <c r="C821" s="75"/>
    </row>
    <row r="822" ht="12.75" customHeight="1">
      <c r="C822" s="75"/>
    </row>
    <row r="823" ht="12.75" customHeight="1">
      <c r="C823" s="75"/>
    </row>
    <row r="824" ht="12.75" customHeight="1">
      <c r="C824" s="75"/>
    </row>
    <row r="825" ht="12.75" customHeight="1">
      <c r="C825" s="75"/>
    </row>
    <row r="826" ht="12.75" customHeight="1">
      <c r="C826" s="75"/>
    </row>
    <row r="827" ht="12.75" customHeight="1">
      <c r="C827" s="75"/>
    </row>
    <row r="828" ht="12.75" customHeight="1">
      <c r="C828" s="75"/>
    </row>
    <row r="829" ht="12.75" customHeight="1">
      <c r="C829" s="75"/>
    </row>
    <row r="830" ht="12.75" customHeight="1">
      <c r="C830" s="75"/>
    </row>
    <row r="831" ht="12.75" customHeight="1">
      <c r="C831" s="75"/>
    </row>
    <row r="832" ht="12.75" customHeight="1">
      <c r="C832" s="75"/>
    </row>
    <row r="833" ht="12.75" customHeight="1">
      <c r="C833" s="75"/>
    </row>
    <row r="834" ht="12.75" customHeight="1">
      <c r="C834" s="75"/>
    </row>
    <row r="835" ht="12.75" customHeight="1">
      <c r="C835" s="75"/>
    </row>
    <row r="836" ht="12.75" customHeight="1">
      <c r="C836" s="75"/>
    </row>
    <row r="837" ht="12.75" customHeight="1">
      <c r="C837" s="75"/>
    </row>
    <row r="838" ht="12.75" customHeight="1">
      <c r="C838" s="75"/>
    </row>
    <row r="839" ht="12.75" customHeight="1">
      <c r="C839" s="75"/>
    </row>
    <row r="840" ht="12.75" customHeight="1">
      <c r="C840" s="75"/>
    </row>
    <row r="841" ht="12.75" customHeight="1">
      <c r="C841" s="75"/>
    </row>
    <row r="842" ht="12.75" customHeight="1">
      <c r="C842" s="75"/>
    </row>
    <row r="843" ht="12.75" customHeight="1">
      <c r="C843" s="75"/>
    </row>
    <row r="844" ht="12.75" customHeight="1">
      <c r="C844" s="75"/>
    </row>
    <row r="845" ht="12.75" customHeight="1">
      <c r="C845" s="75"/>
    </row>
    <row r="846" ht="12.75" customHeight="1">
      <c r="C846" s="75"/>
    </row>
    <row r="847" ht="12.75" customHeight="1">
      <c r="C847" s="75"/>
    </row>
    <row r="848" ht="12.75" customHeight="1">
      <c r="C848" s="75"/>
    </row>
    <row r="849" ht="12.75" customHeight="1">
      <c r="C849" s="75"/>
    </row>
    <row r="850" ht="12.75" customHeight="1">
      <c r="C850" s="75"/>
    </row>
    <row r="851" ht="12.75" customHeight="1">
      <c r="C851" s="75"/>
    </row>
    <row r="852" ht="12.75" customHeight="1">
      <c r="C852" s="75"/>
    </row>
    <row r="853" ht="12.75" customHeight="1">
      <c r="C853" s="75"/>
    </row>
    <row r="854" ht="12.75" customHeight="1">
      <c r="C854" s="75"/>
    </row>
    <row r="855" ht="12.75" customHeight="1">
      <c r="C855" s="75"/>
    </row>
    <row r="856" ht="12.75" customHeight="1">
      <c r="C856" s="75"/>
    </row>
    <row r="857" ht="12.75" customHeight="1">
      <c r="C857" s="75"/>
    </row>
    <row r="858" ht="12.75" customHeight="1">
      <c r="C858" s="75"/>
    </row>
    <row r="859" ht="12.75" customHeight="1">
      <c r="C859" s="75"/>
    </row>
    <row r="860" ht="12.75" customHeight="1">
      <c r="C860" s="75"/>
    </row>
    <row r="861" ht="12.75" customHeight="1">
      <c r="C861" s="75"/>
    </row>
    <row r="862" ht="12.75" customHeight="1">
      <c r="C862" s="75"/>
    </row>
    <row r="863" ht="12.75" customHeight="1">
      <c r="C863" s="75"/>
    </row>
    <row r="864" ht="12.75" customHeight="1">
      <c r="C864" s="75"/>
    </row>
    <row r="865" ht="12.75" customHeight="1">
      <c r="C865" s="75"/>
    </row>
    <row r="866" ht="12.75" customHeight="1">
      <c r="C866" s="75"/>
    </row>
    <row r="867" ht="12.75" customHeight="1">
      <c r="C867" s="75"/>
    </row>
    <row r="868" ht="12.75" customHeight="1">
      <c r="C868" s="75"/>
    </row>
    <row r="869" ht="12.75" customHeight="1">
      <c r="C869" s="75"/>
    </row>
    <row r="870" ht="12.75" customHeight="1">
      <c r="C870" s="75"/>
    </row>
    <row r="871" ht="12.75" customHeight="1">
      <c r="C871" s="75"/>
    </row>
    <row r="872" ht="12.75" customHeight="1">
      <c r="C872" s="75"/>
    </row>
    <row r="873" ht="12.75" customHeight="1">
      <c r="C873" s="75"/>
    </row>
    <row r="874" ht="12.75" customHeight="1">
      <c r="C874" s="75"/>
    </row>
    <row r="875" ht="12.75" customHeight="1">
      <c r="C875" s="75"/>
    </row>
    <row r="876" ht="12.75" customHeight="1">
      <c r="C876" s="75"/>
    </row>
    <row r="877" ht="12.75" customHeight="1">
      <c r="C877" s="75"/>
    </row>
    <row r="878" ht="12.75" customHeight="1">
      <c r="C878" s="75"/>
    </row>
    <row r="879" ht="12.75" customHeight="1">
      <c r="C879" s="75"/>
    </row>
    <row r="880" ht="12.75" customHeight="1">
      <c r="C880" s="75"/>
    </row>
    <row r="881" ht="12.75" customHeight="1">
      <c r="C881" s="75"/>
    </row>
    <row r="882" ht="12.75" customHeight="1">
      <c r="C882" s="75"/>
    </row>
    <row r="883" ht="12.75" customHeight="1">
      <c r="C883" s="75"/>
    </row>
    <row r="884" ht="12.75" customHeight="1">
      <c r="C884" s="75"/>
    </row>
    <row r="885" ht="12.75" customHeight="1">
      <c r="C885" s="75"/>
    </row>
    <row r="886" ht="12.75" customHeight="1">
      <c r="C886" s="75"/>
    </row>
    <row r="887" ht="12.75" customHeight="1">
      <c r="C887" s="75"/>
    </row>
    <row r="888" ht="12.75" customHeight="1">
      <c r="C888" s="75"/>
    </row>
    <row r="889" ht="12.75" customHeight="1">
      <c r="C889" s="75"/>
    </row>
    <row r="890" ht="12.75" customHeight="1">
      <c r="C890" s="75"/>
    </row>
    <row r="891" ht="12.75" customHeight="1">
      <c r="C891" s="75"/>
    </row>
    <row r="892" ht="12.75" customHeight="1">
      <c r="C892" s="75"/>
    </row>
    <row r="893" ht="12.75" customHeight="1">
      <c r="C893" s="75"/>
    </row>
    <row r="894" ht="12.75" customHeight="1">
      <c r="C894" s="75"/>
    </row>
    <row r="895" ht="12.75" customHeight="1">
      <c r="C895" s="75"/>
    </row>
    <row r="896" ht="12.75" customHeight="1">
      <c r="C896" s="75"/>
    </row>
    <row r="897" ht="12.75" customHeight="1">
      <c r="C897" s="75"/>
    </row>
    <row r="898" ht="12.75" customHeight="1">
      <c r="C898" s="75"/>
    </row>
    <row r="899" ht="12.75" customHeight="1">
      <c r="C899" s="75"/>
    </row>
    <row r="900" ht="12.75" customHeight="1">
      <c r="C900" s="75"/>
    </row>
    <row r="901" ht="12.75" customHeight="1">
      <c r="C901" s="75"/>
    </row>
    <row r="902" ht="12.75" customHeight="1">
      <c r="C902" s="75"/>
    </row>
    <row r="903" ht="12.75" customHeight="1">
      <c r="C903" s="75"/>
    </row>
    <row r="904" ht="12.75" customHeight="1">
      <c r="C904" s="75"/>
    </row>
    <row r="905" ht="12.75" customHeight="1">
      <c r="C905" s="75"/>
    </row>
    <row r="906" ht="12.75" customHeight="1">
      <c r="C906" s="75"/>
    </row>
    <row r="907" ht="12.75" customHeight="1">
      <c r="C907" s="75"/>
    </row>
    <row r="908" ht="12.75" customHeight="1">
      <c r="C908" s="75"/>
    </row>
    <row r="909" ht="12.75" customHeight="1">
      <c r="C909" s="75"/>
    </row>
    <row r="910" ht="12.75" customHeight="1">
      <c r="C910" s="75"/>
    </row>
    <row r="911" ht="12.75" customHeight="1">
      <c r="C911" s="75"/>
    </row>
    <row r="912" ht="12.75" customHeight="1">
      <c r="C912" s="75"/>
    </row>
    <row r="913" ht="12.75" customHeight="1">
      <c r="C913" s="75"/>
    </row>
    <row r="914" ht="12.75" customHeight="1">
      <c r="C914" s="75"/>
    </row>
    <row r="915" ht="12.75" customHeight="1">
      <c r="C915" s="75"/>
    </row>
    <row r="916" ht="12.75" customHeight="1">
      <c r="C916" s="75"/>
    </row>
    <row r="917" ht="12.75" customHeight="1">
      <c r="C917" s="75"/>
    </row>
    <row r="918" ht="12.75" customHeight="1">
      <c r="C918" s="75"/>
    </row>
    <row r="919" ht="12.75" customHeight="1">
      <c r="C919" s="75"/>
    </row>
    <row r="920" ht="12.75" customHeight="1">
      <c r="C920" s="75"/>
    </row>
    <row r="921" ht="12.75" customHeight="1">
      <c r="C921" s="75"/>
    </row>
    <row r="922" ht="12.75" customHeight="1">
      <c r="C922" s="75"/>
    </row>
    <row r="923" ht="12.75" customHeight="1">
      <c r="C923" s="75"/>
    </row>
    <row r="924" ht="12.75" customHeight="1">
      <c r="C924" s="75"/>
    </row>
    <row r="925" ht="12.75" customHeight="1">
      <c r="C925" s="75"/>
    </row>
    <row r="926" ht="12.75" customHeight="1">
      <c r="C926" s="75"/>
    </row>
    <row r="927" ht="12.75" customHeight="1">
      <c r="C927" s="75"/>
    </row>
    <row r="928" ht="12.75" customHeight="1">
      <c r="C928" s="75"/>
    </row>
    <row r="929" ht="12.75" customHeight="1">
      <c r="C929" s="75"/>
    </row>
    <row r="930" ht="12.75" customHeight="1">
      <c r="C930" s="75"/>
    </row>
    <row r="931" ht="12.75" customHeight="1">
      <c r="C931" s="75"/>
    </row>
    <row r="932" ht="12.75" customHeight="1">
      <c r="C932" s="75"/>
    </row>
    <row r="933" ht="12.75" customHeight="1">
      <c r="C933" s="75"/>
    </row>
    <row r="934" ht="12.75" customHeight="1">
      <c r="C934" s="75"/>
    </row>
    <row r="935" ht="12.75" customHeight="1">
      <c r="C935" s="75"/>
    </row>
    <row r="936" ht="12.75" customHeight="1">
      <c r="C936" s="75"/>
    </row>
    <row r="937" ht="12.75" customHeight="1">
      <c r="C937" s="75"/>
    </row>
    <row r="938" ht="12.75" customHeight="1">
      <c r="C938" s="75"/>
    </row>
    <row r="939" ht="12.75" customHeight="1">
      <c r="C939" s="75"/>
    </row>
    <row r="940" ht="12.75" customHeight="1">
      <c r="C940" s="75"/>
    </row>
    <row r="941" ht="12.75" customHeight="1">
      <c r="C941" s="75"/>
    </row>
    <row r="942" ht="12.75" customHeight="1">
      <c r="C942" s="75"/>
    </row>
    <row r="943" ht="12.75" customHeight="1">
      <c r="C943" s="75"/>
    </row>
    <row r="944" ht="12.75" customHeight="1">
      <c r="C944" s="75"/>
    </row>
    <row r="945" ht="12.75" customHeight="1">
      <c r="C945" s="75"/>
    </row>
    <row r="946" ht="12.75" customHeight="1">
      <c r="C946" s="75"/>
    </row>
    <row r="947" ht="12.75" customHeight="1">
      <c r="C947" s="75"/>
    </row>
    <row r="948" ht="12.75" customHeight="1">
      <c r="C948" s="75"/>
    </row>
    <row r="949" ht="12.75" customHeight="1">
      <c r="C949" s="75"/>
    </row>
    <row r="950" ht="12.75" customHeight="1">
      <c r="C950" s="75"/>
    </row>
    <row r="951" ht="12.75" customHeight="1">
      <c r="C951" s="75"/>
    </row>
    <row r="952" ht="12.75" customHeight="1">
      <c r="C952" s="75"/>
    </row>
    <row r="953" ht="12.75" customHeight="1">
      <c r="C953" s="75"/>
    </row>
    <row r="954" ht="12.75" customHeight="1">
      <c r="C954" s="75"/>
    </row>
    <row r="955" ht="12.75" customHeight="1">
      <c r="C955" s="75"/>
    </row>
    <row r="956" ht="12.75" customHeight="1">
      <c r="C956" s="75"/>
    </row>
    <row r="957" ht="12.75" customHeight="1">
      <c r="C957" s="75"/>
    </row>
    <row r="958" ht="12.75" customHeight="1">
      <c r="C958" s="75"/>
    </row>
    <row r="959" ht="12.75" customHeight="1">
      <c r="C959" s="75"/>
    </row>
    <row r="960" ht="12.75" customHeight="1">
      <c r="C960" s="75"/>
    </row>
    <row r="961" ht="12.75" customHeight="1">
      <c r="C961" s="75"/>
    </row>
    <row r="962" ht="12.75" customHeight="1">
      <c r="C962" s="75"/>
    </row>
    <row r="963" ht="12.75" customHeight="1">
      <c r="C963" s="75"/>
    </row>
    <row r="964" ht="12.75" customHeight="1">
      <c r="C964" s="75"/>
    </row>
    <row r="965" ht="12.75" customHeight="1">
      <c r="C965" s="75"/>
    </row>
    <row r="966" ht="12.75" customHeight="1">
      <c r="C966" s="75"/>
    </row>
    <row r="967" ht="12.75" customHeight="1">
      <c r="C967" s="75"/>
    </row>
    <row r="968" ht="12.75" customHeight="1">
      <c r="C968" s="75"/>
    </row>
    <row r="969" ht="12.75" customHeight="1">
      <c r="C969" s="75"/>
    </row>
    <row r="970" ht="12.75" customHeight="1">
      <c r="C970" s="75"/>
    </row>
    <row r="971" ht="12.75" customHeight="1">
      <c r="C971" s="75"/>
    </row>
    <row r="972" ht="12.75" customHeight="1">
      <c r="C972" s="75"/>
    </row>
    <row r="973" ht="12.75" customHeight="1">
      <c r="C973" s="75"/>
    </row>
    <row r="974" ht="12.75" customHeight="1">
      <c r="C974" s="75"/>
    </row>
    <row r="975" ht="12.75" customHeight="1">
      <c r="C975" s="75"/>
    </row>
    <row r="976" ht="12.75" customHeight="1">
      <c r="C976" s="75"/>
    </row>
    <row r="977" ht="12.75" customHeight="1">
      <c r="C977" s="75"/>
    </row>
    <row r="978" ht="12.75" customHeight="1">
      <c r="C978" s="75"/>
    </row>
    <row r="979" ht="12.75" customHeight="1">
      <c r="C979" s="75"/>
    </row>
    <row r="980" ht="12.75" customHeight="1">
      <c r="C980" s="75"/>
    </row>
    <row r="981" ht="12.75" customHeight="1">
      <c r="C981" s="75"/>
    </row>
    <row r="982" ht="12.75" customHeight="1">
      <c r="C982" s="75"/>
    </row>
    <row r="983" ht="12.75" customHeight="1">
      <c r="C983" s="75"/>
    </row>
    <row r="984" ht="12.75" customHeight="1">
      <c r="C984" s="75"/>
    </row>
    <row r="985" ht="12.75" customHeight="1">
      <c r="C985" s="75"/>
    </row>
    <row r="986" ht="12.75" customHeight="1">
      <c r="C986" s="75"/>
    </row>
    <row r="987" ht="12.75" customHeight="1">
      <c r="C987" s="75"/>
    </row>
    <row r="988" ht="12.75" customHeight="1">
      <c r="C988" s="75"/>
    </row>
    <row r="989" ht="12.75" customHeight="1">
      <c r="C989" s="75"/>
    </row>
    <row r="990" ht="12.75" customHeight="1">
      <c r="C990" s="75"/>
    </row>
    <row r="991" ht="12.75" customHeight="1">
      <c r="C991" s="75"/>
    </row>
    <row r="992" ht="12.75" customHeight="1">
      <c r="C992" s="75"/>
    </row>
    <row r="993" ht="12.75" customHeight="1">
      <c r="C993" s="75"/>
    </row>
    <row r="994" ht="12.75" customHeight="1">
      <c r="C994" s="75"/>
    </row>
    <row r="995" ht="12.75" customHeight="1">
      <c r="C995" s="75"/>
    </row>
    <row r="996" ht="12.75" customHeight="1">
      <c r="C996" s="75"/>
    </row>
    <row r="997" ht="12.75" customHeight="1">
      <c r="C997" s="75"/>
    </row>
    <row r="998" ht="12.75" customHeight="1">
      <c r="C998" s="75"/>
    </row>
    <row r="999" ht="12.75" customHeight="1">
      <c r="C999" s="75"/>
    </row>
    <row r="1000" ht="12.75" customHeight="1">
      <c r="C1000" s="75"/>
    </row>
  </sheetData>
  <customSheetViews>
    <customSheetView guid="{65399088-E676-4CD0-8518-00A732F7C1AD}" filter="1" showAutoFilter="1">
      <autoFilter ref="$A$1:$AA$101"/>
    </customSheetView>
  </customSheetViews>
  <hyperlinks>
    <hyperlink r:id="rId1" ref="Q6"/>
    <hyperlink r:id="rId2" ref="D18"/>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3.29"/>
    <col customWidth="1" min="2" max="2" width="37.0"/>
    <col customWidth="1" min="3" max="3" width="16.43"/>
  </cols>
  <sheetData>
    <row r="1">
      <c r="A1" s="15" t="s">
        <v>445</v>
      </c>
      <c r="B1" s="15" t="s">
        <v>446</v>
      </c>
      <c r="C1" s="15" t="s">
        <v>447</v>
      </c>
      <c r="E1" s="23" t="s">
        <v>448</v>
      </c>
    </row>
    <row r="2">
      <c r="C2" s="77"/>
    </row>
    <row r="3">
      <c r="A3" s="78" t="s">
        <v>449</v>
      </c>
      <c r="B3" s="18" t="s">
        <v>450</v>
      </c>
      <c r="C3" s="77"/>
    </row>
    <row r="4">
      <c r="A4" s="78" t="s">
        <v>449</v>
      </c>
      <c r="B4" s="79" t="s">
        <v>451</v>
      </c>
      <c r="C4" s="77"/>
    </row>
    <row r="5">
      <c r="A5" s="78" t="s">
        <v>449</v>
      </c>
      <c r="B5" s="80" t="s">
        <v>452</v>
      </c>
      <c r="C5" s="77"/>
    </row>
    <row r="6">
      <c r="A6" s="78" t="s">
        <v>449</v>
      </c>
      <c r="B6" s="78" t="s">
        <v>453</v>
      </c>
      <c r="C6" s="77"/>
    </row>
    <row r="7">
      <c r="A7" s="78" t="s">
        <v>114</v>
      </c>
      <c r="B7" s="81" t="s">
        <v>454</v>
      </c>
      <c r="C7" s="18" t="s">
        <v>455</v>
      </c>
    </row>
    <row r="8">
      <c r="A8" s="78" t="s">
        <v>114</v>
      </c>
      <c r="B8" s="82" t="s">
        <v>456</v>
      </c>
      <c r="C8" s="18" t="s">
        <v>455</v>
      </c>
    </row>
    <row r="9">
      <c r="A9" s="78" t="s">
        <v>114</v>
      </c>
      <c r="B9" s="83" t="s">
        <v>457</v>
      </c>
      <c r="C9" s="18" t="s">
        <v>455</v>
      </c>
    </row>
    <row r="10">
      <c r="A10" s="78" t="s">
        <v>114</v>
      </c>
      <c r="B10" s="82" t="s">
        <v>458</v>
      </c>
      <c r="C10" s="18" t="s">
        <v>455</v>
      </c>
    </row>
    <row r="11">
      <c r="A11" s="78" t="s">
        <v>114</v>
      </c>
      <c r="B11" s="18" t="s">
        <v>459</v>
      </c>
      <c r="C11" s="18" t="s">
        <v>455</v>
      </c>
    </row>
    <row r="12">
      <c r="A12" s="18" t="s">
        <v>460</v>
      </c>
      <c r="B12" s="84" t="s">
        <v>461</v>
      </c>
      <c r="C12" s="18" t="s">
        <v>462</v>
      </c>
    </row>
    <row r="13">
      <c r="A13" s="78" t="s">
        <v>463</v>
      </c>
      <c r="B13" s="18" t="s">
        <v>464</v>
      </c>
      <c r="C13" s="77"/>
    </row>
    <row r="14">
      <c r="A14" s="78" t="s">
        <v>465</v>
      </c>
      <c r="B14" s="18" t="s">
        <v>466</v>
      </c>
      <c r="C14" s="77"/>
      <c r="E14" s="23" t="s">
        <v>467</v>
      </c>
    </row>
    <row r="15">
      <c r="A15" s="78" t="s">
        <v>468</v>
      </c>
      <c r="B15" s="18" t="s">
        <v>469</v>
      </c>
      <c r="C15" s="77"/>
      <c r="E15" s="23" t="s">
        <v>470</v>
      </c>
    </row>
    <row r="16">
      <c r="A16" s="78" t="s">
        <v>471</v>
      </c>
      <c r="B16" s="78" t="s">
        <v>472</v>
      </c>
      <c r="C16" s="18" t="s">
        <v>455</v>
      </c>
    </row>
    <row r="17">
      <c r="A17" s="78" t="s">
        <v>473</v>
      </c>
      <c r="B17" s="78" t="s">
        <v>474</v>
      </c>
      <c r="C17" s="77"/>
    </row>
    <row r="18">
      <c r="A18" s="85" t="s">
        <v>176</v>
      </c>
      <c r="B18" s="84" t="s">
        <v>475</v>
      </c>
      <c r="C18" s="77"/>
    </row>
    <row r="19">
      <c r="A19" s="78" t="s">
        <v>463</v>
      </c>
      <c r="B19" s="18" t="s">
        <v>476</v>
      </c>
      <c r="C19" s="77"/>
    </row>
    <row r="20">
      <c r="A20" s="18" t="s">
        <v>477</v>
      </c>
      <c r="B20" s="85" t="s">
        <v>478</v>
      </c>
      <c r="C20" s="77"/>
    </row>
    <row r="21">
      <c r="A21" s="86" t="s">
        <v>479</v>
      </c>
      <c r="B21" s="87" t="s">
        <v>480</v>
      </c>
      <c r="C21" s="77"/>
    </row>
    <row r="22">
      <c r="A22" s="85" t="s">
        <v>200</v>
      </c>
      <c r="B22" s="85" t="s">
        <v>481</v>
      </c>
      <c r="C22" s="77"/>
    </row>
    <row r="23">
      <c r="A23" s="85" t="s">
        <v>463</v>
      </c>
      <c r="B23" s="85" t="s">
        <v>482</v>
      </c>
      <c r="C23" s="77"/>
    </row>
    <row r="24">
      <c r="A24" s="78" t="s">
        <v>463</v>
      </c>
      <c r="B24" s="78" t="s">
        <v>483</v>
      </c>
      <c r="C24" s="77"/>
    </row>
    <row r="25">
      <c r="A25" s="78" t="s">
        <v>484</v>
      </c>
      <c r="B25" s="78" t="s">
        <v>485</v>
      </c>
      <c r="C25" s="18" t="s">
        <v>455</v>
      </c>
    </row>
    <row r="26">
      <c r="A26" s="85" t="s">
        <v>486</v>
      </c>
      <c r="B26" s="18" t="s">
        <v>487</v>
      </c>
      <c r="C26" s="18"/>
    </row>
    <row r="27">
      <c r="A27" s="78" t="s">
        <v>488</v>
      </c>
      <c r="B27" s="18" t="s">
        <v>489</v>
      </c>
      <c r="C27" s="18" t="s">
        <v>455</v>
      </c>
    </row>
    <row r="28">
      <c r="A28" s="88" t="s">
        <v>490</v>
      </c>
      <c r="B28" s="78" t="s">
        <v>491</v>
      </c>
      <c r="C28" s="18" t="s">
        <v>455</v>
      </c>
    </row>
    <row r="29">
      <c r="A29" s="88" t="s">
        <v>490</v>
      </c>
      <c r="B29" s="18" t="s">
        <v>492</v>
      </c>
      <c r="C29" s="18"/>
    </row>
    <row r="30">
      <c r="A30" s="88" t="s">
        <v>490</v>
      </c>
      <c r="B30" s="78" t="s">
        <v>493</v>
      </c>
      <c r="C30" s="77"/>
    </row>
    <row r="31">
      <c r="A31" s="78" t="s">
        <v>494</v>
      </c>
      <c r="B31" s="78" t="s">
        <v>495</v>
      </c>
      <c r="C31" s="18" t="s">
        <v>455</v>
      </c>
    </row>
    <row r="32">
      <c r="A32" s="78" t="s">
        <v>496</v>
      </c>
      <c r="B32" s="78" t="s">
        <v>497</v>
      </c>
      <c r="C32" s="18" t="s">
        <v>455</v>
      </c>
    </row>
    <row r="33">
      <c r="A33" s="84" t="s">
        <v>498</v>
      </c>
      <c r="B33" s="78" t="s">
        <v>499</v>
      </c>
      <c r="C33" s="18" t="s">
        <v>455</v>
      </c>
    </row>
    <row r="34">
      <c r="A34" s="85" t="s">
        <v>463</v>
      </c>
      <c r="B34" s="18" t="s">
        <v>500</v>
      </c>
      <c r="C34" s="77"/>
    </row>
    <row r="35">
      <c r="A35" s="85" t="s">
        <v>463</v>
      </c>
      <c r="B35" s="18" t="s">
        <v>501</v>
      </c>
      <c r="C35" s="77"/>
    </row>
    <row r="36">
      <c r="A36" s="89" t="s">
        <v>502</v>
      </c>
      <c r="B36" s="90" t="s">
        <v>503</v>
      </c>
      <c r="C36" s="18" t="s">
        <v>455</v>
      </c>
    </row>
    <row r="37">
      <c r="A37" s="89" t="s">
        <v>504</v>
      </c>
      <c r="B37" s="82" t="s">
        <v>505</v>
      </c>
      <c r="C37" s="18" t="s">
        <v>455</v>
      </c>
    </row>
    <row r="38">
      <c r="A38" s="89" t="s">
        <v>506</v>
      </c>
      <c r="B38" s="82" t="s">
        <v>507</v>
      </c>
      <c r="C38" s="18" t="s">
        <v>455</v>
      </c>
    </row>
    <row r="39">
      <c r="A39" s="89" t="s">
        <v>508</v>
      </c>
      <c r="B39" s="82" t="s">
        <v>509</v>
      </c>
      <c r="C39" s="18" t="s">
        <v>455</v>
      </c>
    </row>
    <row r="40">
      <c r="A40" s="89" t="s">
        <v>463</v>
      </c>
      <c r="B40" s="82" t="s">
        <v>510</v>
      </c>
      <c r="C40" s="77"/>
    </row>
    <row r="41">
      <c r="A41" s="89" t="s">
        <v>511</v>
      </c>
      <c r="B41" s="82" t="s">
        <v>512</v>
      </c>
      <c r="C41" s="18" t="s">
        <v>455</v>
      </c>
    </row>
    <row r="42">
      <c r="A42" s="89" t="s">
        <v>513</v>
      </c>
      <c r="B42" s="82" t="s">
        <v>514</v>
      </c>
      <c r="C42" s="77"/>
    </row>
    <row r="43">
      <c r="A43" s="78" t="s">
        <v>515</v>
      </c>
      <c r="B43" s="81" t="s">
        <v>516</v>
      </c>
      <c r="C43" s="18" t="s">
        <v>455</v>
      </c>
    </row>
    <row r="44">
      <c r="A44" s="78" t="s">
        <v>517</v>
      </c>
      <c r="B44" s="83" t="s">
        <v>518</v>
      </c>
      <c r="C44" s="18" t="s">
        <v>455</v>
      </c>
    </row>
    <row r="45">
      <c r="A45" s="78" t="s">
        <v>519</v>
      </c>
      <c r="B45" s="90" t="s">
        <v>520</v>
      </c>
      <c r="C45" s="18" t="s">
        <v>455</v>
      </c>
    </row>
    <row r="46">
      <c r="A46" s="85" t="s">
        <v>463</v>
      </c>
      <c r="B46" s="82" t="s">
        <v>521</v>
      </c>
      <c r="C46" s="77"/>
    </row>
    <row r="47">
      <c r="A47" s="78" t="s">
        <v>522</v>
      </c>
      <c r="B47" s="82" t="s">
        <v>523</v>
      </c>
      <c r="C47" s="18" t="s">
        <v>455</v>
      </c>
    </row>
    <row r="48">
      <c r="A48" s="78" t="s">
        <v>524</v>
      </c>
      <c r="B48" s="82" t="s">
        <v>525</v>
      </c>
      <c r="C48" s="18" t="s">
        <v>455</v>
      </c>
    </row>
    <row r="49">
      <c r="A49" s="40" t="s">
        <v>526</v>
      </c>
      <c r="B49" s="82" t="s">
        <v>527</v>
      </c>
      <c r="C49" s="18" t="s">
        <v>455</v>
      </c>
    </row>
    <row r="50">
      <c r="A50" s="78" t="s">
        <v>463</v>
      </c>
      <c r="B50" s="83" t="s">
        <v>528</v>
      </c>
      <c r="C50" s="77"/>
    </row>
    <row r="51">
      <c r="A51" s="78" t="s">
        <v>463</v>
      </c>
      <c r="B51" s="82" t="s">
        <v>529</v>
      </c>
      <c r="C51" s="77"/>
    </row>
    <row r="52">
      <c r="A52" s="78" t="s">
        <v>463</v>
      </c>
      <c r="B52" s="82" t="s">
        <v>530</v>
      </c>
      <c r="C52" s="77"/>
    </row>
    <row r="53">
      <c r="A53" s="78" t="s">
        <v>531</v>
      </c>
      <c r="B53" s="81" t="s">
        <v>532</v>
      </c>
      <c r="C53" s="18" t="s">
        <v>455</v>
      </c>
    </row>
    <row r="54">
      <c r="A54" s="78" t="s">
        <v>533</v>
      </c>
      <c r="B54" s="82" t="s">
        <v>534</v>
      </c>
      <c r="C54" s="18" t="s">
        <v>455</v>
      </c>
    </row>
    <row r="55">
      <c r="A55" s="78" t="s">
        <v>535</v>
      </c>
      <c r="B55" s="82" t="s">
        <v>536</v>
      </c>
      <c r="C55" s="18" t="s">
        <v>455</v>
      </c>
    </row>
    <row r="56">
      <c r="A56" s="78" t="s">
        <v>537</v>
      </c>
      <c r="B56" s="82" t="s">
        <v>538</v>
      </c>
      <c r="C56" s="18" t="s">
        <v>455</v>
      </c>
    </row>
    <row r="57">
      <c r="A57" s="78" t="s">
        <v>539</v>
      </c>
      <c r="B57" s="82" t="s">
        <v>540</v>
      </c>
      <c r="C57" s="18" t="s">
        <v>455</v>
      </c>
    </row>
    <row r="58">
      <c r="A58" s="78" t="s">
        <v>541</v>
      </c>
      <c r="B58" s="82" t="s">
        <v>542</v>
      </c>
      <c r="C58" s="18" t="s">
        <v>455</v>
      </c>
    </row>
    <row r="59">
      <c r="A59" s="78" t="s">
        <v>543</v>
      </c>
      <c r="B59" s="82" t="s">
        <v>544</v>
      </c>
      <c r="C59" s="18" t="s">
        <v>455</v>
      </c>
    </row>
    <row r="60">
      <c r="A60" s="78" t="s">
        <v>545</v>
      </c>
      <c r="B60" s="82" t="s">
        <v>546</v>
      </c>
      <c r="C60" s="18" t="s">
        <v>455</v>
      </c>
    </row>
    <row r="61">
      <c r="A61" s="78" t="s">
        <v>318</v>
      </c>
      <c r="B61" s="81" t="s">
        <v>547</v>
      </c>
      <c r="C61" s="18" t="s">
        <v>455</v>
      </c>
    </row>
    <row r="62">
      <c r="A62" s="78" t="s">
        <v>318</v>
      </c>
      <c r="B62" s="82" t="s">
        <v>548</v>
      </c>
      <c r="C62" s="18" t="s">
        <v>455</v>
      </c>
    </row>
    <row r="63">
      <c r="A63" s="78" t="s">
        <v>549</v>
      </c>
      <c r="B63" s="81" t="s">
        <v>550</v>
      </c>
      <c r="C63" s="18" t="s">
        <v>455</v>
      </c>
    </row>
    <row r="64">
      <c r="A64" s="78" t="s">
        <v>551</v>
      </c>
      <c r="B64" s="82" t="s">
        <v>552</v>
      </c>
      <c r="C64" s="18" t="s">
        <v>455</v>
      </c>
    </row>
    <row r="65">
      <c r="A65" s="78" t="s">
        <v>553</v>
      </c>
      <c r="B65" s="82" t="s">
        <v>554</v>
      </c>
      <c r="C65" s="18" t="s">
        <v>455</v>
      </c>
    </row>
    <row r="66">
      <c r="A66" s="78" t="s">
        <v>555</v>
      </c>
      <c r="B66" s="82" t="s">
        <v>556</v>
      </c>
      <c r="C66" s="18" t="s">
        <v>455</v>
      </c>
    </row>
    <row r="67">
      <c r="A67" s="78" t="s">
        <v>557</v>
      </c>
      <c r="B67" s="82" t="s">
        <v>558</v>
      </c>
      <c r="C67" s="18" t="s">
        <v>455</v>
      </c>
    </row>
    <row r="68">
      <c r="A68" s="78" t="s">
        <v>559</v>
      </c>
      <c r="B68" s="82" t="s">
        <v>560</v>
      </c>
      <c r="C68" s="18" t="s">
        <v>455</v>
      </c>
    </row>
    <row r="69">
      <c r="A69" s="78" t="s">
        <v>561</v>
      </c>
      <c r="B69" s="82" t="s">
        <v>562</v>
      </c>
      <c r="C69" s="18" t="s">
        <v>455</v>
      </c>
    </row>
    <row r="70">
      <c r="A70" s="78" t="s">
        <v>563</v>
      </c>
      <c r="B70" s="82" t="s">
        <v>564</v>
      </c>
      <c r="C70" s="18" t="s">
        <v>455</v>
      </c>
    </row>
    <row r="71">
      <c r="A71" s="78" t="s">
        <v>561</v>
      </c>
      <c r="B71" s="82" t="s">
        <v>565</v>
      </c>
      <c r="C71" s="18" t="s">
        <v>455</v>
      </c>
    </row>
    <row r="72">
      <c r="A72" s="78" t="s">
        <v>566</v>
      </c>
      <c r="B72" s="81" t="s">
        <v>567</v>
      </c>
      <c r="C72" s="18" t="s">
        <v>455</v>
      </c>
    </row>
    <row r="73">
      <c r="A73" s="78" t="s">
        <v>568</v>
      </c>
      <c r="B73" s="82" t="s">
        <v>569</v>
      </c>
      <c r="C73" s="18" t="s">
        <v>455</v>
      </c>
    </row>
    <row r="74">
      <c r="A74" s="78" t="s">
        <v>570</v>
      </c>
      <c r="B74" s="82" t="s">
        <v>571</v>
      </c>
      <c r="C74" s="18" t="s">
        <v>455</v>
      </c>
    </row>
    <row r="75">
      <c r="A75" s="78" t="s">
        <v>572</v>
      </c>
      <c r="B75" s="82" t="s">
        <v>573</v>
      </c>
      <c r="C75" s="18" t="s">
        <v>455</v>
      </c>
    </row>
    <row r="76">
      <c r="A76" s="78" t="s">
        <v>574</v>
      </c>
      <c r="B76" s="82" t="s">
        <v>575</v>
      </c>
      <c r="C76" s="18" t="s">
        <v>455</v>
      </c>
    </row>
    <row r="77">
      <c r="A77" s="78" t="s">
        <v>576</v>
      </c>
      <c r="B77" s="82" t="s">
        <v>577</v>
      </c>
      <c r="C77" s="18" t="s">
        <v>455</v>
      </c>
    </row>
    <row r="78">
      <c r="A78" s="78" t="s">
        <v>578</v>
      </c>
      <c r="B78" s="82" t="s">
        <v>579</v>
      </c>
      <c r="C78" s="18" t="s">
        <v>455</v>
      </c>
    </row>
    <row r="79">
      <c r="A79" s="78" t="s">
        <v>463</v>
      </c>
      <c r="B79" s="82" t="s">
        <v>580</v>
      </c>
      <c r="C79" s="18"/>
    </row>
    <row r="80">
      <c r="A80" s="78" t="s">
        <v>463</v>
      </c>
      <c r="B80" s="82" t="s">
        <v>581</v>
      </c>
      <c r="C80" s="18"/>
    </row>
    <row r="81">
      <c r="A81" s="78" t="s">
        <v>463</v>
      </c>
      <c r="B81" s="82" t="s">
        <v>582</v>
      </c>
      <c r="C81" s="18"/>
    </row>
    <row r="82">
      <c r="A82" s="78" t="s">
        <v>370</v>
      </c>
      <c r="B82" s="82" t="s">
        <v>583</v>
      </c>
      <c r="C82" s="18" t="s">
        <v>455</v>
      </c>
    </row>
    <row r="83">
      <c r="A83" s="78" t="s">
        <v>370</v>
      </c>
      <c r="B83" s="82" t="s">
        <v>584</v>
      </c>
      <c r="C83" s="18" t="s">
        <v>455</v>
      </c>
    </row>
    <row r="84">
      <c r="A84" s="78" t="s">
        <v>370</v>
      </c>
      <c r="B84" s="82" t="s">
        <v>585</v>
      </c>
      <c r="C84" s="18" t="s">
        <v>455</v>
      </c>
    </row>
    <row r="85">
      <c r="A85" s="78" t="s">
        <v>370</v>
      </c>
      <c r="B85" s="82" t="s">
        <v>586</v>
      </c>
      <c r="C85" s="18" t="s">
        <v>455</v>
      </c>
    </row>
    <row r="86">
      <c r="A86" s="78" t="s">
        <v>587</v>
      </c>
      <c r="B86" s="82" t="s">
        <v>588</v>
      </c>
      <c r="C86" s="18" t="s">
        <v>455</v>
      </c>
    </row>
    <row r="87">
      <c r="A87" s="89" t="s">
        <v>589</v>
      </c>
      <c r="B87" s="82" t="s">
        <v>590</v>
      </c>
      <c r="C87" s="18" t="s">
        <v>455</v>
      </c>
    </row>
    <row r="88">
      <c r="A88" s="89" t="s">
        <v>589</v>
      </c>
      <c r="B88" s="82" t="s">
        <v>591</v>
      </c>
      <c r="C88" s="18" t="s">
        <v>455</v>
      </c>
    </row>
    <row r="89">
      <c r="A89" s="89" t="s">
        <v>589</v>
      </c>
      <c r="B89" s="82" t="s">
        <v>592</v>
      </c>
      <c r="C89" s="18" t="s">
        <v>455</v>
      </c>
    </row>
    <row r="90">
      <c r="A90" s="89" t="s">
        <v>589</v>
      </c>
      <c r="B90" s="82" t="s">
        <v>593</v>
      </c>
      <c r="C90" s="18" t="s">
        <v>455</v>
      </c>
    </row>
    <row r="91">
      <c r="A91" s="89" t="s">
        <v>589</v>
      </c>
      <c r="B91" s="82" t="s">
        <v>594</v>
      </c>
      <c r="C91" s="18" t="s">
        <v>455</v>
      </c>
    </row>
    <row r="92">
      <c r="A92" s="78" t="s">
        <v>463</v>
      </c>
      <c r="B92" s="82" t="s">
        <v>595</v>
      </c>
      <c r="C92" s="77"/>
    </row>
    <row r="93">
      <c r="A93" s="78" t="s">
        <v>596</v>
      </c>
      <c r="B93" s="82" t="s">
        <v>597</v>
      </c>
      <c r="C93" s="18" t="s">
        <v>455</v>
      </c>
    </row>
    <row r="94">
      <c r="A94" s="78" t="s">
        <v>401</v>
      </c>
      <c r="B94" s="83" t="s">
        <v>598</v>
      </c>
      <c r="C94" s="18" t="s">
        <v>455</v>
      </c>
    </row>
    <row r="95">
      <c r="A95" s="78" t="s">
        <v>599</v>
      </c>
      <c r="B95" s="82" t="s">
        <v>600</v>
      </c>
      <c r="C95" s="18" t="s">
        <v>455</v>
      </c>
    </row>
    <row r="96">
      <c r="A96" s="63" t="s">
        <v>601</v>
      </c>
      <c r="B96" s="82" t="s">
        <v>602</v>
      </c>
      <c r="C96" s="18" t="s">
        <v>455</v>
      </c>
    </row>
    <row r="97">
      <c r="A97" s="63" t="s">
        <v>603</v>
      </c>
      <c r="B97" s="83" t="s">
        <v>604</v>
      </c>
      <c r="C97" s="18" t="s">
        <v>455</v>
      </c>
    </row>
    <row r="98">
      <c r="A98" s="63" t="s">
        <v>605</v>
      </c>
      <c r="B98" s="82" t="s">
        <v>606</v>
      </c>
      <c r="C98" s="18" t="s">
        <v>455</v>
      </c>
    </row>
    <row r="99">
      <c r="A99" s="63" t="s">
        <v>607</v>
      </c>
      <c r="B99" s="82" t="s">
        <v>608</v>
      </c>
      <c r="C99" s="18" t="s">
        <v>455</v>
      </c>
    </row>
    <row r="100">
      <c r="A100" s="78" t="s">
        <v>463</v>
      </c>
      <c r="B100" s="82" t="s">
        <v>609</v>
      </c>
      <c r="C100" s="77"/>
    </row>
    <row r="101">
      <c r="A101" s="85" t="s">
        <v>463</v>
      </c>
      <c r="B101" s="82" t="s">
        <v>610</v>
      </c>
      <c r="C101" s="77"/>
    </row>
    <row r="102">
      <c r="A102" s="78" t="s">
        <v>463</v>
      </c>
      <c r="B102" s="83" t="s">
        <v>611</v>
      </c>
      <c r="C102" s="77"/>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86"/>
    <col customWidth="1" min="2" max="2" width="71.71"/>
    <col hidden="1" min="3" max="3" width="14.43"/>
    <col customWidth="1" hidden="1" min="4" max="4" width="7.43"/>
    <col customWidth="1" hidden="1" min="5" max="5" width="10.86"/>
    <col hidden="1" min="6" max="6" width="14.43"/>
    <col customWidth="1" hidden="1" min="7" max="7" width="17.0"/>
    <col customWidth="1" hidden="1" min="8" max="8" width="18.0"/>
    <col customWidth="1" hidden="1" min="9" max="9" width="19.43"/>
    <col customWidth="1" hidden="1" min="10" max="10" width="31.14"/>
    <col hidden="1" min="11" max="11" width="14.43"/>
  </cols>
  <sheetData>
    <row r="1">
      <c r="A1" s="91" t="s">
        <v>612</v>
      </c>
      <c r="B1" s="92" t="s">
        <v>613</v>
      </c>
      <c r="C1" s="93" t="s">
        <v>614</v>
      </c>
      <c r="D1" s="93" t="s">
        <v>615</v>
      </c>
      <c r="E1" s="93" t="s">
        <v>616</v>
      </c>
      <c r="F1" s="24" t="s">
        <v>617</v>
      </c>
      <c r="G1" s="24" t="s">
        <v>618</v>
      </c>
      <c r="H1" s="23" t="s">
        <v>619</v>
      </c>
      <c r="I1" s="23" t="s">
        <v>620</v>
      </c>
      <c r="J1" s="23" t="s">
        <v>621</v>
      </c>
      <c r="K1" s="23" t="s">
        <v>622</v>
      </c>
    </row>
    <row r="2">
      <c r="A2" s="94" t="s">
        <v>623</v>
      </c>
      <c r="B2" s="95" t="s">
        <v>624</v>
      </c>
      <c r="C2" s="96">
        <v>6.0</v>
      </c>
      <c r="D2" s="96">
        <v>3.0</v>
      </c>
      <c r="E2" s="96">
        <v>0.0</v>
      </c>
      <c r="F2" s="97">
        <f t="shared" ref="F2:F124" si="1">sum(C2:E2)</f>
        <v>9</v>
      </c>
      <c r="G2" s="98">
        <f t="shared" ref="G2:G125" si="2">F2/$F$125</f>
        <v>0.002797637551</v>
      </c>
      <c r="H2" s="23" t="s">
        <v>481</v>
      </c>
      <c r="I2" s="23" t="s">
        <v>625</v>
      </c>
      <c r="J2" s="23" t="s">
        <v>626</v>
      </c>
    </row>
    <row r="3">
      <c r="A3" s="94" t="s">
        <v>627</v>
      </c>
      <c r="B3" s="95" t="s">
        <v>628</v>
      </c>
      <c r="C3" s="96">
        <v>5.0</v>
      </c>
      <c r="D3" s="96">
        <v>1.0</v>
      </c>
      <c r="E3" s="96">
        <v>1.0</v>
      </c>
      <c r="F3" s="97">
        <f t="shared" si="1"/>
        <v>7</v>
      </c>
      <c r="G3" s="98">
        <f t="shared" si="2"/>
        <v>0.002175940317</v>
      </c>
      <c r="H3" s="23" t="s">
        <v>629</v>
      </c>
      <c r="J3" s="23" t="s">
        <v>630</v>
      </c>
    </row>
    <row r="4">
      <c r="A4" s="91" t="s">
        <v>631</v>
      </c>
      <c r="B4" s="99" t="s">
        <v>632</v>
      </c>
      <c r="C4" s="96">
        <v>2.0</v>
      </c>
      <c r="D4" s="96">
        <v>0.0</v>
      </c>
      <c r="E4" s="96">
        <v>0.0</v>
      </c>
      <c r="F4" s="97">
        <f t="shared" si="1"/>
        <v>2</v>
      </c>
      <c r="G4" s="98">
        <f t="shared" si="2"/>
        <v>0.0006216972334</v>
      </c>
      <c r="H4" s="23" t="s">
        <v>633</v>
      </c>
      <c r="J4" s="23" t="s">
        <v>634</v>
      </c>
    </row>
    <row r="5">
      <c r="A5" s="94" t="s">
        <v>635</v>
      </c>
      <c r="B5" s="95" t="s">
        <v>636</v>
      </c>
      <c r="C5" s="96">
        <v>18.0</v>
      </c>
      <c r="D5" s="96">
        <v>7.0</v>
      </c>
      <c r="E5" s="96">
        <v>1.0</v>
      </c>
      <c r="F5" s="97">
        <f t="shared" si="1"/>
        <v>26</v>
      </c>
      <c r="G5" s="98">
        <f t="shared" si="2"/>
        <v>0.008082064035</v>
      </c>
      <c r="H5" s="23" t="s">
        <v>474</v>
      </c>
      <c r="I5" s="23" t="s">
        <v>625</v>
      </c>
      <c r="J5" s="23" t="s">
        <v>173</v>
      </c>
      <c r="K5" s="23" t="s">
        <v>637</v>
      </c>
    </row>
    <row r="6">
      <c r="A6" s="94" t="s">
        <v>638</v>
      </c>
      <c r="B6" s="95" t="s">
        <v>639</v>
      </c>
      <c r="C6" s="96">
        <v>3.0</v>
      </c>
      <c r="D6" s="96">
        <v>2.0</v>
      </c>
      <c r="E6" s="96">
        <v>0.0</v>
      </c>
      <c r="F6" s="97">
        <f t="shared" si="1"/>
        <v>5</v>
      </c>
      <c r="G6" s="98">
        <f t="shared" si="2"/>
        <v>0.001554243084</v>
      </c>
      <c r="H6" s="23" t="s">
        <v>640</v>
      </c>
      <c r="J6" s="23" t="s">
        <v>641</v>
      </c>
      <c r="K6" s="23" t="s">
        <v>642</v>
      </c>
    </row>
    <row r="7">
      <c r="A7" s="94" t="s">
        <v>643</v>
      </c>
      <c r="B7" s="95" t="s">
        <v>644</v>
      </c>
      <c r="C7" s="96">
        <v>9.0</v>
      </c>
      <c r="D7" s="96">
        <v>4.0</v>
      </c>
      <c r="E7" s="96">
        <v>0.0</v>
      </c>
      <c r="F7" s="97">
        <f t="shared" si="1"/>
        <v>13</v>
      </c>
      <c r="G7" s="98">
        <f t="shared" si="2"/>
        <v>0.004041032017</v>
      </c>
    </row>
    <row r="8">
      <c r="A8" s="94" t="s">
        <v>645</v>
      </c>
      <c r="B8" s="95" t="s">
        <v>646</v>
      </c>
      <c r="C8" s="96">
        <v>5.0</v>
      </c>
      <c r="D8" s="96">
        <v>0.0</v>
      </c>
      <c r="E8" s="96">
        <v>0.0</v>
      </c>
      <c r="F8" s="97">
        <f t="shared" si="1"/>
        <v>5</v>
      </c>
      <c r="G8" s="98">
        <f t="shared" si="2"/>
        <v>0.001554243084</v>
      </c>
    </row>
    <row r="9">
      <c r="A9" s="94" t="s">
        <v>647</v>
      </c>
      <c r="B9" s="100"/>
      <c r="C9" s="96">
        <v>77.0</v>
      </c>
      <c r="D9" s="96">
        <v>23.0</v>
      </c>
      <c r="E9" s="96">
        <v>0.0</v>
      </c>
      <c r="F9" s="97">
        <f t="shared" si="1"/>
        <v>100</v>
      </c>
      <c r="G9" s="98">
        <f t="shared" si="2"/>
        <v>0.03108486167</v>
      </c>
    </row>
    <row r="10">
      <c r="A10" s="94" t="s">
        <v>648</v>
      </c>
      <c r="B10" s="100"/>
      <c r="C10" s="96">
        <v>17.0</v>
      </c>
      <c r="D10" s="96">
        <v>3.0</v>
      </c>
      <c r="E10" s="96">
        <v>0.0</v>
      </c>
      <c r="F10" s="97">
        <f t="shared" si="1"/>
        <v>20</v>
      </c>
      <c r="G10" s="98">
        <f t="shared" si="2"/>
        <v>0.006216972334</v>
      </c>
    </row>
    <row r="11">
      <c r="A11" s="94" t="s">
        <v>649</v>
      </c>
      <c r="B11" s="95" t="s">
        <v>650</v>
      </c>
      <c r="C11" s="96">
        <v>31.0</v>
      </c>
      <c r="D11" s="96">
        <v>4.0</v>
      </c>
      <c r="E11" s="96">
        <v>0.0</v>
      </c>
      <c r="F11" s="97">
        <f t="shared" si="1"/>
        <v>35</v>
      </c>
      <c r="G11" s="98">
        <f t="shared" si="2"/>
        <v>0.01087970159</v>
      </c>
    </row>
    <row r="12">
      <c r="A12" s="94" t="s">
        <v>651</v>
      </c>
      <c r="B12" s="100"/>
      <c r="C12" s="96">
        <v>4.0</v>
      </c>
      <c r="D12" s="96">
        <v>0.0</v>
      </c>
      <c r="E12" s="96">
        <v>2.0</v>
      </c>
      <c r="F12" s="97">
        <f t="shared" si="1"/>
        <v>6</v>
      </c>
      <c r="G12" s="98">
        <f t="shared" si="2"/>
        <v>0.0018650917</v>
      </c>
    </row>
    <row r="13">
      <c r="A13" s="94" t="s">
        <v>652</v>
      </c>
      <c r="B13" s="99" t="s">
        <v>653</v>
      </c>
      <c r="C13" s="96">
        <v>9.0</v>
      </c>
      <c r="D13" s="96">
        <v>2.0</v>
      </c>
      <c r="E13" s="96">
        <v>1.0</v>
      </c>
      <c r="F13" s="97">
        <f t="shared" si="1"/>
        <v>12</v>
      </c>
      <c r="G13" s="98">
        <f t="shared" si="2"/>
        <v>0.003730183401</v>
      </c>
    </row>
    <row r="14">
      <c r="A14" s="94" t="s">
        <v>654</v>
      </c>
      <c r="B14" s="95"/>
      <c r="C14" s="96">
        <v>9.0</v>
      </c>
      <c r="D14" s="96">
        <v>5.0</v>
      </c>
      <c r="E14" s="96">
        <v>1.0</v>
      </c>
      <c r="F14" s="97">
        <f t="shared" si="1"/>
        <v>15</v>
      </c>
      <c r="G14" s="98">
        <f t="shared" si="2"/>
        <v>0.004662729251</v>
      </c>
    </row>
    <row r="15">
      <c r="A15" s="94" t="s">
        <v>655</v>
      </c>
      <c r="B15" s="95" t="s">
        <v>656</v>
      </c>
      <c r="C15" s="96">
        <v>17.0</v>
      </c>
      <c r="D15" s="96">
        <v>7.0</v>
      </c>
      <c r="E15" s="96">
        <v>1.0</v>
      </c>
      <c r="F15" s="97">
        <f t="shared" si="1"/>
        <v>25</v>
      </c>
      <c r="G15" s="98">
        <f t="shared" si="2"/>
        <v>0.007771215418</v>
      </c>
    </row>
    <row r="16">
      <c r="A16" s="94" t="s">
        <v>657</v>
      </c>
      <c r="B16" s="95" t="s">
        <v>636</v>
      </c>
      <c r="C16" s="96">
        <v>1.0</v>
      </c>
      <c r="D16" s="96">
        <v>0.0</v>
      </c>
      <c r="E16" s="96">
        <v>0.0</v>
      </c>
      <c r="F16" s="97">
        <f t="shared" si="1"/>
        <v>1</v>
      </c>
      <c r="G16" s="98">
        <f t="shared" si="2"/>
        <v>0.0003108486167</v>
      </c>
    </row>
    <row r="17">
      <c r="A17" s="94" t="s">
        <v>658</v>
      </c>
      <c r="B17" s="95" t="s">
        <v>624</v>
      </c>
      <c r="C17" s="96">
        <v>3.0</v>
      </c>
      <c r="D17" s="96">
        <v>1.0</v>
      </c>
      <c r="E17" s="96">
        <v>0.0</v>
      </c>
      <c r="F17" s="97">
        <f t="shared" si="1"/>
        <v>4</v>
      </c>
      <c r="G17" s="98">
        <f t="shared" si="2"/>
        <v>0.001243394467</v>
      </c>
    </row>
    <row r="18">
      <c r="A18" s="94" t="s">
        <v>659</v>
      </c>
      <c r="B18" s="95" t="s">
        <v>660</v>
      </c>
      <c r="C18" s="96">
        <v>38.0</v>
      </c>
      <c r="D18" s="96">
        <v>4.0</v>
      </c>
      <c r="E18" s="96">
        <v>0.0</v>
      </c>
      <c r="F18" s="97">
        <f t="shared" si="1"/>
        <v>42</v>
      </c>
      <c r="G18" s="98">
        <f t="shared" si="2"/>
        <v>0.0130556419</v>
      </c>
    </row>
    <row r="19">
      <c r="A19" s="94" t="s">
        <v>661</v>
      </c>
      <c r="B19" s="95" t="s">
        <v>662</v>
      </c>
      <c r="C19" s="96">
        <v>1.0</v>
      </c>
      <c r="D19" s="96">
        <v>4.0</v>
      </c>
      <c r="E19" s="96">
        <v>1.0</v>
      </c>
      <c r="F19" s="97">
        <f t="shared" si="1"/>
        <v>6</v>
      </c>
      <c r="G19" s="98">
        <f t="shared" si="2"/>
        <v>0.0018650917</v>
      </c>
    </row>
    <row r="20">
      <c r="A20" s="94" t="s">
        <v>663</v>
      </c>
      <c r="B20" s="95" t="s">
        <v>664</v>
      </c>
      <c r="C20" s="96">
        <v>2.0</v>
      </c>
      <c r="D20" s="96">
        <v>1.0</v>
      </c>
      <c r="E20" s="96">
        <v>0.0</v>
      </c>
      <c r="F20" s="97">
        <f t="shared" si="1"/>
        <v>3</v>
      </c>
      <c r="G20" s="98">
        <f t="shared" si="2"/>
        <v>0.0009325458502</v>
      </c>
    </row>
    <row r="21">
      <c r="A21" s="91" t="s">
        <v>665</v>
      </c>
      <c r="B21" s="95" t="s">
        <v>666</v>
      </c>
      <c r="C21" s="96">
        <v>3.0</v>
      </c>
      <c r="D21" s="96">
        <v>3.0</v>
      </c>
      <c r="E21" s="96">
        <v>0.0</v>
      </c>
      <c r="F21" s="97">
        <f t="shared" si="1"/>
        <v>6</v>
      </c>
      <c r="G21" s="98">
        <f t="shared" si="2"/>
        <v>0.0018650917</v>
      </c>
    </row>
    <row r="22">
      <c r="A22" s="94" t="s">
        <v>667</v>
      </c>
      <c r="B22" s="100"/>
      <c r="C22" s="96">
        <v>64.0</v>
      </c>
      <c r="D22" s="96">
        <v>59.0</v>
      </c>
      <c r="E22" s="96">
        <v>11.0</v>
      </c>
      <c r="F22" s="97">
        <f t="shared" si="1"/>
        <v>134</v>
      </c>
      <c r="G22" s="98">
        <f t="shared" si="2"/>
        <v>0.04165371464</v>
      </c>
    </row>
    <row r="23">
      <c r="A23" s="94" t="s">
        <v>668</v>
      </c>
      <c r="B23" s="95" t="s">
        <v>624</v>
      </c>
      <c r="C23" s="96">
        <v>12.0</v>
      </c>
      <c r="D23" s="96">
        <v>3.0</v>
      </c>
      <c r="E23" s="96">
        <v>0.0</v>
      </c>
      <c r="F23" s="97">
        <f t="shared" si="1"/>
        <v>15</v>
      </c>
      <c r="G23" s="98">
        <f t="shared" si="2"/>
        <v>0.004662729251</v>
      </c>
    </row>
    <row r="24">
      <c r="A24" s="94" t="s">
        <v>669</v>
      </c>
      <c r="B24" s="95" t="s">
        <v>636</v>
      </c>
      <c r="C24" s="96">
        <v>59.0</v>
      </c>
      <c r="D24" s="96">
        <v>22.0</v>
      </c>
      <c r="E24" s="96">
        <v>1.0</v>
      </c>
      <c r="F24" s="97">
        <f t="shared" si="1"/>
        <v>82</v>
      </c>
      <c r="G24" s="98">
        <f t="shared" si="2"/>
        <v>0.02548958657</v>
      </c>
    </row>
    <row r="25">
      <c r="A25" s="94" t="s">
        <v>670</v>
      </c>
      <c r="B25" s="100"/>
      <c r="C25" s="96">
        <v>4.0</v>
      </c>
      <c r="D25" s="96">
        <v>0.0</v>
      </c>
      <c r="E25" s="96">
        <v>0.0</v>
      </c>
      <c r="F25" s="97">
        <f t="shared" si="1"/>
        <v>4</v>
      </c>
      <c r="G25" s="98">
        <f t="shared" si="2"/>
        <v>0.001243394467</v>
      </c>
    </row>
    <row r="26">
      <c r="A26" s="94" t="s">
        <v>671</v>
      </c>
      <c r="B26" s="95" t="s">
        <v>672</v>
      </c>
      <c r="C26" s="96">
        <v>53.0</v>
      </c>
      <c r="D26" s="96">
        <v>35.0</v>
      </c>
      <c r="E26" s="96">
        <v>1.0</v>
      </c>
      <c r="F26" s="97">
        <f t="shared" si="1"/>
        <v>89</v>
      </c>
      <c r="G26" s="98">
        <f t="shared" si="2"/>
        <v>0.02766552689</v>
      </c>
    </row>
    <row r="27">
      <c r="A27" s="94" t="s">
        <v>673</v>
      </c>
      <c r="B27" s="95" t="s">
        <v>674</v>
      </c>
      <c r="C27" s="96">
        <v>13.0</v>
      </c>
      <c r="D27" s="96">
        <v>5.0</v>
      </c>
      <c r="E27" s="96">
        <v>0.0</v>
      </c>
      <c r="F27" s="97">
        <f t="shared" si="1"/>
        <v>18</v>
      </c>
      <c r="G27" s="98">
        <f t="shared" si="2"/>
        <v>0.005595275101</v>
      </c>
    </row>
    <row r="28">
      <c r="A28" s="94" t="s">
        <v>675</v>
      </c>
      <c r="B28" s="95" t="s">
        <v>676</v>
      </c>
      <c r="C28" s="96">
        <v>7.0</v>
      </c>
      <c r="D28" s="96">
        <v>5.0</v>
      </c>
      <c r="E28" s="96">
        <v>0.0</v>
      </c>
      <c r="F28" s="97">
        <f t="shared" si="1"/>
        <v>12</v>
      </c>
      <c r="G28" s="98">
        <f t="shared" si="2"/>
        <v>0.003730183401</v>
      </c>
    </row>
    <row r="29">
      <c r="A29" s="94" t="s">
        <v>677</v>
      </c>
      <c r="B29" s="95" t="s">
        <v>477</v>
      </c>
      <c r="C29" s="96">
        <v>7.0</v>
      </c>
      <c r="D29" s="96">
        <v>7.0</v>
      </c>
      <c r="E29" s="96">
        <v>1.0</v>
      </c>
      <c r="F29" s="97">
        <f t="shared" si="1"/>
        <v>15</v>
      </c>
      <c r="G29" s="98">
        <f t="shared" si="2"/>
        <v>0.004662729251</v>
      </c>
    </row>
    <row r="30">
      <c r="A30" s="94" t="s">
        <v>678</v>
      </c>
      <c r="B30" s="100"/>
      <c r="C30" s="96">
        <v>30.0</v>
      </c>
      <c r="D30" s="96">
        <v>14.0</v>
      </c>
      <c r="E30" s="96">
        <v>1.0</v>
      </c>
      <c r="F30" s="97">
        <f t="shared" si="1"/>
        <v>45</v>
      </c>
      <c r="G30" s="98">
        <f t="shared" si="2"/>
        <v>0.01398818775</v>
      </c>
    </row>
    <row r="31">
      <c r="A31" s="94" t="s">
        <v>679</v>
      </c>
      <c r="B31" s="99" t="s">
        <v>680</v>
      </c>
      <c r="C31" s="96">
        <v>4.0</v>
      </c>
      <c r="D31" s="96">
        <v>2.0</v>
      </c>
      <c r="E31" s="96">
        <v>0.0</v>
      </c>
      <c r="F31" s="97">
        <f t="shared" si="1"/>
        <v>6</v>
      </c>
      <c r="G31" s="98">
        <f t="shared" si="2"/>
        <v>0.0018650917</v>
      </c>
    </row>
    <row r="32">
      <c r="A32" s="94" t="s">
        <v>681</v>
      </c>
      <c r="B32" s="99" t="s">
        <v>682</v>
      </c>
      <c r="C32" s="96">
        <v>8.0</v>
      </c>
      <c r="D32" s="96">
        <v>0.0</v>
      </c>
      <c r="E32" s="96">
        <v>0.0</v>
      </c>
      <c r="F32" s="97">
        <f t="shared" si="1"/>
        <v>8</v>
      </c>
      <c r="G32" s="98">
        <f t="shared" si="2"/>
        <v>0.002486788934</v>
      </c>
    </row>
    <row r="33">
      <c r="A33" s="94" t="s">
        <v>683</v>
      </c>
      <c r="B33" s="95" t="s">
        <v>684</v>
      </c>
      <c r="C33" s="96">
        <v>10.0</v>
      </c>
      <c r="D33" s="96">
        <v>2.0</v>
      </c>
      <c r="E33" s="96">
        <v>0.0</v>
      </c>
      <c r="F33" s="97">
        <f t="shared" si="1"/>
        <v>12</v>
      </c>
      <c r="G33" s="98">
        <f t="shared" si="2"/>
        <v>0.003730183401</v>
      </c>
    </row>
    <row r="34">
      <c r="A34" s="101" t="s">
        <v>685</v>
      </c>
      <c r="B34" s="100"/>
      <c r="C34" s="96">
        <v>5.0</v>
      </c>
      <c r="D34" s="96">
        <v>5.0</v>
      </c>
      <c r="E34" s="96">
        <v>0.0</v>
      </c>
      <c r="F34" s="97">
        <f t="shared" si="1"/>
        <v>10</v>
      </c>
      <c r="G34" s="98">
        <f t="shared" si="2"/>
        <v>0.003108486167</v>
      </c>
    </row>
    <row r="35">
      <c r="A35" s="101" t="s">
        <v>686</v>
      </c>
      <c r="B35" s="100"/>
      <c r="C35" s="96">
        <v>14.0</v>
      </c>
      <c r="D35" s="96">
        <v>3.0</v>
      </c>
      <c r="E35" s="96">
        <v>2.0</v>
      </c>
      <c r="F35" s="97">
        <f t="shared" si="1"/>
        <v>19</v>
      </c>
      <c r="G35" s="98">
        <f t="shared" si="2"/>
        <v>0.005906123718</v>
      </c>
    </row>
    <row r="36">
      <c r="A36" s="94" t="s">
        <v>687</v>
      </c>
      <c r="B36" s="99" t="s">
        <v>688</v>
      </c>
      <c r="C36" s="96">
        <v>15.0</v>
      </c>
      <c r="D36" s="96">
        <v>6.0</v>
      </c>
      <c r="E36" s="96">
        <v>2.0</v>
      </c>
      <c r="F36" s="97">
        <f t="shared" si="1"/>
        <v>23</v>
      </c>
      <c r="G36" s="98">
        <f t="shared" si="2"/>
        <v>0.007149518185</v>
      </c>
    </row>
    <row r="37">
      <c r="A37" s="94" t="s">
        <v>370</v>
      </c>
      <c r="B37" s="95" t="s">
        <v>689</v>
      </c>
      <c r="C37" s="96">
        <v>4.0</v>
      </c>
      <c r="D37" s="96">
        <v>4.0</v>
      </c>
      <c r="E37" s="96">
        <v>2.0</v>
      </c>
      <c r="F37" s="97">
        <f t="shared" si="1"/>
        <v>10</v>
      </c>
      <c r="G37" s="98">
        <f t="shared" si="2"/>
        <v>0.003108486167</v>
      </c>
    </row>
    <row r="38">
      <c r="A38" s="94" t="s">
        <v>690</v>
      </c>
      <c r="B38" s="100"/>
      <c r="C38" s="96">
        <v>26.0</v>
      </c>
      <c r="D38" s="96">
        <v>10.0</v>
      </c>
      <c r="E38" s="96">
        <v>0.0</v>
      </c>
      <c r="F38" s="97">
        <f t="shared" si="1"/>
        <v>36</v>
      </c>
      <c r="G38" s="98">
        <f t="shared" si="2"/>
        <v>0.0111905502</v>
      </c>
    </row>
    <row r="39">
      <c r="A39" s="91" t="s">
        <v>691</v>
      </c>
      <c r="B39" s="100"/>
      <c r="C39" s="96">
        <v>4.0</v>
      </c>
      <c r="D39" s="96">
        <v>8.0</v>
      </c>
      <c r="E39" s="96">
        <v>1.0</v>
      </c>
      <c r="F39" s="97">
        <f t="shared" si="1"/>
        <v>13</v>
      </c>
      <c r="G39" s="98">
        <f t="shared" si="2"/>
        <v>0.004041032017</v>
      </c>
    </row>
    <row r="40">
      <c r="A40" s="94" t="s">
        <v>692</v>
      </c>
      <c r="B40" s="100"/>
      <c r="C40" s="96">
        <v>6.0</v>
      </c>
      <c r="D40" s="96">
        <v>1.0</v>
      </c>
      <c r="E40" s="96">
        <v>0.0</v>
      </c>
      <c r="F40" s="97">
        <f t="shared" si="1"/>
        <v>7</v>
      </c>
      <c r="G40" s="98">
        <f t="shared" si="2"/>
        <v>0.002175940317</v>
      </c>
    </row>
    <row r="41">
      <c r="A41" s="94" t="s">
        <v>693</v>
      </c>
      <c r="B41" s="95" t="s">
        <v>636</v>
      </c>
      <c r="C41" s="96">
        <v>18.0</v>
      </c>
      <c r="D41" s="96">
        <v>2.0</v>
      </c>
      <c r="E41" s="96">
        <v>0.0</v>
      </c>
      <c r="F41" s="97">
        <f t="shared" si="1"/>
        <v>20</v>
      </c>
      <c r="G41" s="98">
        <f t="shared" si="2"/>
        <v>0.006216972334</v>
      </c>
    </row>
    <row r="42">
      <c r="A42" s="94" t="s">
        <v>694</v>
      </c>
      <c r="B42" s="100"/>
      <c r="C42" s="96">
        <v>6.0</v>
      </c>
      <c r="D42" s="96">
        <v>2.0</v>
      </c>
      <c r="E42" s="96">
        <v>0.0</v>
      </c>
      <c r="F42" s="97">
        <f t="shared" si="1"/>
        <v>8</v>
      </c>
      <c r="G42" s="98">
        <f t="shared" si="2"/>
        <v>0.002486788934</v>
      </c>
    </row>
    <row r="43">
      <c r="A43" s="94" t="s">
        <v>695</v>
      </c>
      <c r="B43" s="100"/>
      <c r="C43" s="96">
        <v>107.0</v>
      </c>
      <c r="D43" s="96">
        <v>85.0</v>
      </c>
      <c r="E43" s="96">
        <v>14.0</v>
      </c>
      <c r="F43" s="97">
        <f t="shared" si="1"/>
        <v>206</v>
      </c>
      <c r="G43" s="98">
        <f t="shared" si="2"/>
        <v>0.06403481505</v>
      </c>
    </row>
    <row r="44">
      <c r="A44" s="94" t="s">
        <v>696</v>
      </c>
      <c r="B44" s="95" t="s">
        <v>650</v>
      </c>
      <c r="C44" s="96">
        <v>2.0</v>
      </c>
      <c r="D44" s="96">
        <v>1.0</v>
      </c>
      <c r="E44" s="96">
        <v>0.0</v>
      </c>
      <c r="F44" s="97">
        <f t="shared" si="1"/>
        <v>3</v>
      </c>
      <c r="G44" s="98">
        <f t="shared" si="2"/>
        <v>0.0009325458502</v>
      </c>
    </row>
    <row r="45">
      <c r="A45" s="94" t="s">
        <v>697</v>
      </c>
      <c r="B45" s="100"/>
      <c r="C45" s="96">
        <v>2.0</v>
      </c>
      <c r="D45" s="96">
        <v>0.0</v>
      </c>
      <c r="E45" s="96">
        <v>0.0</v>
      </c>
      <c r="F45" s="97">
        <f t="shared" si="1"/>
        <v>2</v>
      </c>
      <c r="G45" s="98">
        <f t="shared" si="2"/>
        <v>0.0006216972334</v>
      </c>
    </row>
    <row r="46">
      <c r="A46" s="94" t="s">
        <v>698</v>
      </c>
      <c r="B46" s="95" t="s">
        <v>699</v>
      </c>
      <c r="C46" s="96">
        <v>8.0</v>
      </c>
      <c r="D46" s="96">
        <v>1.0</v>
      </c>
      <c r="E46" s="96">
        <v>0.0</v>
      </c>
      <c r="F46" s="97">
        <f t="shared" si="1"/>
        <v>9</v>
      </c>
      <c r="G46" s="98">
        <f t="shared" si="2"/>
        <v>0.002797637551</v>
      </c>
    </row>
    <row r="47">
      <c r="A47" s="101" t="s">
        <v>700</v>
      </c>
      <c r="B47" s="100"/>
      <c r="C47" s="96">
        <v>10.0</v>
      </c>
      <c r="D47" s="96">
        <v>1.0</v>
      </c>
      <c r="E47" s="96">
        <v>0.0</v>
      </c>
      <c r="F47" s="97">
        <f t="shared" si="1"/>
        <v>11</v>
      </c>
      <c r="G47" s="98">
        <f t="shared" si="2"/>
        <v>0.003419334784</v>
      </c>
    </row>
    <row r="48">
      <c r="A48" s="94" t="s">
        <v>701</v>
      </c>
      <c r="B48" s="95" t="s">
        <v>702</v>
      </c>
      <c r="C48" s="96">
        <v>17.0</v>
      </c>
      <c r="D48" s="96">
        <v>5.0</v>
      </c>
      <c r="E48" s="96">
        <v>0.0</v>
      </c>
      <c r="F48" s="97">
        <f t="shared" si="1"/>
        <v>22</v>
      </c>
      <c r="G48" s="98">
        <f t="shared" si="2"/>
        <v>0.006838669568</v>
      </c>
    </row>
    <row r="49">
      <c r="A49" s="94" t="s">
        <v>703</v>
      </c>
      <c r="B49" s="95" t="s">
        <v>704</v>
      </c>
      <c r="C49" s="96">
        <v>1.0</v>
      </c>
      <c r="D49" s="96">
        <v>2.0</v>
      </c>
      <c r="E49" s="96">
        <v>0.0</v>
      </c>
      <c r="F49" s="97">
        <f t="shared" si="1"/>
        <v>3</v>
      </c>
      <c r="G49" s="98">
        <f t="shared" si="2"/>
        <v>0.0009325458502</v>
      </c>
    </row>
    <row r="50">
      <c r="A50" s="101" t="s">
        <v>705</v>
      </c>
      <c r="B50" s="95" t="s">
        <v>706</v>
      </c>
      <c r="C50" s="96">
        <v>1.0</v>
      </c>
      <c r="D50" s="96">
        <v>2.0</v>
      </c>
      <c r="E50" s="96">
        <v>0.0</v>
      </c>
      <c r="F50" s="97">
        <f t="shared" si="1"/>
        <v>3</v>
      </c>
      <c r="G50" s="98">
        <f t="shared" si="2"/>
        <v>0.0009325458502</v>
      </c>
    </row>
    <row r="51">
      <c r="A51" s="94" t="s">
        <v>707</v>
      </c>
      <c r="B51" s="95" t="s">
        <v>708</v>
      </c>
      <c r="C51" s="96">
        <v>7.0</v>
      </c>
      <c r="D51" s="96">
        <v>5.0</v>
      </c>
      <c r="E51" s="96">
        <v>0.0</v>
      </c>
      <c r="F51" s="97">
        <f t="shared" si="1"/>
        <v>12</v>
      </c>
      <c r="G51" s="98">
        <f t="shared" si="2"/>
        <v>0.003730183401</v>
      </c>
    </row>
    <row r="52">
      <c r="A52" s="94" t="s">
        <v>709</v>
      </c>
      <c r="B52" s="95" t="s">
        <v>708</v>
      </c>
      <c r="C52" s="96">
        <v>16.0</v>
      </c>
      <c r="D52" s="96">
        <v>11.0</v>
      </c>
      <c r="E52" s="96">
        <v>0.0</v>
      </c>
      <c r="F52" s="97">
        <f t="shared" si="1"/>
        <v>27</v>
      </c>
      <c r="G52" s="98">
        <f t="shared" si="2"/>
        <v>0.008392912652</v>
      </c>
    </row>
    <row r="53">
      <c r="A53" s="94" t="s">
        <v>710</v>
      </c>
      <c r="B53" s="100"/>
      <c r="C53" s="96">
        <v>1.0</v>
      </c>
      <c r="D53" s="96">
        <v>2.0</v>
      </c>
      <c r="E53" s="96">
        <v>0.0</v>
      </c>
      <c r="F53" s="97">
        <f t="shared" si="1"/>
        <v>3</v>
      </c>
      <c r="G53" s="98">
        <f t="shared" si="2"/>
        <v>0.0009325458502</v>
      </c>
    </row>
    <row r="54">
      <c r="A54" s="94" t="s">
        <v>711</v>
      </c>
      <c r="B54" s="95" t="s">
        <v>712</v>
      </c>
      <c r="C54" s="96">
        <v>21.0</v>
      </c>
      <c r="D54" s="96">
        <v>12.0</v>
      </c>
      <c r="E54" s="96">
        <v>1.0</v>
      </c>
      <c r="F54" s="97">
        <f t="shared" si="1"/>
        <v>34</v>
      </c>
      <c r="G54" s="98">
        <f t="shared" si="2"/>
        <v>0.01056885297</v>
      </c>
    </row>
    <row r="55">
      <c r="A55" s="94" t="s">
        <v>713</v>
      </c>
      <c r="B55" s="100"/>
      <c r="C55" s="96">
        <v>15.0</v>
      </c>
      <c r="D55" s="96">
        <v>1.0</v>
      </c>
      <c r="E55" s="96">
        <v>0.0</v>
      </c>
      <c r="F55" s="97">
        <f t="shared" si="1"/>
        <v>16</v>
      </c>
      <c r="G55" s="98">
        <f t="shared" si="2"/>
        <v>0.004973577868</v>
      </c>
    </row>
    <row r="56">
      <c r="A56" s="94" t="s">
        <v>714</v>
      </c>
      <c r="B56" s="99" t="s">
        <v>715</v>
      </c>
      <c r="C56" s="96">
        <v>26.0</v>
      </c>
      <c r="D56" s="96">
        <v>12.0</v>
      </c>
      <c r="E56" s="96">
        <v>3.0</v>
      </c>
      <c r="F56" s="97">
        <f t="shared" si="1"/>
        <v>41</v>
      </c>
      <c r="G56" s="98">
        <f t="shared" si="2"/>
        <v>0.01274479329</v>
      </c>
    </row>
    <row r="57">
      <c r="A57" s="94" t="s">
        <v>716</v>
      </c>
      <c r="B57" s="100"/>
      <c r="C57" s="96">
        <v>5.0</v>
      </c>
      <c r="D57" s="96">
        <v>2.0</v>
      </c>
      <c r="E57" s="96">
        <v>0.0</v>
      </c>
      <c r="F57" s="97">
        <f t="shared" si="1"/>
        <v>7</v>
      </c>
      <c r="G57" s="98">
        <f t="shared" si="2"/>
        <v>0.002175940317</v>
      </c>
    </row>
    <row r="58">
      <c r="A58" s="94" t="s">
        <v>717</v>
      </c>
      <c r="B58" s="100"/>
      <c r="C58" s="96">
        <v>2.0</v>
      </c>
      <c r="D58" s="96">
        <v>1.0</v>
      </c>
      <c r="E58" s="96">
        <v>0.0</v>
      </c>
      <c r="F58" s="97">
        <f t="shared" si="1"/>
        <v>3</v>
      </c>
      <c r="G58" s="98">
        <f t="shared" si="2"/>
        <v>0.0009325458502</v>
      </c>
    </row>
    <row r="59">
      <c r="A59" s="94" t="s">
        <v>718</v>
      </c>
      <c r="B59" s="100"/>
      <c r="C59" s="96">
        <v>6.0</v>
      </c>
      <c r="D59" s="96">
        <v>3.0</v>
      </c>
      <c r="E59" s="96">
        <v>0.0</v>
      </c>
      <c r="F59" s="97">
        <f t="shared" si="1"/>
        <v>9</v>
      </c>
      <c r="G59" s="98">
        <f t="shared" si="2"/>
        <v>0.002797637551</v>
      </c>
    </row>
    <row r="60">
      <c r="A60" s="94" t="s">
        <v>719</v>
      </c>
      <c r="B60" s="95" t="s">
        <v>650</v>
      </c>
      <c r="C60" s="96">
        <v>13.0</v>
      </c>
      <c r="D60" s="96">
        <v>4.0</v>
      </c>
      <c r="E60" s="96">
        <v>0.0</v>
      </c>
      <c r="F60" s="97">
        <f t="shared" si="1"/>
        <v>17</v>
      </c>
      <c r="G60" s="98">
        <f t="shared" si="2"/>
        <v>0.005284426484</v>
      </c>
    </row>
    <row r="61">
      <c r="A61" s="94" t="s">
        <v>720</v>
      </c>
      <c r="B61" s="100"/>
      <c r="C61" s="96">
        <v>3.0</v>
      </c>
      <c r="D61" s="96">
        <v>1.0</v>
      </c>
      <c r="E61" s="96">
        <v>0.0</v>
      </c>
      <c r="F61" s="97">
        <f t="shared" si="1"/>
        <v>4</v>
      </c>
      <c r="G61" s="98">
        <f t="shared" si="2"/>
        <v>0.001243394467</v>
      </c>
    </row>
    <row r="62">
      <c r="A62" s="91" t="s">
        <v>721</v>
      </c>
      <c r="B62" s="95" t="s">
        <v>722</v>
      </c>
      <c r="C62" s="96">
        <v>67.0</v>
      </c>
      <c r="D62" s="96">
        <v>22.0</v>
      </c>
      <c r="E62" s="96">
        <v>2.0</v>
      </c>
      <c r="F62" s="97">
        <f t="shared" si="1"/>
        <v>91</v>
      </c>
      <c r="G62" s="98">
        <f t="shared" si="2"/>
        <v>0.02828722412</v>
      </c>
    </row>
    <row r="63">
      <c r="A63" s="94" t="s">
        <v>723</v>
      </c>
      <c r="B63" s="100"/>
      <c r="C63" s="96">
        <v>5.0</v>
      </c>
      <c r="D63" s="96">
        <v>1.0</v>
      </c>
      <c r="E63" s="96">
        <v>0.0</v>
      </c>
      <c r="F63" s="97">
        <f t="shared" si="1"/>
        <v>6</v>
      </c>
      <c r="G63" s="98">
        <f t="shared" si="2"/>
        <v>0.0018650917</v>
      </c>
    </row>
    <row r="64">
      <c r="A64" s="94" t="s">
        <v>724</v>
      </c>
      <c r="B64" s="95" t="s">
        <v>725</v>
      </c>
      <c r="C64" s="96">
        <v>4.0</v>
      </c>
      <c r="D64" s="96">
        <v>3.0</v>
      </c>
      <c r="E64" s="96">
        <v>0.0</v>
      </c>
      <c r="F64" s="97">
        <f t="shared" si="1"/>
        <v>7</v>
      </c>
      <c r="G64" s="98">
        <f t="shared" si="2"/>
        <v>0.002175940317</v>
      </c>
    </row>
    <row r="65">
      <c r="A65" s="94" t="s">
        <v>726</v>
      </c>
      <c r="B65" s="95" t="s">
        <v>727</v>
      </c>
      <c r="C65" s="96">
        <v>11.0</v>
      </c>
      <c r="D65" s="96">
        <v>6.0</v>
      </c>
      <c r="E65" s="96">
        <v>0.0</v>
      </c>
      <c r="F65" s="97">
        <f t="shared" si="1"/>
        <v>17</v>
      </c>
      <c r="G65" s="98">
        <f t="shared" si="2"/>
        <v>0.005284426484</v>
      </c>
    </row>
    <row r="66">
      <c r="A66" s="94" t="s">
        <v>728</v>
      </c>
      <c r="B66" s="95" t="s">
        <v>729</v>
      </c>
      <c r="C66" s="96">
        <v>20.0</v>
      </c>
      <c r="D66" s="96">
        <v>9.0</v>
      </c>
      <c r="E66" s="96">
        <v>3.0</v>
      </c>
      <c r="F66" s="97">
        <f t="shared" si="1"/>
        <v>32</v>
      </c>
      <c r="G66" s="98">
        <f t="shared" si="2"/>
        <v>0.009947155735</v>
      </c>
    </row>
    <row r="67">
      <c r="A67" s="94" t="s">
        <v>730</v>
      </c>
      <c r="B67" s="99" t="s">
        <v>731</v>
      </c>
      <c r="C67" s="96">
        <v>22.0</v>
      </c>
      <c r="D67" s="96">
        <v>20.0</v>
      </c>
      <c r="E67" s="96">
        <v>2.0</v>
      </c>
      <c r="F67" s="97">
        <f t="shared" si="1"/>
        <v>44</v>
      </c>
      <c r="G67" s="98">
        <f t="shared" si="2"/>
        <v>0.01367733914</v>
      </c>
    </row>
    <row r="68">
      <c r="A68" s="94" t="s">
        <v>732</v>
      </c>
      <c r="B68" s="99" t="s">
        <v>731</v>
      </c>
      <c r="C68" s="96">
        <v>50.0</v>
      </c>
      <c r="D68" s="96">
        <v>21.0</v>
      </c>
      <c r="E68" s="96">
        <v>4.0</v>
      </c>
      <c r="F68" s="97">
        <f t="shared" si="1"/>
        <v>75</v>
      </c>
      <c r="G68" s="98">
        <f t="shared" si="2"/>
        <v>0.02331364625</v>
      </c>
    </row>
    <row r="69">
      <c r="A69" s="94" t="s">
        <v>733</v>
      </c>
      <c r="B69" s="95" t="s">
        <v>727</v>
      </c>
      <c r="C69" s="96">
        <v>38.0</v>
      </c>
      <c r="D69" s="96">
        <v>22.0</v>
      </c>
      <c r="E69" s="96">
        <v>6.0</v>
      </c>
      <c r="F69" s="97">
        <f t="shared" si="1"/>
        <v>66</v>
      </c>
      <c r="G69" s="98">
        <f t="shared" si="2"/>
        <v>0.0205160087</v>
      </c>
    </row>
    <row r="70">
      <c r="A70" s="94" t="s">
        <v>734</v>
      </c>
      <c r="B70" s="100"/>
      <c r="C70" s="96">
        <v>3.0</v>
      </c>
      <c r="D70" s="96">
        <v>1.0</v>
      </c>
      <c r="E70" s="96">
        <v>0.0</v>
      </c>
      <c r="F70" s="97">
        <f t="shared" si="1"/>
        <v>4</v>
      </c>
      <c r="G70" s="98">
        <f t="shared" si="2"/>
        <v>0.001243394467</v>
      </c>
    </row>
    <row r="71">
      <c r="A71" s="94" t="s">
        <v>735</v>
      </c>
      <c r="B71" s="100"/>
      <c r="C71" s="96">
        <v>40.0</v>
      </c>
      <c r="D71" s="96">
        <v>22.0</v>
      </c>
      <c r="E71" s="96">
        <v>2.0</v>
      </c>
      <c r="F71" s="97">
        <f t="shared" si="1"/>
        <v>64</v>
      </c>
      <c r="G71" s="98">
        <f t="shared" si="2"/>
        <v>0.01989431147</v>
      </c>
    </row>
    <row r="72">
      <c r="A72" s="94" t="s">
        <v>736</v>
      </c>
      <c r="B72" s="95" t="s">
        <v>727</v>
      </c>
      <c r="C72" s="96">
        <v>2.0</v>
      </c>
      <c r="D72" s="96">
        <v>2.0</v>
      </c>
      <c r="E72" s="96">
        <v>0.0</v>
      </c>
      <c r="F72" s="97">
        <f t="shared" si="1"/>
        <v>4</v>
      </c>
      <c r="G72" s="98">
        <f t="shared" si="2"/>
        <v>0.001243394467</v>
      </c>
    </row>
    <row r="73">
      <c r="A73" s="94" t="s">
        <v>737</v>
      </c>
      <c r="B73" s="99" t="s">
        <v>738</v>
      </c>
      <c r="C73" s="96">
        <v>3.0</v>
      </c>
      <c r="D73" s="96">
        <v>1.0</v>
      </c>
      <c r="E73" s="96">
        <v>0.0</v>
      </c>
      <c r="F73" s="97">
        <f t="shared" si="1"/>
        <v>4</v>
      </c>
      <c r="G73" s="98">
        <f t="shared" si="2"/>
        <v>0.001243394467</v>
      </c>
    </row>
    <row r="74">
      <c r="A74" s="94" t="s">
        <v>739</v>
      </c>
      <c r="B74" s="99" t="s">
        <v>740</v>
      </c>
      <c r="C74" s="96">
        <v>3.0</v>
      </c>
      <c r="D74" s="96">
        <v>1.0</v>
      </c>
      <c r="E74" s="96">
        <v>0.0</v>
      </c>
      <c r="F74" s="97">
        <f t="shared" si="1"/>
        <v>4</v>
      </c>
      <c r="G74" s="98">
        <f t="shared" si="2"/>
        <v>0.001243394467</v>
      </c>
    </row>
    <row r="75">
      <c r="A75" s="94" t="s">
        <v>741</v>
      </c>
      <c r="B75" s="99" t="s">
        <v>742</v>
      </c>
      <c r="C75" s="96">
        <v>4.0</v>
      </c>
      <c r="D75" s="96">
        <v>0.0</v>
      </c>
      <c r="E75" s="96">
        <v>0.0</v>
      </c>
      <c r="F75" s="97">
        <f t="shared" si="1"/>
        <v>4</v>
      </c>
      <c r="G75" s="98">
        <f t="shared" si="2"/>
        <v>0.001243394467</v>
      </c>
    </row>
    <row r="76">
      <c r="A76" s="94" t="s">
        <v>743</v>
      </c>
      <c r="B76" s="95" t="s">
        <v>744</v>
      </c>
      <c r="C76" s="96">
        <v>4.0</v>
      </c>
      <c r="D76" s="96">
        <v>1.0</v>
      </c>
      <c r="E76" s="96">
        <v>0.0</v>
      </c>
      <c r="F76" s="97">
        <f t="shared" si="1"/>
        <v>5</v>
      </c>
      <c r="G76" s="98">
        <f t="shared" si="2"/>
        <v>0.001554243084</v>
      </c>
    </row>
    <row r="77">
      <c r="A77" s="94" t="s">
        <v>745</v>
      </c>
      <c r="B77" s="99" t="s">
        <v>746</v>
      </c>
      <c r="C77" s="96">
        <v>8.0</v>
      </c>
      <c r="D77" s="96">
        <v>2.0</v>
      </c>
      <c r="E77" s="96">
        <v>0.0</v>
      </c>
      <c r="F77" s="97">
        <f t="shared" si="1"/>
        <v>10</v>
      </c>
      <c r="G77" s="98">
        <f t="shared" si="2"/>
        <v>0.003108486167</v>
      </c>
    </row>
    <row r="78">
      <c r="A78" s="94" t="s">
        <v>747</v>
      </c>
      <c r="B78" s="95" t="s">
        <v>264</v>
      </c>
      <c r="C78" s="96">
        <v>20.0</v>
      </c>
      <c r="D78" s="96">
        <v>14.0</v>
      </c>
      <c r="E78" s="96">
        <v>6.0</v>
      </c>
      <c r="F78" s="97">
        <f t="shared" si="1"/>
        <v>40</v>
      </c>
      <c r="G78" s="98">
        <f t="shared" si="2"/>
        <v>0.01243394467</v>
      </c>
    </row>
    <row r="79">
      <c r="A79" s="94" t="s">
        <v>748</v>
      </c>
      <c r="B79" s="99" t="s">
        <v>749</v>
      </c>
      <c r="C79" s="96">
        <v>14.0</v>
      </c>
      <c r="D79" s="96">
        <v>9.0</v>
      </c>
      <c r="E79" s="96">
        <v>0.0</v>
      </c>
      <c r="F79" s="97">
        <f t="shared" si="1"/>
        <v>23</v>
      </c>
      <c r="G79" s="98">
        <f t="shared" si="2"/>
        <v>0.007149518185</v>
      </c>
    </row>
    <row r="80">
      <c r="A80" s="94" t="s">
        <v>750</v>
      </c>
      <c r="B80" s="99" t="s">
        <v>751</v>
      </c>
      <c r="C80" s="96">
        <v>1.0</v>
      </c>
      <c r="D80" s="96">
        <v>2.0</v>
      </c>
      <c r="E80" s="96">
        <v>0.0</v>
      </c>
      <c r="F80" s="97">
        <f t="shared" si="1"/>
        <v>3</v>
      </c>
      <c r="G80" s="98">
        <f t="shared" si="2"/>
        <v>0.0009325458502</v>
      </c>
    </row>
    <row r="81">
      <c r="A81" s="94" t="s">
        <v>752</v>
      </c>
      <c r="B81" s="100"/>
      <c r="C81" s="96">
        <v>5.0</v>
      </c>
      <c r="D81" s="96">
        <v>3.0</v>
      </c>
      <c r="E81" s="96">
        <v>0.0</v>
      </c>
      <c r="F81" s="97">
        <f t="shared" si="1"/>
        <v>8</v>
      </c>
      <c r="G81" s="98">
        <f t="shared" si="2"/>
        <v>0.002486788934</v>
      </c>
    </row>
    <row r="82">
      <c r="A82" s="94" t="s">
        <v>753</v>
      </c>
      <c r="B82" s="100"/>
      <c r="C82" s="96">
        <v>3.0</v>
      </c>
      <c r="D82" s="96">
        <v>1.0</v>
      </c>
      <c r="E82" s="96">
        <v>0.0</v>
      </c>
      <c r="F82" s="97">
        <f t="shared" si="1"/>
        <v>4</v>
      </c>
      <c r="G82" s="98">
        <f t="shared" si="2"/>
        <v>0.001243394467</v>
      </c>
    </row>
    <row r="83">
      <c r="A83" s="94" t="s">
        <v>754</v>
      </c>
      <c r="B83" s="100"/>
      <c r="C83" s="96">
        <v>9.0</v>
      </c>
      <c r="D83" s="96">
        <v>2.0</v>
      </c>
      <c r="E83" s="96">
        <v>0.0</v>
      </c>
      <c r="F83" s="97">
        <f t="shared" si="1"/>
        <v>11</v>
      </c>
      <c r="G83" s="98">
        <f t="shared" si="2"/>
        <v>0.003419334784</v>
      </c>
    </row>
    <row r="84">
      <c r="A84" s="94" t="s">
        <v>755</v>
      </c>
      <c r="B84" s="100"/>
      <c r="C84" s="96">
        <v>23.0</v>
      </c>
      <c r="D84" s="96">
        <v>11.0</v>
      </c>
      <c r="E84" s="96">
        <v>1.0</v>
      </c>
      <c r="F84" s="97">
        <f t="shared" si="1"/>
        <v>35</v>
      </c>
      <c r="G84" s="98">
        <f t="shared" si="2"/>
        <v>0.01087970159</v>
      </c>
    </row>
    <row r="85">
      <c r="A85" s="94" t="s">
        <v>756</v>
      </c>
      <c r="B85" s="100"/>
      <c r="C85" s="96">
        <v>53.0</v>
      </c>
      <c r="D85" s="96">
        <v>20.0</v>
      </c>
      <c r="E85" s="96">
        <v>6.0</v>
      </c>
      <c r="F85" s="97">
        <f t="shared" si="1"/>
        <v>79</v>
      </c>
      <c r="G85" s="98">
        <f t="shared" si="2"/>
        <v>0.02455704072</v>
      </c>
    </row>
    <row r="86">
      <c r="A86" s="94" t="s">
        <v>757</v>
      </c>
      <c r="B86" s="95" t="s">
        <v>477</v>
      </c>
      <c r="C86" s="96">
        <v>32.0</v>
      </c>
      <c r="D86" s="96">
        <v>16.0</v>
      </c>
      <c r="E86" s="96">
        <v>4.0</v>
      </c>
      <c r="F86" s="97">
        <f t="shared" si="1"/>
        <v>52</v>
      </c>
      <c r="G86" s="98">
        <f t="shared" si="2"/>
        <v>0.01616412807</v>
      </c>
    </row>
    <row r="87">
      <c r="A87" s="94" t="s">
        <v>758</v>
      </c>
      <c r="B87" s="95" t="s">
        <v>759</v>
      </c>
      <c r="C87" s="96">
        <v>83.0</v>
      </c>
      <c r="D87" s="96">
        <v>41.0</v>
      </c>
      <c r="E87" s="96">
        <v>6.0</v>
      </c>
      <c r="F87" s="97">
        <f t="shared" si="1"/>
        <v>130</v>
      </c>
      <c r="G87" s="98">
        <f t="shared" si="2"/>
        <v>0.04041032017</v>
      </c>
    </row>
    <row r="88">
      <c r="A88" s="94" t="s">
        <v>758</v>
      </c>
      <c r="B88" s="100"/>
      <c r="C88" s="96">
        <v>7.0</v>
      </c>
      <c r="D88" s="96">
        <v>2.0</v>
      </c>
      <c r="E88" s="96">
        <v>1.0</v>
      </c>
      <c r="F88" s="97">
        <f t="shared" si="1"/>
        <v>10</v>
      </c>
      <c r="G88" s="98">
        <f t="shared" si="2"/>
        <v>0.003108486167</v>
      </c>
    </row>
    <row r="89">
      <c r="A89" s="94" t="s">
        <v>760</v>
      </c>
      <c r="B89" s="95" t="s">
        <v>460</v>
      </c>
      <c r="C89" s="96">
        <v>11.0</v>
      </c>
      <c r="D89" s="96">
        <v>10.0</v>
      </c>
      <c r="E89" s="96">
        <v>0.0</v>
      </c>
      <c r="F89" s="97">
        <f t="shared" si="1"/>
        <v>21</v>
      </c>
      <c r="G89" s="98">
        <f t="shared" si="2"/>
        <v>0.006527820951</v>
      </c>
    </row>
    <row r="90">
      <c r="A90" s="94" t="s">
        <v>761</v>
      </c>
      <c r="B90" s="95" t="s">
        <v>722</v>
      </c>
      <c r="C90" s="96">
        <v>17.0</v>
      </c>
      <c r="D90" s="96">
        <v>13.0</v>
      </c>
      <c r="E90" s="96">
        <v>1.0</v>
      </c>
      <c r="F90" s="97">
        <f t="shared" si="1"/>
        <v>31</v>
      </c>
      <c r="G90" s="98">
        <f t="shared" si="2"/>
        <v>0.009636307118</v>
      </c>
    </row>
    <row r="91">
      <c r="A91" s="94" t="s">
        <v>762</v>
      </c>
      <c r="B91" s="100"/>
      <c r="C91" s="96">
        <v>26.0</v>
      </c>
      <c r="D91" s="96">
        <v>7.0</v>
      </c>
      <c r="E91" s="96">
        <v>1.0</v>
      </c>
      <c r="F91" s="97">
        <f t="shared" si="1"/>
        <v>34</v>
      </c>
      <c r="G91" s="98">
        <f t="shared" si="2"/>
        <v>0.01056885297</v>
      </c>
    </row>
    <row r="92">
      <c r="A92" s="94" t="s">
        <v>763</v>
      </c>
      <c r="B92" s="100"/>
      <c r="C92" s="96">
        <v>3.0</v>
      </c>
      <c r="D92" s="96">
        <v>3.0</v>
      </c>
      <c r="E92" s="96">
        <v>0.0</v>
      </c>
      <c r="F92" s="97">
        <f t="shared" si="1"/>
        <v>6</v>
      </c>
      <c r="G92" s="98">
        <f t="shared" si="2"/>
        <v>0.0018650917</v>
      </c>
    </row>
    <row r="93">
      <c r="A93" s="94" t="s">
        <v>764</v>
      </c>
      <c r="B93" s="95" t="s">
        <v>765</v>
      </c>
      <c r="C93" s="96">
        <v>3.0</v>
      </c>
      <c r="D93" s="96">
        <v>0.0</v>
      </c>
      <c r="E93" s="96">
        <v>0.0</v>
      </c>
      <c r="F93" s="97">
        <f t="shared" si="1"/>
        <v>3</v>
      </c>
      <c r="G93" s="98">
        <f t="shared" si="2"/>
        <v>0.0009325458502</v>
      </c>
    </row>
    <row r="94">
      <c r="A94" s="94" t="s">
        <v>766</v>
      </c>
      <c r="B94" s="95" t="s">
        <v>767</v>
      </c>
      <c r="C94" s="96">
        <v>6.0</v>
      </c>
      <c r="D94" s="96">
        <v>1.0</v>
      </c>
      <c r="E94" s="96">
        <v>0.0</v>
      </c>
      <c r="F94" s="97">
        <f t="shared" si="1"/>
        <v>7</v>
      </c>
      <c r="G94" s="98">
        <f t="shared" si="2"/>
        <v>0.002175940317</v>
      </c>
    </row>
    <row r="95">
      <c r="A95" s="102" t="s">
        <v>768</v>
      </c>
      <c r="B95" s="103" t="s">
        <v>769</v>
      </c>
      <c r="C95" s="96">
        <v>27.0</v>
      </c>
      <c r="D95" s="96">
        <v>20.0</v>
      </c>
      <c r="E95" s="96">
        <v>0.0</v>
      </c>
      <c r="F95" s="97">
        <f t="shared" si="1"/>
        <v>47</v>
      </c>
      <c r="G95" s="98">
        <f t="shared" si="2"/>
        <v>0.01460988499</v>
      </c>
    </row>
    <row r="96">
      <c r="A96" s="101" t="s">
        <v>770</v>
      </c>
      <c r="B96" s="100" t="s">
        <v>771</v>
      </c>
      <c r="C96" s="96">
        <v>30.0</v>
      </c>
      <c r="D96" s="96">
        <v>17.0</v>
      </c>
      <c r="E96" s="96">
        <v>2.0</v>
      </c>
      <c r="F96" s="97">
        <f t="shared" si="1"/>
        <v>49</v>
      </c>
      <c r="G96" s="98">
        <f t="shared" si="2"/>
        <v>0.01523158222</v>
      </c>
    </row>
    <row r="97">
      <c r="A97" s="101" t="s">
        <v>772</v>
      </c>
      <c r="B97" s="100"/>
      <c r="C97" s="96">
        <v>7.0</v>
      </c>
      <c r="D97" s="96">
        <v>10.0</v>
      </c>
      <c r="E97" s="96">
        <v>0.0</v>
      </c>
      <c r="F97" s="97">
        <f t="shared" si="1"/>
        <v>17</v>
      </c>
      <c r="G97" s="98">
        <f t="shared" si="2"/>
        <v>0.005284426484</v>
      </c>
    </row>
    <row r="98">
      <c r="A98" s="94" t="s">
        <v>773</v>
      </c>
      <c r="B98" s="95" t="s">
        <v>774</v>
      </c>
      <c r="C98" s="96">
        <v>3.0</v>
      </c>
      <c r="D98" s="96">
        <v>2.0</v>
      </c>
      <c r="E98" s="96">
        <v>0.0</v>
      </c>
      <c r="F98" s="97">
        <f t="shared" si="1"/>
        <v>5</v>
      </c>
      <c r="G98" s="98">
        <f t="shared" si="2"/>
        <v>0.001554243084</v>
      </c>
    </row>
    <row r="99">
      <c r="A99" s="94" t="s">
        <v>171</v>
      </c>
      <c r="B99" s="92" t="s">
        <v>473</v>
      </c>
      <c r="C99" s="104">
        <v>100.0</v>
      </c>
      <c r="D99" s="104">
        <v>48.0</v>
      </c>
      <c r="E99" s="104">
        <v>1.0</v>
      </c>
      <c r="F99" s="105">
        <f t="shared" si="1"/>
        <v>149</v>
      </c>
      <c r="G99" s="106">
        <f t="shared" si="2"/>
        <v>0.04631644389</v>
      </c>
      <c r="H99" s="24" t="s">
        <v>474</v>
      </c>
      <c r="I99" s="24" t="s">
        <v>625</v>
      </c>
      <c r="J99" s="24" t="s">
        <v>173</v>
      </c>
      <c r="K99" s="23" t="s">
        <v>637</v>
      </c>
      <c r="L99" s="105"/>
      <c r="M99" s="105"/>
      <c r="N99" s="105"/>
      <c r="O99" s="105"/>
      <c r="P99" s="105"/>
      <c r="Q99" s="105"/>
      <c r="R99" s="105"/>
      <c r="S99" s="105"/>
      <c r="T99" s="105"/>
      <c r="U99" s="105"/>
      <c r="V99" s="105"/>
      <c r="W99" s="105"/>
      <c r="X99" s="105"/>
      <c r="Y99" s="105"/>
      <c r="Z99" s="105"/>
      <c r="AA99" s="105"/>
    </row>
    <row r="100">
      <c r="A100" s="101" t="s">
        <v>775</v>
      </c>
      <c r="B100" s="103" t="s">
        <v>776</v>
      </c>
      <c r="C100" s="96">
        <v>2.0</v>
      </c>
      <c r="D100" s="96">
        <v>2.0</v>
      </c>
      <c r="E100" s="96">
        <v>0.0</v>
      </c>
      <c r="F100" s="97">
        <f t="shared" si="1"/>
        <v>4</v>
      </c>
      <c r="G100" s="98">
        <f t="shared" si="2"/>
        <v>0.001243394467</v>
      </c>
    </row>
    <row r="101">
      <c r="A101" s="101" t="s">
        <v>777</v>
      </c>
      <c r="B101" s="103" t="s">
        <v>778</v>
      </c>
      <c r="C101" s="96">
        <v>40.0</v>
      </c>
      <c r="D101" s="96">
        <v>17.0</v>
      </c>
      <c r="E101" s="96">
        <v>1.0</v>
      </c>
      <c r="F101" s="97">
        <f t="shared" si="1"/>
        <v>58</v>
      </c>
      <c r="G101" s="98">
        <f t="shared" si="2"/>
        <v>0.01802921977</v>
      </c>
    </row>
    <row r="102">
      <c r="A102" s="101" t="s">
        <v>779</v>
      </c>
      <c r="B102" s="100"/>
      <c r="C102" s="96">
        <v>8.0</v>
      </c>
      <c r="D102" s="96">
        <v>6.0</v>
      </c>
      <c r="E102" s="96">
        <v>1.0</v>
      </c>
      <c r="F102" s="97">
        <f t="shared" si="1"/>
        <v>15</v>
      </c>
      <c r="G102" s="98">
        <f t="shared" si="2"/>
        <v>0.004662729251</v>
      </c>
    </row>
    <row r="103">
      <c r="A103" s="101" t="s">
        <v>780</v>
      </c>
      <c r="B103" s="95" t="s">
        <v>463</v>
      </c>
      <c r="C103" s="96">
        <v>0.0</v>
      </c>
      <c r="D103" s="96">
        <v>1.0</v>
      </c>
      <c r="E103" s="96">
        <v>0.0</v>
      </c>
      <c r="F103" s="97">
        <f t="shared" si="1"/>
        <v>1</v>
      </c>
      <c r="G103" s="98">
        <f t="shared" si="2"/>
        <v>0.0003108486167</v>
      </c>
    </row>
    <row r="104">
      <c r="A104" s="101" t="s">
        <v>781</v>
      </c>
      <c r="B104" s="95" t="s">
        <v>782</v>
      </c>
      <c r="C104" s="96">
        <v>58.0</v>
      </c>
      <c r="D104" s="96">
        <v>47.0</v>
      </c>
      <c r="E104" s="96">
        <v>3.0</v>
      </c>
      <c r="F104" s="97">
        <f t="shared" si="1"/>
        <v>108</v>
      </c>
      <c r="G104" s="98">
        <f t="shared" si="2"/>
        <v>0.03357165061</v>
      </c>
    </row>
    <row r="105">
      <c r="A105" s="101" t="s">
        <v>783</v>
      </c>
      <c r="B105" s="95" t="s">
        <v>784</v>
      </c>
      <c r="C105" s="96">
        <v>7.0</v>
      </c>
      <c r="D105" s="96">
        <v>0.0</v>
      </c>
      <c r="E105" s="96">
        <v>0.0</v>
      </c>
      <c r="F105" s="97">
        <f t="shared" si="1"/>
        <v>7</v>
      </c>
      <c r="G105" s="98">
        <f t="shared" si="2"/>
        <v>0.002175940317</v>
      </c>
    </row>
    <row r="106">
      <c r="A106" s="101" t="s">
        <v>785</v>
      </c>
      <c r="B106" s="95" t="s">
        <v>786</v>
      </c>
      <c r="C106" s="96">
        <v>6.0</v>
      </c>
      <c r="D106" s="96">
        <v>2.0</v>
      </c>
      <c r="E106" s="96">
        <v>0.0</v>
      </c>
      <c r="F106" s="97">
        <f t="shared" si="1"/>
        <v>8</v>
      </c>
      <c r="G106" s="98">
        <f t="shared" si="2"/>
        <v>0.002486788934</v>
      </c>
    </row>
    <row r="107">
      <c r="A107" s="101" t="s">
        <v>787</v>
      </c>
      <c r="B107" s="103" t="s">
        <v>788</v>
      </c>
      <c r="C107" s="96">
        <v>8.0</v>
      </c>
      <c r="D107" s="96">
        <v>3.0</v>
      </c>
      <c r="E107" s="96">
        <v>0.0</v>
      </c>
      <c r="F107" s="97">
        <f t="shared" si="1"/>
        <v>11</v>
      </c>
      <c r="G107" s="98">
        <f t="shared" si="2"/>
        <v>0.003419334784</v>
      </c>
    </row>
    <row r="108">
      <c r="A108" s="101" t="s">
        <v>789</v>
      </c>
      <c r="B108" s="103" t="s">
        <v>790</v>
      </c>
      <c r="C108" s="96">
        <v>7.0</v>
      </c>
      <c r="D108" s="96">
        <v>3.0</v>
      </c>
      <c r="E108" s="96">
        <v>0.0</v>
      </c>
      <c r="F108" s="97">
        <f t="shared" si="1"/>
        <v>10</v>
      </c>
      <c r="G108" s="98">
        <f t="shared" si="2"/>
        <v>0.003108486167</v>
      </c>
    </row>
    <row r="109">
      <c r="A109" s="101" t="s">
        <v>791</v>
      </c>
      <c r="B109" s="95" t="s">
        <v>792</v>
      </c>
      <c r="C109" s="96">
        <v>4.0</v>
      </c>
      <c r="D109" s="96">
        <v>1.0</v>
      </c>
      <c r="E109" s="96">
        <v>0.0</v>
      </c>
      <c r="F109" s="97">
        <f t="shared" si="1"/>
        <v>5</v>
      </c>
      <c r="G109" s="98">
        <f t="shared" si="2"/>
        <v>0.001554243084</v>
      </c>
    </row>
    <row r="110">
      <c r="A110" s="101" t="s">
        <v>793</v>
      </c>
      <c r="B110" s="95" t="s">
        <v>794</v>
      </c>
      <c r="C110" s="96">
        <v>68.0</v>
      </c>
      <c r="D110" s="96">
        <v>19.0</v>
      </c>
      <c r="E110" s="96">
        <v>3.0</v>
      </c>
      <c r="F110" s="97">
        <f t="shared" si="1"/>
        <v>90</v>
      </c>
      <c r="G110" s="98">
        <f t="shared" si="2"/>
        <v>0.02797637551</v>
      </c>
    </row>
    <row r="111">
      <c r="A111" s="101" t="s">
        <v>795</v>
      </c>
      <c r="B111" s="95" t="s">
        <v>463</v>
      </c>
      <c r="C111" s="96">
        <v>9.0</v>
      </c>
      <c r="D111" s="96">
        <v>1.0</v>
      </c>
      <c r="E111" s="96">
        <v>0.0</v>
      </c>
      <c r="F111" s="97">
        <f t="shared" si="1"/>
        <v>10</v>
      </c>
      <c r="G111" s="98">
        <f t="shared" si="2"/>
        <v>0.003108486167</v>
      </c>
    </row>
    <row r="112">
      <c r="A112" s="101" t="s">
        <v>796</v>
      </c>
      <c r="B112" s="95" t="s">
        <v>463</v>
      </c>
      <c r="C112" s="96">
        <v>2.0</v>
      </c>
      <c r="D112" s="96">
        <v>2.0</v>
      </c>
      <c r="E112" s="96">
        <v>0.0</v>
      </c>
      <c r="F112" s="97">
        <f t="shared" si="1"/>
        <v>4</v>
      </c>
      <c r="G112" s="98">
        <f t="shared" si="2"/>
        <v>0.001243394467</v>
      </c>
    </row>
    <row r="113">
      <c r="A113" s="101" t="s">
        <v>797</v>
      </c>
      <c r="B113" s="95" t="s">
        <v>798</v>
      </c>
      <c r="C113" s="96">
        <v>27.0</v>
      </c>
      <c r="D113" s="96">
        <v>6.0</v>
      </c>
      <c r="E113" s="96">
        <v>0.0</v>
      </c>
      <c r="F113" s="97">
        <f t="shared" si="1"/>
        <v>33</v>
      </c>
      <c r="G113" s="98">
        <f t="shared" si="2"/>
        <v>0.01025800435</v>
      </c>
    </row>
    <row r="114">
      <c r="A114" s="101" t="s">
        <v>799</v>
      </c>
      <c r="B114" s="95" t="s">
        <v>800</v>
      </c>
      <c r="C114" s="96">
        <v>4.0</v>
      </c>
      <c r="D114" s="96">
        <v>4.0</v>
      </c>
      <c r="E114" s="96">
        <v>1.0</v>
      </c>
      <c r="F114" s="97">
        <f t="shared" si="1"/>
        <v>9</v>
      </c>
      <c r="G114" s="98">
        <f t="shared" si="2"/>
        <v>0.002797637551</v>
      </c>
    </row>
    <row r="115">
      <c r="A115" s="101" t="s">
        <v>801</v>
      </c>
      <c r="B115" s="95" t="s">
        <v>802</v>
      </c>
      <c r="C115" s="96">
        <v>18.0</v>
      </c>
      <c r="D115" s="96">
        <v>5.0</v>
      </c>
      <c r="E115" s="96">
        <v>0.0</v>
      </c>
      <c r="F115" s="97">
        <f t="shared" si="1"/>
        <v>23</v>
      </c>
      <c r="G115" s="98">
        <f t="shared" si="2"/>
        <v>0.007149518185</v>
      </c>
    </row>
    <row r="116">
      <c r="A116" s="101" t="s">
        <v>803</v>
      </c>
      <c r="B116" s="95" t="s">
        <v>804</v>
      </c>
      <c r="C116" s="96">
        <v>4.0</v>
      </c>
      <c r="D116" s="96">
        <v>1.0</v>
      </c>
      <c r="E116" s="96">
        <v>0.0</v>
      </c>
      <c r="F116" s="97">
        <f t="shared" si="1"/>
        <v>5</v>
      </c>
      <c r="G116" s="98">
        <f t="shared" si="2"/>
        <v>0.001554243084</v>
      </c>
    </row>
    <row r="117">
      <c r="A117" s="101" t="s">
        <v>805</v>
      </c>
      <c r="B117" s="100"/>
      <c r="C117" s="96">
        <v>6.0</v>
      </c>
      <c r="D117" s="96">
        <v>4.0</v>
      </c>
      <c r="E117" s="96">
        <v>0.0</v>
      </c>
      <c r="F117" s="97">
        <f t="shared" si="1"/>
        <v>10</v>
      </c>
      <c r="G117" s="98">
        <f t="shared" si="2"/>
        <v>0.003108486167</v>
      </c>
    </row>
    <row r="118">
      <c r="A118" s="101" t="s">
        <v>806</v>
      </c>
      <c r="B118" s="100"/>
      <c r="C118" s="96">
        <v>6.0</v>
      </c>
      <c r="D118" s="96">
        <v>2.0</v>
      </c>
      <c r="E118" s="96">
        <v>0.0</v>
      </c>
      <c r="F118" s="97">
        <f t="shared" si="1"/>
        <v>8</v>
      </c>
      <c r="G118" s="98">
        <f t="shared" si="2"/>
        <v>0.002486788934</v>
      </c>
    </row>
    <row r="119">
      <c r="A119" s="101" t="s">
        <v>807</v>
      </c>
      <c r="B119" s="95" t="s">
        <v>807</v>
      </c>
      <c r="C119" s="96">
        <v>124.0</v>
      </c>
      <c r="D119" s="96">
        <v>56.0</v>
      </c>
      <c r="E119" s="96">
        <v>12.0</v>
      </c>
      <c r="F119" s="97">
        <f t="shared" si="1"/>
        <v>192</v>
      </c>
      <c r="G119" s="98">
        <f t="shared" si="2"/>
        <v>0.05968293441</v>
      </c>
    </row>
    <row r="120">
      <c r="A120" s="101" t="s">
        <v>808</v>
      </c>
      <c r="B120" s="95" t="s">
        <v>809</v>
      </c>
      <c r="C120" s="96">
        <v>6.0</v>
      </c>
      <c r="D120" s="96">
        <v>2.0</v>
      </c>
      <c r="E120" s="96">
        <v>1.0</v>
      </c>
      <c r="F120" s="97">
        <f t="shared" si="1"/>
        <v>9</v>
      </c>
      <c r="G120" s="98">
        <f t="shared" si="2"/>
        <v>0.002797637551</v>
      </c>
    </row>
    <row r="121">
      <c r="A121" s="101" t="s">
        <v>810</v>
      </c>
      <c r="B121" s="95" t="s">
        <v>809</v>
      </c>
      <c r="C121" s="96">
        <v>14.0</v>
      </c>
      <c r="D121" s="96">
        <v>7.0</v>
      </c>
      <c r="E121" s="96">
        <v>0.0</v>
      </c>
      <c r="F121" s="97">
        <f t="shared" si="1"/>
        <v>21</v>
      </c>
      <c r="G121" s="98">
        <f t="shared" si="2"/>
        <v>0.006527820951</v>
      </c>
    </row>
    <row r="122">
      <c r="A122" s="101" t="s">
        <v>811</v>
      </c>
      <c r="B122" s="95" t="s">
        <v>812</v>
      </c>
      <c r="C122" s="96">
        <v>5.0</v>
      </c>
      <c r="D122" s="96">
        <v>3.0</v>
      </c>
      <c r="E122" s="96">
        <v>0.0</v>
      </c>
      <c r="F122" s="97">
        <f t="shared" si="1"/>
        <v>8</v>
      </c>
      <c r="G122" s="98">
        <f t="shared" si="2"/>
        <v>0.002486788934</v>
      </c>
    </row>
    <row r="123">
      <c r="A123" s="101" t="s">
        <v>813</v>
      </c>
      <c r="B123" s="100"/>
      <c r="C123" s="96">
        <v>5.0</v>
      </c>
      <c r="D123" s="96">
        <v>1.0</v>
      </c>
      <c r="E123" s="96">
        <v>0.0</v>
      </c>
      <c r="F123" s="97">
        <f t="shared" si="1"/>
        <v>6</v>
      </c>
      <c r="G123" s="98">
        <f t="shared" si="2"/>
        <v>0.0018650917</v>
      </c>
    </row>
    <row r="124">
      <c r="A124" s="101" t="s">
        <v>814</v>
      </c>
      <c r="B124" s="95" t="s">
        <v>814</v>
      </c>
      <c r="C124" s="96">
        <v>1.0</v>
      </c>
      <c r="D124" s="96">
        <v>0.0</v>
      </c>
      <c r="E124" s="96">
        <v>0.0</v>
      </c>
      <c r="F124" s="97">
        <f t="shared" si="1"/>
        <v>1</v>
      </c>
      <c r="G124" s="98">
        <f t="shared" si="2"/>
        <v>0.0003108486167</v>
      </c>
    </row>
    <row r="125">
      <c r="A125" s="94" t="s">
        <v>815</v>
      </c>
      <c r="B125" s="107"/>
      <c r="C125" s="105"/>
      <c r="D125" s="105"/>
      <c r="E125" s="105"/>
      <c r="F125" s="105">
        <f>sum(F2:F124)</f>
        <v>3217</v>
      </c>
      <c r="G125" s="98">
        <f t="shared" si="2"/>
        <v>1</v>
      </c>
    </row>
    <row r="126">
      <c r="A126" s="101"/>
      <c r="B126" s="108"/>
    </row>
    <row r="127">
      <c r="A127" s="101"/>
      <c r="B127" s="108"/>
    </row>
    <row r="128">
      <c r="A128" s="101"/>
      <c r="B128" s="108"/>
    </row>
    <row r="129">
      <c r="A129" s="101"/>
      <c r="B129" s="108"/>
    </row>
    <row r="130">
      <c r="A130" s="101"/>
      <c r="B130" s="108"/>
    </row>
    <row r="131">
      <c r="A131" s="101"/>
      <c r="B131" s="108"/>
    </row>
    <row r="132">
      <c r="A132" s="101"/>
      <c r="B132" s="108"/>
    </row>
    <row r="133">
      <c r="A133" s="101"/>
      <c r="B133" s="108"/>
    </row>
    <row r="134">
      <c r="A134" s="101"/>
      <c r="B134" s="108"/>
    </row>
    <row r="135">
      <c r="A135" s="101"/>
      <c r="B135" s="108"/>
    </row>
    <row r="136">
      <c r="A136" s="101"/>
      <c r="B136" s="108"/>
    </row>
    <row r="137">
      <c r="A137" s="101"/>
      <c r="B137" s="108"/>
    </row>
    <row r="138">
      <c r="A138" s="101"/>
      <c r="B138" s="108"/>
    </row>
    <row r="139">
      <c r="A139" s="101"/>
      <c r="B139" s="108"/>
    </row>
    <row r="140">
      <c r="A140" s="101"/>
      <c r="B140" s="108"/>
    </row>
    <row r="141">
      <c r="A141" s="101"/>
      <c r="B141" s="108"/>
    </row>
    <row r="142">
      <c r="A142" s="101"/>
      <c r="B142" s="108"/>
    </row>
    <row r="143">
      <c r="A143" s="101"/>
      <c r="B143" s="108"/>
    </row>
    <row r="144">
      <c r="A144" s="101"/>
      <c r="B144" s="108"/>
    </row>
    <row r="145">
      <c r="A145" s="101"/>
      <c r="B145" s="108"/>
    </row>
    <row r="146">
      <c r="A146" s="101"/>
      <c r="B146" s="108"/>
    </row>
    <row r="147">
      <c r="A147" s="101"/>
      <c r="B147" s="108"/>
    </row>
    <row r="148">
      <c r="A148" s="101"/>
      <c r="B148" s="108"/>
    </row>
    <row r="149">
      <c r="A149" s="101"/>
      <c r="B149" s="108"/>
    </row>
    <row r="150">
      <c r="A150" s="101"/>
      <c r="B150" s="108"/>
    </row>
    <row r="151">
      <c r="A151" s="101"/>
      <c r="B151" s="108"/>
    </row>
    <row r="152">
      <c r="A152" s="101"/>
      <c r="B152" s="108"/>
    </row>
    <row r="153">
      <c r="A153" s="101"/>
      <c r="B153" s="108"/>
    </row>
    <row r="154">
      <c r="A154" s="101"/>
      <c r="B154" s="108"/>
    </row>
    <row r="155">
      <c r="A155" s="101"/>
      <c r="B155" s="108"/>
    </row>
    <row r="156">
      <c r="A156" s="109"/>
      <c r="B156" s="108"/>
    </row>
    <row r="157">
      <c r="A157" s="109"/>
      <c r="B157" s="108"/>
    </row>
    <row r="158">
      <c r="A158" s="109"/>
      <c r="B158" s="108"/>
    </row>
    <row r="159">
      <c r="A159" s="109"/>
      <c r="B159" s="108"/>
    </row>
    <row r="160">
      <c r="A160" s="109"/>
      <c r="B160" s="108"/>
    </row>
    <row r="161">
      <c r="A161" s="109"/>
      <c r="B161" s="108"/>
    </row>
    <row r="162">
      <c r="A162" s="109"/>
      <c r="B162" s="108"/>
    </row>
    <row r="163">
      <c r="A163" s="109"/>
      <c r="B163" s="108"/>
    </row>
    <row r="164">
      <c r="A164" s="109"/>
      <c r="B164" s="108"/>
    </row>
    <row r="165">
      <c r="A165" s="109"/>
      <c r="B165" s="108"/>
    </row>
    <row r="166">
      <c r="A166" s="109"/>
      <c r="B166" s="108"/>
    </row>
    <row r="167">
      <c r="A167" s="109"/>
      <c r="B167" s="108"/>
    </row>
    <row r="168">
      <c r="A168" s="109"/>
      <c r="B168" s="108"/>
    </row>
    <row r="169">
      <c r="A169" s="109"/>
      <c r="B169" s="108"/>
    </row>
    <row r="170">
      <c r="A170" s="109"/>
      <c r="B170" s="108"/>
    </row>
    <row r="171">
      <c r="A171" s="109"/>
      <c r="B171" s="108"/>
    </row>
    <row r="172">
      <c r="A172" s="109"/>
      <c r="B172" s="108"/>
    </row>
    <row r="173">
      <c r="A173" s="109"/>
      <c r="B173" s="108"/>
    </row>
    <row r="174">
      <c r="A174" s="109"/>
      <c r="B174" s="108"/>
    </row>
    <row r="175">
      <c r="A175" s="109"/>
      <c r="B175" s="108"/>
    </row>
    <row r="176">
      <c r="A176" s="109"/>
      <c r="B176" s="108"/>
    </row>
    <row r="177">
      <c r="A177" s="109"/>
      <c r="B177" s="108"/>
    </row>
    <row r="178">
      <c r="A178" s="109"/>
      <c r="B178" s="108"/>
    </row>
    <row r="179">
      <c r="A179" s="109"/>
      <c r="B179" s="108"/>
    </row>
    <row r="180">
      <c r="A180" s="109"/>
      <c r="B180" s="108"/>
    </row>
    <row r="181">
      <c r="A181" s="109"/>
      <c r="B181" s="108"/>
    </row>
    <row r="182">
      <c r="A182" s="109"/>
      <c r="B182" s="108"/>
    </row>
    <row r="183">
      <c r="A183" s="109"/>
      <c r="B183" s="108"/>
    </row>
    <row r="184">
      <c r="A184" s="109"/>
      <c r="B184" s="108"/>
    </row>
    <row r="185">
      <c r="A185" s="109"/>
      <c r="B185" s="108"/>
    </row>
    <row r="186">
      <c r="A186" s="109"/>
      <c r="B186" s="108"/>
    </row>
    <row r="187">
      <c r="A187" s="109"/>
      <c r="B187" s="108"/>
    </row>
    <row r="188">
      <c r="A188" s="109"/>
      <c r="B188" s="108"/>
    </row>
    <row r="189">
      <c r="A189" s="109"/>
      <c r="B189" s="108"/>
    </row>
    <row r="190">
      <c r="A190" s="109"/>
      <c r="B190" s="108"/>
    </row>
    <row r="191">
      <c r="A191" s="109"/>
      <c r="B191" s="108"/>
    </row>
    <row r="192">
      <c r="A192" s="109"/>
      <c r="B192" s="108"/>
    </row>
    <row r="193">
      <c r="A193" s="109"/>
      <c r="B193" s="108"/>
    </row>
    <row r="194">
      <c r="A194" s="109"/>
      <c r="B194" s="108"/>
    </row>
    <row r="195">
      <c r="A195" s="109"/>
      <c r="B195" s="108"/>
    </row>
    <row r="196">
      <c r="A196" s="109"/>
      <c r="B196" s="108"/>
    </row>
    <row r="197">
      <c r="A197" s="109"/>
      <c r="B197" s="108"/>
    </row>
    <row r="198">
      <c r="A198" s="109"/>
      <c r="B198" s="108"/>
    </row>
    <row r="199">
      <c r="A199" s="109"/>
      <c r="B199" s="108"/>
    </row>
    <row r="200">
      <c r="A200" s="109"/>
      <c r="B200" s="108"/>
    </row>
    <row r="201">
      <c r="A201" s="109"/>
      <c r="B201" s="108"/>
    </row>
    <row r="202">
      <c r="A202" s="109"/>
      <c r="B202" s="108"/>
    </row>
    <row r="203">
      <c r="A203" s="109"/>
      <c r="B203" s="108"/>
    </row>
    <row r="204">
      <c r="A204" s="109"/>
      <c r="B204" s="108"/>
    </row>
    <row r="205">
      <c r="A205" s="109"/>
      <c r="B205" s="108"/>
    </row>
    <row r="206">
      <c r="A206" s="109"/>
      <c r="B206" s="108"/>
    </row>
    <row r="207">
      <c r="A207" s="109"/>
      <c r="B207" s="108"/>
    </row>
    <row r="208">
      <c r="A208" s="109"/>
      <c r="B208" s="108"/>
    </row>
    <row r="209">
      <c r="A209" s="109"/>
      <c r="B209" s="108"/>
    </row>
    <row r="210">
      <c r="A210" s="109"/>
      <c r="B210" s="108"/>
    </row>
    <row r="211">
      <c r="A211" s="109"/>
      <c r="B211" s="108"/>
    </row>
    <row r="212">
      <c r="A212" s="109"/>
      <c r="B212" s="108"/>
    </row>
    <row r="213">
      <c r="A213" s="109"/>
      <c r="B213" s="108"/>
    </row>
    <row r="214">
      <c r="A214" s="109"/>
      <c r="B214" s="108"/>
    </row>
    <row r="215">
      <c r="A215" s="109"/>
      <c r="B215" s="108"/>
    </row>
    <row r="216">
      <c r="A216" s="109"/>
      <c r="B216" s="108"/>
    </row>
    <row r="217">
      <c r="A217" s="109"/>
      <c r="B217" s="108"/>
    </row>
    <row r="218">
      <c r="A218" s="109"/>
      <c r="B218" s="108"/>
    </row>
    <row r="219">
      <c r="A219" s="109"/>
      <c r="B219" s="108"/>
    </row>
    <row r="220">
      <c r="A220" s="109"/>
      <c r="B220" s="108"/>
    </row>
    <row r="221">
      <c r="A221" s="109"/>
      <c r="B221" s="108"/>
    </row>
    <row r="222">
      <c r="A222" s="109"/>
      <c r="B222" s="108"/>
    </row>
    <row r="223">
      <c r="A223" s="109"/>
      <c r="B223" s="108"/>
    </row>
    <row r="224">
      <c r="A224" s="109"/>
      <c r="B224" s="108"/>
    </row>
    <row r="225">
      <c r="A225" s="109"/>
      <c r="B225" s="108"/>
    </row>
    <row r="226">
      <c r="A226" s="109"/>
      <c r="B226" s="108"/>
    </row>
    <row r="227">
      <c r="A227" s="109"/>
      <c r="B227" s="108"/>
    </row>
    <row r="228">
      <c r="A228" s="109"/>
      <c r="B228" s="108"/>
    </row>
    <row r="229">
      <c r="A229" s="109"/>
      <c r="B229" s="108"/>
    </row>
    <row r="230">
      <c r="A230" s="109"/>
      <c r="B230" s="108"/>
    </row>
    <row r="231">
      <c r="A231" s="109"/>
      <c r="B231" s="108"/>
    </row>
    <row r="232">
      <c r="A232" s="109"/>
      <c r="B232" s="108"/>
    </row>
    <row r="233">
      <c r="A233" s="109"/>
      <c r="B233" s="108"/>
    </row>
    <row r="234">
      <c r="A234" s="109"/>
      <c r="B234" s="108"/>
    </row>
    <row r="235">
      <c r="A235" s="109"/>
      <c r="B235" s="108"/>
    </row>
    <row r="236">
      <c r="A236" s="109"/>
      <c r="B236" s="108"/>
    </row>
    <row r="237">
      <c r="A237" s="109"/>
      <c r="B237" s="108"/>
    </row>
    <row r="238">
      <c r="A238" s="109"/>
      <c r="B238" s="108"/>
    </row>
    <row r="239">
      <c r="A239" s="109"/>
      <c r="B239" s="108"/>
    </row>
    <row r="240">
      <c r="A240" s="109"/>
      <c r="B240" s="108"/>
    </row>
    <row r="241">
      <c r="A241" s="109"/>
      <c r="B241" s="108"/>
    </row>
    <row r="242">
      <c r="A242" s="109"/>
      <c r="B242" s="108"/>
    </row>
    <row r="243">
      <c r="A243" s="109"/>
      <c r="B243" s="108"/>
    </row>
    <row r="244">
      <c r="A244" s="109"/>
      <c r="B244" s="108"/>
    </row>
    <row r="245">
      <c r="A245" s="109"/>
      <c r="B245" s="108"/>
    </row>
    <row r="246">
      <c r="A246" s="109"/>
      <c r="B246" s="108"/>
    </row>
    <row r="247">
      <c r="A247" s="109"/>
      <c r="B247" s="108"/>
    </row>
    <row r="248">
      <c r="A248" s="109"/>
      <c r="B248" s="108"/>
    </row>
    <row r="249">
      <c r="A249" s="109"/>
      <c r="B249" s="108"/>
    </row>
    <row r="250">
      <c r="A250" s="109"/>
      <c r="B250" s="108"/>
    </row>
    <row r="251">
      <c r="A251" s="109"/>
      <c r="B251" s="108"/>
    </row>
    <row r="252">
      <c r="A252" s="109"/>
      <c r="B252" s="108"/>
    </row>
    <row r="253">
      <c r="A253" s="109"/>
      <c r="B253" s="108"/>
    </row>
    <row r="254">
      <c r="A254" s="109"/>
      <c r="B254" s="108"/>
    </row>
    <row r="255">
      <c r="A255" s="109"/>
      <c r="B255" s="108"/>
    </row>
    <row r="256">
      <c r="A256" s="109"/>
      <c r="B256" s="108"/>
    </row>
    <row r="257">
      <c r="A257" s="109"/>
      <c r="B257" s="108"/>
    </row>
    <row r="258">
      <c r="A258" s="109"/>
      <c r="B258" s="108"/>
    </row>
    <row r="259">
      <c r="A259" s="109"/>
      <c r="B259" s="108"/>
    </row>
    <row r="260">
      <c r="A260" s="109"/>
      <c r="B260" s="108"/>
    </row>
    <row r="261">
      <c r="A261" s="109"/>
      <c r="B261" s="108"/>
    </row>
    <row r="262">
      <c r="A262" s="109"/>
      <c r="B262" s="108"/>
    </row>
    <row r="263">
      <c r="A263" s="109"/>
      <c r="B263" s="108"/>
    </row>
    <row r="264">
      <c r="A264" s="109"/>
      <c r="B264" s="108"/>
    </row>
    <row r="265">
      <c r="A265" s="109"/>
      <c r="B265" s="108"/>
    </row>
    <row r="266">
      <c r="A266" s="109"/>
      <c r="B266" s="108"/>
    </row>
    <row r="267">
      <c r="A267" s="109"/>
      <c r="B267" s="108"/>
    </row>
    <row r="268">
      <c r="A268" s="109"/>
      <c r="B268" s="108"/>
    </row>
    <row r="269">
      <c r="A269" s="109"/>
      <c r="B269" s="108"/>
    </row>
    <row r="270">
      <c r="A270" s="109"/>
      <c r="B270" s="108"/>
    </row>
    <row r="271">
      <c r="A271" s="109"/>
      <c r="B271" s="108"/>
    </row>
    <row r="272">
      <c r="A272" s="109"/>
      <c r="B272" s="108"/>
    </row>
    <row r="273">
      <c r="A273" s="109"/>
      <c r="B273" s="108"/>
    </row>
    <row r="274">
      <c r="A274" s="109"/>
      <c r="B274" s="108"/>
    </row>
    <row r="275">
      <c r="A275" s="109"/>
      <c r="B275" s="108"/>
    </row>
    <row r="276">
      <c r="A276" s="109"/>
      <c r="B276" s="108"/>
    </row>
    <row r="277">
      <c r="A277" s="109"/>
      <c r="B277" s="108"/>
    </row>
    <row r="278">
      <c r="A278" s="109"/>
      <c r="B278" s="108"/>
    </row>
    <row r="279">
      <c r="A279" s="109"/>
      <c r="B279" s="108"/>
    </row>
    <row r="280">
      <c r="A280" s="109"/>
      <c r="B280" s="108"/>
    </row>
    <row r="281">
      <c r="A281" s="109"/>
      <c r="B281" s="108"/>
    </row>
    <row r="282">
      <c r="A282" s="109"/>
      <c r="B282" s="108"/>
    </row>
    <row r="283">
      <c r="A283" s="109"/>
      <c r="B283" s="108"/>
    </row>
    <row r="284">
      <c r="A284" s="109"/>
      <c r="B284" s="108"/>
    </row>
    <row r="285">
      <c r="A285" s="109"/>
      <c r="B285" s="108"/>
    </row>
    <row r="286">
      <c r="A286" s="109"/>
      <c r="B286" s="108"/>
    </row>
    <row r="287">
      <c r="A287" s="109"/>
      <c r="B287" s="108"/>
    </row>
    <row r="288">
      <c r="A288" s="109"/>
      <c r="B288" s="108"/>
    </row>
    <row r="289">
      <c r="A289" s="109"/>
      <c r="B289" s="108"/>
    </row>
    <row r="290">
      <c r="A290" s="109"/>
      <c r="B290" s="108"/>
    </row>
    <row r="291">
      <c r="A291" s="109"/>
      <c r="B291" s="108"/>
    </row>
    <row r="292">
      <c r="A292" s="109"/>
      <c r="B292" s="108"/>
    </row>
    <row r="293">
      <c r="A293" s="109"/>
      <c r="B293" s="108"/>
    </row>
    <row r="294">
      <c r="A294" s="109"/>
      <c r="B294" s="108"/>
    </row>
    <row r="295">
      <c r="A295" s="109"/>
      <c r="B295" s="108"/>
    </row>
    <row r="296">
      <c r="A296" s="109"/>
      <c r="B296" s="108"/>
    </row>
    <row r="297">
      <c r="A297" s="109"/>
      <c r="B297" s="108"/>
    </row>
    <row r="298">
      <c r="A298" s="109"/>
      <c r="B298" s="108"/>
    </row>
    <row r="299">
      <c r="A299" s="109"/>
      <c r="B299" s="108"/>
    </row>
    <row r="300">
      <c r="A300" s="109"/>
      <c r="B300" s="108"/>
    </row>
    <row r="301">
      <c r="A301" s="109"/>
      <c r="B301" s="108"/>
    </row>
    <row r="302">
      <c r="A302" s="109"/>
      <c r="B302" s="108"/>
    </row>
    <row r="303">
      <c r="A303" s="109"/>
      <c r="B303" s="108"/>
    </row>
    <row r="304">
      <c r="A304" s="109"/>
      <c r="B304" s="108"/>
    </row>
    <row r="305">
      <c r="A305" s="109"/>
      <c r="B305" s="108"/>
    </row>
    <row r="306">
      <c r="A306" s="109"/>
      <c r="B306" s="108"/>
    </row>
    <row r="307">
      <c r="A307" s="109"/>
      <c r="B307" s="108"/>
    </row>
    <row r="308">
      <c r="A308" s="109"/>
      <c r="B308" s="108"/>
    </row>
    <row r="309">
      <c r="A309" s="109"/>
      <c r="B309" s="108"/>
    </row>
    <row r="310">
      <c r="A310" s="109"/>
      <c r="B310" s="108"/>
    </row>
    <row r="311">
      <c r="A311" s="109"/>
      <c r="B311" s="108"/>
    </row>
    <row r="312">
      <c r="A312" s="109"/>
      <c r="B312" s="108"/>
    </row>
    <row r="313">
      <c r="A313" s="109"/>
      <c r="B313" s="108"/>
    </row>
    <row r="314">
      <c r="A314" s="109"/>
      <c r="B314" s="108"/>
    </row>
    <row r="315">
      <c r="A315" s="109"/>
      <c r="B315" s="108"/>
    </row>
    <row r="316">
      <c r="A316" s="109"/>
      <c r="B316" s="108"/>
    </row>
    <row r="317">
      <c r="A317" s="109"/>
      <c r="B317" s="108"/>
    </row>
    <row r="318">
      <c r="A318" s="109"/>
      <c r="B318" s="108"/>
    </row>
    <row r="319">
      <c r="A319" s="109"/>
      <c r="B319" s="108"/>
    </row>
    <row r="320">
      <c r="A320" s="109"/>
      <c r="B320" s="108"/>
    </row>
    <row r="321">
      <c r="A321" s="109"/>
      <c r="B321" s="108"/>
    </row>
    <row r="322">
      <c r="A322" s="109"/>
      <c r="B322" s="108"/>
    </row>
    <row r="323">
      <c r="A323" s="109"/>
      <c r="B323" s="108"/>
    </row>
    <row r="324">
      <c r="A324" s="109"/>
      <c r="B324" s="108"/>
    </row>
    <row r="325">
      <c r="A325" s="109"/>
      <c r="B325" s="108"/>
    </row>
    <row r="326">
      <c r="A326" s="109"/>
      <c r="B326" s="108"/>
    </row>
    <row r="327">
      <c r="A327" s="109"/>
      <c r="B327" s="108"/>
    </row>
    <row r="328">
      <c r="A328" s="109"/>
      <c r="B328" s="108"/>
    </row>
    <row r="329">
      <c r="A329" s="109"/>
      <c r="B329" s="108"/>
    </row>
    <row r="330">
      <c r="A330" s="109"/>
      <c r="B330" s="108"/>
    </row>
    <row r="331">
      <c r="A331" s="109"/>
      <c r="B331" s="108"/>
    </row>
    <row r="332">
      <c r="A332" s="109"/>
      <c r="B332" s="108"/>
    </row>
    <row r="333">
      <c r="A333" s="109"/>
      <c r="B333" s="108"/>
    </row>
    <row r="334">
      <c r="A334" s="109"/>
      <c r="B334" s="108"/>
    </row>
    <row r="335">
      <c r="A335" s="109"/>
      <c r="B335" s="108"/>
    </row>
    <row r="336">
      <c r="A336" s="109"/>
      <c r="B336" s="108"/>
    </row>
    <row r="337">
      <c r="A337" s="109"/>
      <c r="B337" s="108"/>
    </row>
    <row r="338">
      <c r="A338" s="109"/>
      <c r="B338" s="108"/>
    </row>
    <row r="339">
      <c r="A339" s="109"/>
      <c r="B339" s="108"/>
    </row>
    <row r="340">
      <c r="A340" s="109"/>
      <c r="B340" s="108"/>
    </row>
    <row r="341">
      <c r="A341" s="109"/>
      <c r="B341" s="108"/>
    </row>
    <row r="342">
      <c r="A342" s="109"/>
      <c r="B342" s="108"/>
    </row>
    <row r="343">
      <c r="A343" s="109"/>
      <c r="B343" s="108"/>
    </row>
    <row r="344">
      <c r="A344" s="109"/>
      <c r="B344" s="108"/>
    </row>
    <row r="345">
      <c r="A345" s="109"/>
      <c r="B345" s="108"/>
    </row>
    <row r="346">
      <c r="A346" s="109"/>
      <c r="B346" s="108"/>
    </row>
    <row r="347">
      <c r="A347" s="109"/>
      <c r="B347" s="108"/>
    </row>
    <row r="348">
      <c r="A348" s="109"/>
      <c r="B348" s="108"/>
    </row>
    <row r="349">
      <c r="A349" s="109"/>
      <c r="B349" s="108"/>
    </row>
    <row r="350">
      <c r="A350" s="109"/>
      <c r="B350" s="108"/>
    </row>
    <row r="351">
      <c r="A351" s="109"/>
      <c r="B351" s="108"/>
    </row>
    <row r="352">
      <c r="A352" s="109"/>
      <c r="B352" s="108"/>
    </row>
    <row r="353">
      <c r="A353" s="109"/>
      <c r="B353" s="108"/>
    </row>
    <row r="354">
      <c r="A354" s="109"/>
      <c r="B354" s="108"/>
    </row>
    <row r="355">
      <c r="A355" s="109"/>
      <c r="B355" s="108"/>
    </row>
    <row r="356">
      <c r="A356" s="109"/>
      <c r="B356" s="108"/>
    </row>
    <row r="357">
      <c r="A357" s="109"/>
      <c r="B357" s="108"/>
    </row>
    <row r="358">
      <c r="A358" s="109"/>
      <c r="B358" s="108"/>
    </row>
    <row r="359">
      <c r="A359" s="109"/>
      <c r="B359" s="108"/>
    </row>
    <row r="360">
      <c r="A360" s="109"/>
      <c r="B360" s="108"/>
    </row>
    <row r="361">
      <c r="A361" s="109"/>
      <c r="B361" s="108"/>
    </row>
    <row r="362">
      <c r="A362" s="109"/>
      <c r="B362" s="108"/>
    </row>
    <row r="363">
      <c r="A363" s="109"/>
      <c r="B363" s="108"/>
    </row>
    <row r="364">
      <c r="A364" s="109"/>
      <c r="B364" s="108"/>
    </row>
    <row r="365">
      <c r="A365" s="109"/>
      <c r="B365" s="108"/>
    </row>
    <row r="366">
      <c r="A366" s="109"/>
      <c r="B366" s="108"/>
    </row>
    <row r="367">
      <c r="A367" s="109"/>
      <c r="B367" s="108"/>
    </row>
    <row r="368">
      <c r="A368" s="109"/>
      <c r="B368" s="108"/>
    </row>
    <row r="369">
      <c r="A369" s="109"/>
      <c r="B369" s="108"/>
    </row>
    <row r="370">
      <c r="A370" s="109"/>
      <c r="B370" s="108"/>
    </row>
    <row r="371">
      <c r="A371" s="109"/>
      <c r="B371" s="108"/>
    </row>
    <row r="372">
      <c r="A372" s="109"/>
      <c r="B372" s="108"/>
    </row>
    <row r="373">
      <c r="A373" s="109"/>
      <c r="B373" s="108"/>
    </row>
    <row r="374">
      <c r="A374" s="109"/>
      <c r="B374" s="108"/>
    </row>
    <row r="375">
      <c r="A375" s="109"/>
      <c r="B375" s="108"/>
    </row>
    <row r="376">
      <c r="A376" s="109"/>
      <c r="B376" s="108"/>
    </row>
    <row r="377">
      <c r="A377" s="109"/>
      <c r="B377" s="108"/>
    </row>
    <row r="378">
      <c r="A378" s="109"/>
      <c r="B378" s="108"/>
    </row>
    <row r="379">
      <c r="A379" s="109"/>
      <c r="B379" s="108"/>
    </row>
    <row r="380">
      <c r="A380" s="109"/>
      <c r="B380" s="108"/>
    </row>
    <row r="381">
      <c r="A381" s="109"/>
      <c r="B381" s="108"/>
    </row>
    <row r="382">
      <c r="A382" s="109"/>
      <c r="B382" s="108"/>
    </row>
    <row r="383">
      <c r="A383" s="109"/>
      <c r="B383" s="108"/>
    </row>
    <row r="384">
      <c r="A384" s="109"/>
      <c r="B384" s="108"/>
    </row>
    <row r="385">
      <c r="A385" s="109"/>
      <c r="B385" s="108"/>
    </row>
    <row r="386">
      <c r="A386" s="109"/>
      <c r="B386" s="108"/>
    </row>
    <row r="387">
      <c r="A387" s="109"/>
      <c r="B387" s="108"/>
    </row>
    <row r="388">
      <c r="A388" s="109"/>
      <c r="B388" s="108"/>
    </row>
    <row r="389">
      <c r="A389" s="109"/>
      <c r="B389" s="108"/>
    </row>
    <row r="390">
      <c r="A390" s="109"/>
      <c r="B390" s="108"/>
    </row>
    <row r="391">
      <c r="A391" s="109"/>
      <c r="B391" s="108"/>
    </row>
    <row r="392">
      <c r="A392" s="109"/>
      <c r="B392" s="108"/>
    </row>
    <row r="393">
      <c r="A393" s="109"/>
      <c r="B393" s="108"/>
    </row>
    <row r="394">
      <c r="A394" s="109"/>
      <c r="B394" s="108"/>
    </row>
    <row r="395">
      <c r="A395" s="109"/>
      <c r="B395" s="108"/>
    </row>
    <row r="396">
      <c r="A396" s="109"/>
      <c r="B396" s="108"/>
    </row>
    <row r="397">
      <c r="A397" s="109"/>
      <c r="B397" s="108"/>
    </row>
    <row r="398">
      <c r="A398" s="109"/>
      <c r="B398" s="108"/>
    </row>
    <row r="399">
      <c r="A399" s="109"/>
      <c r="B399" s="108"/>
    </row>
    <row r="400">
      <c r="A400" s="109"/>
      <c r="B400" s="108"/>
    </row>
    <row r="401">
      <c r="A401" s="109"/>
      <c r="B401" s="108"/>
    </row>
    <row r="402">
      <c r="A402" s="109"/>
      <c r="B402" s="108"/>
    </row>
    <row r="403">
      <c r="A403" s="109"/>
      <c r="B403" s="108"/>
    </row>
    <row r="404">
      <c r="A404" s="109"/>
      <c r="B404" s="108"/>
    </row>
    <row r="405">
      <c r="A405" s="109"/>
      <c r="B405" s="108"/>
    </row>
    <row r="406">
      <c r="A406" s="109"/>
      <c r="B406" s="108"/>
    </row>
    <row r="407">
      <c r="A407" s="109"/>
      <c r="B407" s="108"/>
    </row>
    <row r="408">
      <c r="A408" s="109"/>
      <c r="B408" s="108"/>
    </row>
    <row r="409">
      <c r="A409" s="109"/>
      <c r="B409" s="108"/>
    </row>
    <row r="410">
      <c r="A410" s="109"/>
      <c r="B410" s="108"/>
    </row>
    <row r="411">
      <c r="A411" s="109"/>
      <c r="B411" s="108"/>
    </row>
    <row r="412">
      <c r="A412" s="109"/>
      <c r="B412" s="108"/>
    </row>
    <row r="413">
      <c r="A413" s="109"/>
      <c r="B413" s="108"/>
    </row>
    <row r="414">
      <c r="A414" s="109"/>
      <c r="B414" s="108"/>
    </row>
    <row r="415">
      <c r="A415" s="109"/>
      <c r="B415" s="108"/>
    </row>
    <row r="416">
      <c r="A416" s="109"/>
      <c r="B416" s="108"/>
    </row>
    <row r="417">
      <c r="A417" s="109"/>
      <c r="B417" s="108"/>
    </row>
    <row r="418">
      <c r="A418" s="109"/>
      <c r="B418" s="108"/>
    </row>
    <row r="419">
      <c r="A419" s="109"/>
      <c r="B419" s="108"/>
    </row>
    <row r="420">
      <c r="A420" s="109"/>
      <c r="B420" s="108"/>
    </row>
    <row r="421">
      <c r="A421" s="109"/>
      <c r="B421" s="108"/>
    </row>
    <row r="422">
      <c r="A422" s="109"/>
      <c r="B422" s="108"/>
    </row>
    <row r="423">
      <c r="A423" s="109"/>
      <c r="B423" s="108"/>
    </row>
    <row r="424">
      <c r="A424" s="109"/>
      <c r="B424" s="108"/>
    </row>
    <row r="425">
      <c r="A425" s="109"/>
      <c r="B425" s="108"/>
    </row>
    <row r="426">
      <c r="A426" s="109"/>
      <c r="B426" s="108"/>
    </row>
    <row r="427">
      <c r="A427" s="109"/>
      <c r="B427" s="108"/>
    </row>
    <row r="428">
      <c r="A428" s="109"/>
      <c r="B428" s="108"/>
    </row>
    <row r="429">
      <c r="A429" s="109"/>
      <c r="B429" s="108"/>
    </row>
    <row r="430">
      <c r="A430" s="109"/>
      <c r="B430" s="108"/>
    </row>
    <row r="431">
      <c r="A431" s="109"/>
      <c r="B431" s="108"/>
    </row>
    <row r="432">
      <c r="A432" s="109"/>
      <c r="B432" s="108"/>
    </row>
    <row r="433">
      <c r="A433" s="109"/>
      <c r="B433" s="108"/>
    </row>
    <row r="434">
      <c r="A434" s="109"/>
      <c r="B434" s="108"/>
    </row>
    <row r="435">
      <c r="A435" s="109"/>
      <c r="B435" s="108"/>
    </row>
    <row r="436">
      <c r="A436" s="109"/>
      <c r="B436" s="108"/>
    </row>
    <row r="437">
      <c r="A437" s="109"/>
      <c r="B437" s="108"/>
    </row>
    <row r="438">
      <c r="A438" s="109"/>
      <c r="B438" s="108"/>
    </row>
    <row r="439">
      <c r="A439" s="109"/>
      <c r="B439" s="108"/>
    </row>
    <row r="440">
      <c r="A440" s="109"/>
      <c r="B440" s="108"/>
    </row>
    <row r="441">
      <c r="A441" s="109"/>
      <c r="B441" s="108"/>
    </row>
    <row r="442">
      <c r="A442" s="109"/>
      <c r="B442" s="108"/>
    </row>
    <row r="443">
      <c r="A443" s="109"/>
      <c r="B443" s="108"/>
    </row>
    <row r="444">
      <c r="A444" s="109"/>
      <c r="B444" s="108"/>
    </row>
    <row r="445">
      <c r="A445" s="109"/>
      <c r="B445" s="108"/>
    </row>
    <row r="446">
      <c r="A446" s="109"/>
      <c r="B446" s="108"/>
    </row>
    <row r="447">
      <c r="A447" s="109"/>
      <c r="B447" s="108"/>
    </row>
    <row r="448">
      <c r="A448" s="109"/>
      <c r="B448" s="108"/>
    </row>
    <row r="449">
      <c r="A449" s="109"/>
      <c r="B449" s="108"/>
    </row>
    <row r="450">
      <c r="A450" s="109"/>
      <c r="B450" s="108"/>
    </row>
    <row r="451">
      <c r="A451" s="109"/>
      <c r="B451" s="108"/>
    </row>
    <row r="452">
      <c r="A452" s="109"/>
      <c r="B452" s="108"/>
    </row>
    <row r="453">
      <c r="A453" s="109"/>
      <c r="B453" s="108"/>
    </row>
    <row r="454">
      <c r="A454" s="109"/>
      <c r="B454" s="108"/>
    </row>
    <row r="455">
      <c r="A455" s="109"/>
      <c r="B455" s="108"/>
    </row>
    <row r="456">
      <c r="A456" s="109"/>
      <c r="B456" s="108"/>
    </row>
    <row r="457">
      <c r="A457" s="109"/>
      <c r="B457" s="108"/>
    </row>
    <row r="458">
      <c r="A458" s="109"/>
      <c r="B458" s="108"/>
    </row>
    <row r="459">
      <c r="A459" s="109"/>
      <c r="B459" s="108"/>
    </row>
    <row r="460">
      <c r="A460" s="109"/>
      <c r="B460" s="108"/>
    </row>
    <row r="461">
      <c r="A461" s="109"/>
      <c r="B461" s="108"/>
    </row>
    <row r="462">
      <c r="A462" s="109"/>
      <c r="B462" s="108"/>
    </row>
    <row r="463">
      <c r="A463" s="109"/>
      <c r="B463" s="108"/>
    </row>
    <row r="464">
      <c r="A464" s="109"/>
      <c r="B464" s="108"/>
    </row>
    <row r="465">
      <c r="A465" s="109"/>
      <c r="B465" s="108"/>
    </row>
    <row r="466">
      <c r="A466" s="109"/>
      <c r="B466" s="108"/>
    </row>
    <row r="467">
      <c r="A467" s="109"/>
      <c r="B467" s="108"/>
    </row>
    <row r="468">
      <c r="A468" s="109"/>
      <c r="B468" s="108"/>
    </row>
    <row r="469">
      <c r="A469" s="109"/>
      <c r="B469" s="108"/>
    </row>
    <row r="470">
      <c r="A470" s="109"/>
      <c r="B470" s="108"/>
    </row>
    <row r="471">
      <c r="A471" s="109"/>
      <c r="B471" s="108"/>
    </row>
    <row r="472">
      <c r="A472" s="109"/>
      <c r="B472" s="108"/>
    </row>
    <row r="473">
      <c r="A473" s="109"/>
      <c r="B473" s="108"/>
    </row>
    <row r="474">
      <c r="A474" s="109"/>
      <c r="B474" s="108"/>
    </row>
    <row r="475">
      <c r="A475" s="109"/>
      <c r="B475" s="108"/>
    </row>
    <row r="476">
      <c r="A476" s="109"/>
      <c r="B476" s="108"/>
    </row>
    <row r="477">
      <c r="A477" s="109"/>
      <c r="B477" s="108"/>
    </row>
    <row r="478">
      <c r="A478" s="109"/>
      <c r="B478" s="108"/>
    </row>
    <row r="479">
      <c r="A479" s="109"/>
      <c r="B479" s="108"/>
    </row>
    <row r="480">
      <c r="A480" s="109"/>
      <c r="B480" s="108"/>
    </row>
    <row r="481">
      <c r="A481" s="109"/>
      <c r="B481" s="108"/>
    </row>
    <row r="482">
      <c r="A482" s="109"/>
      <c r="B482" s="108"/>
    </row>
    <row r="483">
      <c r="A483" s="109"/>
      <c r="B483" s="108"/>
    </row>
    <row r="484">
      <c r="A484" s="109"/>
      <c r="B484" s="108"/>
    </row>
    <row r="485">
      <c r="A485" s="109"/>
      <c r="B485" s="108"/>
    </row>
    <row r="486">
      <c r="A486" s="109"/>
      <c r="B486" s="108"/>
    </row>
    <row r="487">
      <c r="A487" s="109"/>
      <c r="B487" s="108"/>
    </row>
    <row r="488">
      <c r="A488" s="109"/>
      <c r="B488" s="108"/>
    </row>
    <row r="489">
      <c r="A489" s="109"/>
      <c r="B489" s="108"/>
    </row>
    <row r="490">
      <c r="A490" s="109"/>
      <c r="B490" s="108"/>
    </row>
    <row r="491">
      <c r="A491" s="109"/>
      <c r="B491" s="108"/>
    </row>
    <row r="492">
      <c r="A492" s="109"/>
      <c r="B492" s="108"/>
    </row>
    <row r="493">
      <c r="A493" s="109"/>
      <c r="B493" s="108"/>
    </row>
    <row r="494">
      <c r="A494" s="109"/>
      <c r="B494" s="108"/>
    </row>
    <row r="495">
      <c r="A495" s="109"/>
      <c r="B495" s="108"/>
    </row>
    <row r="496">
      <c r="A496" s="109"/>
      <c r="B496" s="108"/>
    </row>
    <row r="497">
      <c r="A497" s="109"/>
      <c r="B497" s="108"/>
    </row>
    <row r="498">
      <c r="A498" s="109"/>
      <c r="B498" s="108"/>
    </row>
    <row r="499">
      <c r="A499" s="109"/>
      <c r="B499" s="108"/>
    </row>
    <row r="500">
      <c r="A500" s="109"/>
      <c r="B500" s="108"/>
    </row>
    <row r="501">
      <c r="A501" s="109"/>
      <c r="B501" s="108"/>
    </row>
    <row r="502">
      <c r="A502" s="109"/>
      <c r="B502" s="108"/>
    </row>
    <row r="503">
      <c r="A503" s="109"/>
      <c r="B503" s="108"/>
    </row>
    <row r="504">
      <c r="A504" s="109"/>
      <c r="B504" s="108"/>
    </row>
    <row r="505">
      <c r="A505" s="109"/>
      <c r="B505" s="108"/>
    </row>
    <row r="506">
      <c r="A506" s="109"/>
      <c r="B506" s="108"/>
    </row>
    <row r="507">
      <c r="A507" s="109"/>
      <c r="B507" s="108"/>
    </row>
    <row r="508">
      <c r="A508" s="109"/>
      <c r="B508" s="108"/>
    </row>
    <row r="509">
      <c r="A509" s="109"/>
      <c r="B509" s="108"/>
    </row>
    <row r="510">
      <c r="A510" s="109"/>
      <c r="B510" s="108"/>
    </row>
    <row r="511">
      <c r="A511" s="109"/>
      <c r="B511" s="108"/>
    </row>
    <row r="512">
      <c r="A512" s="109"/>
      <c r="B512" s="108"/>
    </row>
    <row r="513">
      <c r="A513" s="109"/>
      <c r="B513" s="108"/>
    </row>
    <row r="514">
      <c r="A514" s="109"/>
      <c r="B514" s="108"/>
    </row>
    <row r="515">
      <c r="A515" s="109"/>
      <c r="B515" s="108"/>
    </row>
    <row r="516">
      <c r="A516" s="109"/>
      <c r="B516" s="108"/>
    </row>
    <row r="517">
      <c r="A517" s="109"/>
      <c r="B517" s="108"/>
    </row>
    <row r="518">
      <c r="A518" s="109"/>
      <c r="B518" s="108"/>
    </row>
    <row r="519">
      <c r="A519" s="109"/>
      <c r="B519" s="108"/>
    </row>
    <row r="520">
      <c r="A520" s="109"/>
      <c r="B520" s="108"/>
    </row>
    <row r="521">
      <c r="A521" s="109"/>
      <c r="B521" s="108"/>
    </row>
    <row r="522">
      <c r="A522" s="109"/>
      <c r="B522" s="108"/>
    </row>
    <row r="523">
      <c r="A523" s="109"/>
      <c r="B523" s="108"/>
    </row>
    <row r="524">
      <c r="A524" s="109"/>
      <c r="B524" s="108"/>
    </row>
    <row r="525">
      <c r="A525" s="109"/>
      <c r="B525" s="108"/>
    </row>
    <row r="526">
      <c r="A526" s="109"/>
      <c r="B526" s="108"/>
    </row>
    <row r="527">
      <c r="A527" s="109"/>
      <c r="B527" s="108"/>
    </row>
    <row r="528">
      <c r="A528" s="109"/>
      <c r="B528" s="108"/>
    </row>
    <row r="529">
      <c r="A529" s="109"/>
      <c r="B529" s="108"/>
    </row>
    <row r="530">
      <c r="A530" s="109"/>
      <c r="B530" s="108"/>
    </row>
    <row r="531">
      <c r="A531" s="109"/>
      <c r="B531" s="108"/>
    </row>
    <row r="532">
      <c r="A532" s="109"/>
      <c r="B532" s="108"/>
    </row>
    <row r="533">
      <c r="A533" s="109"/>
      <c r="B533" s="108"/>
    </row>
    <row r="534">
      <c r="A534" s="109"/>
      <c r="B534" s="108"/>
    </row>
    <row r="535">
      <c r="A535" s="109"/>
      <c r="B535" s="108"/>
    </row>
    <row r="536">
      <c r="A536" s="109"/>
      <c r="B536" s="108"/>
    </row>
    <row r="537">
      <c r="A537" s="109"/>
      <c r="B537" s="108"/>
    </row>
    <row r="538">
      <c r="A538" s="109"/>
      <c r="B538" s="108"/>
    </row>
    <row r="539">
      <c r="A539" s="109"/>
      <c r="B539" s="108"/>
    </row>
    <row r="540">
      <c r="A540" s="109"/>
      <c r="B540" s="108"/>
    </row>
    <row r="541">
      <c r="A541" s="109"/>
      <c r="B541" s="108"/>
    </row>
    <row r="542">
      <c r="A542" s="109"/>
      <c r="B542" s="108"/>
    </row>
    <row r="543">
      <c r="A543" s="109"/>
      <c r="B543" s="108"/>
    </row>
    <row r="544">
      <c r="A544" s="109"/>
      <c r="B544" s="108"/>
    </row>
    <row r="545">
      <c r="A545" s="109"/>
      <c r="B545" s="108"/>
    </row>
    <row r="546">
      <c r="A546" s="109"/>
      <c r="B546" s="108"/>
    </row>
    <row r="547">
      <c r="A547" s="109"/>
      <c r="B547" s="108"/>
    </row>
    <row r="548">
      <c r="A548" s="109"/>
      <c r="B548" s="108"/>
    </row>
    <row r="549">
      <c r="A549" s="109"/>
      <c r="B549" s="108"/>
    </row>
    <row r="550">
      <c r="A550" s="109"/>
      <c r="B550" s="108"/>
    </row>
    <row r="551">
      <c r="A551" s="109"/>
      <c r="B551" s="108"/>
    </row>
    <row r="552">
      <c r="A552" s="109"/>
      <c r="B552" s="108"/>
    </row>
    <row r="553">
      <c r="A553" s="109"/>
      <c r="B553" s="108"/>
    </row>
    <row r="554">
      <c r="A554" s="109"/>
      <c r="B554" s="108"/>
    </row>
    <row r="555">
      <c r="A555" s="109"/>
      <c r="B555" s="108"/>
    </row>
    <row r="556">
      <c r="A556" s="109"/>
      <c r="B556" s="108"/>
    </row>
    <row r="557">
      <c r="A557" s="109"/>
      <c r="B557" s="108"/>
    </row>
    <row r="558">
      <c r="A558" s="109"/>
      <c r="B558" s="108"/>
    </row>
    <row r="559">
      <c r="A559" s="109"/>
      <c r="B559" s="108"/>
    </row>
    <row r="560">
      <c r="A560" s="109"/>
      <c r="B560" s="108"/>
    </row>
    <row r="561">
      <c r="A561" s="109"/>
      <c r="B561" s="108"/>
    </row>
    <row r="562">
      <c r="A562" s="109"/>
      <c r="B562" s="108"/>
    </row>
    <row r="563">
      <c r="A563" s="109"/>
      <c r="B563" s="108"/>
    </row>
    <row r="564">
      <c r="A564" s="109"/>
      <c r="B564" s="108"/>
    </row>
    <row r="565">
      <c r="A565" s="109"/>
      <c r="B565" s="108"/>
    </row>
    <row r="566">
      <c r="A566" s="109"/>
      <c r="B566" s="108"/>
    </row>
    <row r="567">
      <c r="A567" s="109"/>
      <c r="B567" s="108"/>
    </row>
    <row r="568">
      <c r="A568" s="109"/>
      <c r="B568" s="108"/>
    </row>
    <row r="569">
      <c r="A569" s="109"/>
      <c r="B569" s="108"/>
    </row>
    <row r="570">
      <c r="A570" s="109"/>
      <c r="B570" s="108"/>
    </row>
    <row r="571">
      <c r="A571" s="109"/>
      <c r="B571" s="108"/>
    </row>
    <row r="572">
      <c r="A572" s="109"/>
      <c r="B572" s="108"/>
    </row>
    <row r="573">
      <c r="A573" s="109"/>
      <c r="B573" s="108"/>
    </row>
    <row r="574">
      <c r="A574" s="109"/>
      <c r="B574" s="108"/>
    </row>
    <row r="575">
      <c r="A575" s="109"/>
      <c r="B575" s="108"/>
    </row>
    <row r="576">
      <c r="A576" s="109"/>
      <c r="B576" s="108"/>
    </row>
    <row r="577">
      <c r="A577" s="109"/>
      <c r="B577" s="108"/>
    </row>
    <row r="578">
      <c r="A578" s="109"/>
      <c r="B578" s="108"/>
    </row>
    <row r="579">
      <c r="A579" s="109"/>
      <c r="B579" s="108"/>
    </row>
    <row r="580">
      <c r="A580" s="109"/>
      <c r="B580" s="108"/>
    </row>
    <row r="581">
      <c r="A581" s="109"/>
      <c r="B581" s="108"/>
    </row>
    <row r="582">
      <c r="A582" s="109"/>
      <c r="B582" s="108"/>
    </row>
    <row r="583">
      <c r="A583" s="109"/>
      <c r="B583" s="108"/>
    </row>
    <row r="584">
      <c r="A584" s="109"/>
      <c r="B584" s="108"/>
    </row>
    <row r="585">
      <c r="A585" s="109"/>
      <c r="B585" s="108"/>
    </row>
    <row r="586">
      <c r="A586" s="109"/>
      <c r="B586" s="108"/>
    </row>
    <row r="587">
      <c r="A587" s="109"/>
      <c r="B587" s="108"/>
    </row>
    <row r="588">
      <c r="A588" s="109"/>
      <c r="B588" s="108"/>
    </row>
    <row r="589">
      <c r="A589" s="109"/>
      <c r="B589" s="108"/>
    </row>
    <row r="590">
      <c r="A590" s="109"/>
      <c r="B590" s="108"/>
    </row>
    <row r="591">
      <c r="A591" s="109"/>
      <c r="B591" s="108"/>
    </row>
    <row r="592">
      <c r="A592" s="109"/>
      <c r="B592" s="108"/>
    </row>
    <row r="593">
      <c r="A593" s="109"/>
      <c r="B593" s="108"/>
    </row>
    <row r="594">
      <c r="A594" s="109"/>
      <c r="B594" s="108"/>
    </row>
    <row r="595">
      <c r="A595" s="109"/>
      <c r="B595" s="108"/>
    </row>
    <row r="596">
      <c r="A596" s="109"/>
      <c r="B596" s="108"/>
    </row>
    <row r="597">
      <c r="A597" s="109"/>
      <c r="B597" s="108"/>
    </row>
    <row r="598">
      <c r="A598" s="109"/>
      <c r="B598" s="108"/>
    </row>
    <row r="599">
      <c r="A599" s="109"/>
      <c r="B599" s="108"/>
    </row>
    <row r="600">
      <c r="A600" s="109"/>
      <c r="B600" s="108"/>
    </row>
    <row r="601">
      <c r="A601" s="109"/>
      <c r="B601" s="108"/>
    </row>
    <row r="602">
      <c r="A602" s="109"/>
      <c r="B602" s="108"/>
    </row>
    <row r="603">
      <c r="A603" s="109"/>
      <c r="B603" s="108"/>
    </row>
    <row r="604">
      <c r="A604" s="109"/>
      <c r="B604" s="108"/>
    </row>
    <row r="605">
      <c r="A605" s="109"/>
      <c r="B605" s="108"/>
    </row>
    <row r="606">
      <c r="A606" s="109"/>
      <c r="B606" s="108"/>
    </row>
    <row r="607">
      <c r="A607" s="109"/>
      <c r="B607" s="108"/>
    </row>
    <row r="608">
      <c r="A608" s="109"/>
      <c r="B608" s="108"/>
    </row>
    <row r="609">
      <c r="A609" s="109"/>
      <c r="B609" s="108"/>
    </row>
    <row r="610">
      <c r="A610" s="109"/>
      <c r="B610" s="108"/>
    </row>
    <row r="611">
      <c r="A611" s="109"/>
      <c r="B611" s="108"/>
    </row>
    <row r="612">
      <c r="A612" s="109"/>
      <c r="B612" s="108"/>
    </row>
    <row r="613">
      <c r="A613" s="109"/>
      <c r="B613" s="108"/>
    </row>
    <row r="614">
      <c r="A614" s="109"/>
      <c r="B614" s="108"/>
    </row>
    <row r="615">
      <c r="A615" s="109"/>
      <c r="B615" s="108"/>
    </row>
    <row r="616">
      <c r="A616" s="109"/>
      <c r="B616" s="108"/>
    </row>
    <row r="617">
      <c r="A617" s="109"/>
      <c r="B617" s="108"/>
    </row>
    <row r="618">
      <c r="A618" s="109"/>
      <c r="B618" s="108"/>
    </row>
    <row r="619">
      <c r="A619" s="109"/>
      <c r="B619" s="108"/>
    </row>
    <row r="620">
      <c r="A620" s="109"/>
      <c r="B620" s="108"/>
    </row>
    <row r="621">
      <c r="A621" s="109"/>
      <c r="B621" s="108"/>
    </row>
    <row r="622">
      <c r="A622" s="109"/>
      <c r="B622" s="108"/>
    </row>
    <row r="623">
      <c r="A623" s="109"/>
      <c r="B623" s="108"/>
    </row>
    <row r="624">
      <c r="A624" s="109"/>
      <c r="B624" s="108"/>
    </row>
    <row r="625">
      <c r="A625" s="109"/>
      <c r="B625" s="108"/>
    </row>
    <row r="626">
      <c r="A626" s="109"/>
      <c r="B626" s="108"/>
    </row>
    <row r="627">
      <c r="A627" s="109"/>
      <c r="B627" s="108"/>
    </row>
    <row r="628">
      <c r="A628" s="109"/>
      <c r="B628" s="108"/>
    </row>
    <row r="629">
      <c r="A629" s="109"/>
      <c r="B629" s="108"/>
    </row>
    <row r="630">
      <c r="A630" s="109"/>
      <c r="B630" s="108"/>
    </row>
    <row r="631">
      <c r="A631" s="109"/>
      <c r="B631" s="108"/>
    </row>
    <row r="632">
      <c r="A632" s="109"/>
      <c r="B632" s="108"/>
    </row>
    <row r="633">
      <c r="A633" s="109"/>
      <c r="B633" s="108"/>
    </row>
    <row r="634">
      <c r="A634" s="109"/>
      <c r="B634" s="108"/>
    </row>
    <row r="635">
      <c r="A635" s="109"/>
      <c r="B635" s="108"/>
    </row>
    <row r="636">
      <c r="A636" s="109"/>
      <c r="B636" s="108"/>
    </row>
    <row r="637">
      <c r="A637" s="109"/>
      <c r="B637" s="108"/>
    </row>
    <row r="638">
      <c r="A638" s="109"/>
      <c r="B638" s="108"/>
    </row>
    <row r="639">
      <c r="A639" s="109"/>
      <c r="B639" s="108"/>
    </row>
    <row r="640">
      <c r="A640" s="109"/>
      <c r="B640" s="108"/>
    </row>
    <row r="641">
      <c r="A641" s="109"/>
      <c r="B641" s="108"/>
    </row>
    <row r="642">
      <c r="A642" s="109"/>
      <c r="B642" s="108"/>
    </row>
    <row r="643">
      <c r="A643" s="109"/>
      <c r="B643" s="108"/>
    </row>
    <row r="644">
      <c r="A644" s="109"/>
      <c r="B644" s="108"/>
    </row>
    <row r="645">
      <c r="A645" s="109"/>
      <c r="B645" s="108"/>
    </row>
    <row r="646">
      <c r="A646" s="109"/>
      <c r="B646" s="108"/>
    </row>
    <row r="647">
      <c r="A647" s="109"/>
      <c r="B647" s="108"/>
    </row>
    <row r="648">
      <c r="A648" s="109"/>
      <c r="B648" s="108"/>
    </row>
    <row r="649">
      <c r="A649" s="109"/>
      <c r="B649" s="108"/>
    </row>
    <row r="650">
      <c r="A650" s="109"/>
      <c r="B650" s="108"/>
    </row>
    <row r="651">
      <c r="A651" s="109"/>
      <c r="B651" s="108"/>
    </row>
    <row r="652">
      <c r="A652" s="109"/>
      <c r="B652" s="108"/>
    </row>
    <row r="653">
      <c r="A653" s="109"/>
      <c r="B653" s="108"/>
    </row>
    <row r="654">
      <c r="A654" s="109"/>
      <c r="B654" s="108"/>
    </row>
    <row r="655">
      <c r="A655" s="109"/>
      <c r="B655" s="108"/>
    </row>
    <row r="656">
      <c r="A656" s="109"/>
      <c r="B656" s="108"/>
    </row>
    <row r="657">
      <c r="A657" s="109"/>
      <c r="B657" s="108"/>
    </row>
    <row r="658">
      <c r="A658" s="109"/>
      <c r="B658" s="108"/>
    </row>
    <row r="659">
      <c r="A659" s="109"/>
      <c r="B659" s="108"/>
    </row>
    <row r="660">
      <c r="A660" s="109"/>
      <c r="B660" s="108"/>
    </row>
    <row r="661">
      <c r="A661" s="109"/>
      <c r="B661" s="108"/>
    </row>
    <row r="662">
      <c r="A662" s="109"/>
      <c r="B662" s="108"/>
    </row>
    <row r="663">
      <c r="A663" s="109"/>
      <c r="B663" s="108"/>
    </row>
    <row r="664">
      <c r="A664" s="109"/>
      <c r="B664" s="108"/>
    </row>
    <row r="665">
      <c r="A665" s="109"/>
      <c r="B665" s="108"/>
    </row>
    <row r="666">
      <c r="A666" s="109"/>
      <c r="B666" s="108"/>
    </row>
    <row r="667">
      <c r="A667" s="109"/>
      <c r="B667" s="108"/>
    </row>
    <row r="668">
      <c r="A668" s="109"/>
      <c r="B668" s="108"/>
    </row>
    <row r="669">
      <c r="A669" s="109"/>
      <c r="B669" s="108"/>
    </row>
    <row r="670">
      <c r="A670" s="109"/>
      <c r="B670" s="108"/>
    </row>
    <row r="671">
      <c r="A671" s="109"/>
      <c r="B671" s="108"/>
    </row>
    <row r="672">
      <c r="A672" s="109"/>
      <c r="B672" s="108"/>
    </row>
    <row r="673">
      <c r="A673" s="109"/>
      <c r="B673" s="108"/>
    </row>
    <row r="674">
      <c r="A674" s="109"/>
      <c r="B674" s="108"/>
    </row>
    <row r="675">
      <c r="A675" s="109"/>
      <c r="B675" s="108"/>
    </row>
    <row r="676">
      <c r="A676" s="109"/>
      <c r="B676" s="108"/>
    </row>
    <row r="677">
      <c r="A677" s="109"/>
      <c r="B677" s="108"/>
    </row>
    <row r="678">
      <c r="A678" s="109"/>
      <c r="B678" s="108"/>
    </row>
    <row r="679">
      <c r="A679" s="109"/>
      <c r="B679" s="108"/>
    </row>
    <row r="680">
      <c r="A680" s="109"/>
      <c r="B680" s="108"/>
    </row>
    <row r="681">
      <c r="A681" s="109"/>
      <c r="B681" s="108"/>
    </row>
    <row r="682">
      <c r="A682" s="109"/>
      <c r="B682" s="108"/>
    </row>
    <row r="683">
      <c r="A683" s="109"/>
      <c r="B683" s="108"/>
    </row>
    <row r="684">
      <c r="A684" s="109"/>
      <c r="B684" s="108"/>
    </row>
    <row r="685">
      <c r="A685" s="109"/>
      <c r="B685" s="108"/>
    </row>
    <row r="686">
      <c r="A686" s="109"/>
      <c r="B686" s="108"/>
    </row>
    <row r="687">
      <c r="A687" s="109"/>
      <c r="B687" s="108"/>
    </row>
    <row r="688">
      <c r="A688" s="109"/>
      <c r="B688" s="108"/>
    </row>
    <row r="689">
      <c r="A689" s="109"/>
      <c r="B689" s="108"/>
    </row>
    <row r="690">
      <c r="A690" s="109"/>
      <c r="B690" s="108"/>
    </row>
    <row r="691">
      <c r="A691" s="109"/>
      <c r="B691" s="108"/>
    </row>
    <row r="692">
      <c r="A692" s="109"/>
      <c r="B692" s="108"/>
    </row>
    <row r="693">
      <c r="A693" s="109"/>
      <c r="B693" s="108"/>
    </row>
    <row r="694">
      <c r="A694" s="109"/>
      <c r="B694" s="108"/>
    </row>
    <row r="695">
      <c r="A695" s="109"/>
      <c r="B695" s="108"/>
    </row>
    <row r="696">
      <c r="A696" s="109"/>
      <c r="B696" s="108"/>
    </row>
    <row r="697">
      <c r="A697" s="109"/>
      <c r="B697" s="108"/>
    </row>
    <row r="698">
      <c r="A698" s="109"/>
      <c r="B698" s="108"/>
    </row>
    <row r="699">
      <c r="A699" s="109"/>
      <c r="B699" s="108"/>
    </row>
    <row r="700">
      <c r="A700" s="109"/>
      <c r="B700" s="108"/>
    </row>
    <row r="701">
      <c r="A701" s="109"/>
      <c r="B701" s="108"/>
    </row>
    <row r="702">
      <c r="A702" s="109"/>
      <c r="B702" s="108"/>
    </row>
    <row r="703">
      <c r="A703" s="109"/>
      <c r="B703" s="108"/>
    </row>
    <row r="704">
      <c r="A704" s="109"/>
      <c r="B704" s="108"/>
    </row>
    <row r="705">
      <c r="A705" s="109"/>
      <c r="B705" s="108"/>
    </row>
    <row r="706">
      <c r="A706" s="109"/>
      <c r="B706" s="108"/>
    </row>
    <row r="707">
      <c r="A707" s="109"/>
      <c r="B707" s="108"/>
    </row>
    <row r="708">
      <c r="A708" s="109"/>
      <c r="B708" s="108"/>
    </row>
    <row r="709">
      <c r="A709" s="109"/>
      <c r="B709" s="108"/>
    </row>
    <row r="710">
      <c r="A710" s="109"/>
      <c r="B710" s="108"/>
    </row>
    <row r="711">
      <c r="A711" s="109"/>
      <c r="B711" s="108"/>
    </row>
    <row r="712">
      <c r="A712" s="109"/>
      <c r="B712" s="108"/>
    </row>
    <row r="713">
      <c r="A713" s="109"/>
      <c r="B713" s="108"/>
    </row>
    <row r="714">
      <c r="A714" s="109"/>
      <c r="B714" s="108"/>
    </row>
    <row r="715">
      <c r="A715" s="109"/>
      <c r="B715" s="108"/>
    </row>
    <row r="716">
      <c r="A716" s="109"/>
      <c r="B716" s="108"/>
    </row>
    <row r="717">
      <c r="A717" s="109"/>
      <c r="B717" s="108"/>
    </row>
    <row r="718">
      <c r="A718" s="109"/>
      <c r="B718" s="108"/>
    </row>
    <row r="719">
      <c r="A719" s="109"/>
      <c r="B719" s="108"/>
    </row>
    <row r="720">
      <c r="A720" s="109"/>
      <c r="B720" s="108"/>
    </row>
    <row r="721">
      <c r="A721" s="109"/>
      <c r="B721" s="108"/>
    </row>
    <row r="722">
      <c r="A722" s="109"/>
      <c r="B722" s="108"/>
    </row>
    <row r="723">
      <c r="A723" s="109"/>
      <c r="B723" s="108"/>
    </row>
    <row r="724">
      <c r="A724" s="109"/>
      <c r="B724" s="108"/>
    </row>
    <row r="725">
      <c r="A725" s="109"/>
      <c r="B725" s="108"/>
    </row>
    <row r="726">
      <c r="A726" s="109"/>
      <c r="B726" s="108"/>
    </row>
    <row r="727">
      <c r="A727" s="109"/>
      <c r="B727" s="108"/>
    </row>
    <row r="728">
      <c r="A728" s="109"/>
      <c r="B728" s="108"/>
    </row>
    <row r="729">
      <c r="A729" s="109"/>
      <c r="B729" s="108"/>
    </row>
    <row r="730">
      <c r="A730" s="109"/>
      <c r="B730" s="108"/>
    </row>
    <row r="731">
      <c r="A731" s="109"/>
      <c r="B731" s="108"/>
    </row>
    <row r="732">
      <c r="A732" s="109"/>
      <c r="B732" s="108"/>
    </row>
    <row r="733">
      <c r="A733" s="109"/>
      <c r="B733" s="108"/>
    </row>
    <row r="734">
      <c r="A734" s="109"/>
      <c r="B734" s="108"/>
    </row>
    <row r="735">
      <c r="A735" s="109"/>
      <c r="B735" s="108"/>
    </row>
    <row r="736">
      <c r="A736" s="109"/>
      <c r="B736" s="108"/>
    </row>
    <row r="737">
      <c r="A737" s="109"/>
      <c r="B737" s="108"/>
    </row>
    <row r="738">
      <c r="A738" s="109"/>
      <c r="B738" s="108"/>
    </row>
    <row r="739">
      <c r="A739" s="109"/>
      <c r="B739" s="108"/>
    </row>
    <row r="740">
      <c r="A740" s="109"/>
      <c r="B740" s="108"/>
    </row>
    <row r="741">
      <c r="A741" s="109"/>
      <c r="B741" s="108"/>
    </row>
    <row r="742">
      <c r="A742" s="109"/>
      <c r="B742" s="108"/>
    </row>
    <row r="743">
      <c r="A743" s="109"/>
      <c r="B743" s="108"/>
    </row>
    <row r="744">
      <c r="A744" s="109"/>
      <c r="B744" s="108"/>
    </row>
    <row r="745">
      <c r="A745" s="109"/>
      <c r="B745" s="108"/>
    </row>
    <row r="746">
      <c r="A746" s="109"/>
      <c r="B746" s="108"/>
    </row>
    <row r="747">
      <c r="A747" s="109"/>
      <c r="B747" s="108"/>
    </row>
    <row r="748">
      <c r="A748" s="109"/>
      <c r="B748" s="108"/>
    </row>
    <row r="749">
      <c r="A749" s="109"/>
      <c r="B749" s="108"/>
    </row>
    <row r="750">
      <c r="A750" s="109"/>
      <c r="B750" s="108"/>
    </row>
    <row r="751">
      <c r="A751" s="109"/>
      <c r="B751" s="108"/>
    </row>
    <row r="752">
      <c r="A752" s="109"/>
      <c r="B752" s="108"/>
    </row>
    <row r="753">
      <c r="A753" s="109"/>
      <c r="B753" s="108"/>
    </row>
    <row r="754">
      <c r="A754" s="109"/>
      <c r="B754" s="108"/>
    </row>
    <row r="755">
      <c r="A755" s="109"/>
      <c r="B755" s="108"/>
    </row>
    <row r="756">
      <c r="A756" s="109"/>
      <c r="B756" s="108"/>
    </row>
    <row r="757">
      <c r="A757" s="109"/>
      <c r="B757" s="108"/>
    </row>
    <row r="758">
      <c r="A758" s="109"/>
      <c r="B758" s="108"/>
    </row>
    <row r="759">
      <c r="A759" s="109"/>
      <c r="B759" s="108"/>
    </row>
    <row r="760">
      <c r="A760" s="109"/>
      <c r="B760" s="108"/>
    </row>
    <row r="761">
      <c r="A761" s="109"/>
      <c r="B761" s="108"/>
    </row>
    <row r="762">
      <c r="A762" s="109"/>
      <c r="B762" s="108"/>
    </row>
    <row r="763">
      <c r="A763" s="109"/>
      <c r="B763" s="108"/>
    </row>
    <row r="764">
      <c r="A764" s="109"/>
      <c r="B764" s="108"/>
    </row>
    <row r="765">
      <c r="A765" s="109"/>
      <c r="B765" s="108"/>
    </row>
    <row r="766">
      <c r="A766" s="109"/>
      <c r="B766" s="108"/>
    </row>
    <row r="767">
      <c r="A767" s="109"/>
      <c r="B767" s="108"/>
    </row>
    <row r="768">
      <c r="A768" s="109"/>
      <c r="B768" s="108"/>
    </row>
    <row r="769">
      <c r="A769" s="109"/>
      <c r="B769" s="108"/>
    </row>
    <row r="770">
      <c r="A770" s="109"/>
      <c r="B770" s="108"/>
    </row>
    <row r="771">
      <c r="A771" s="109"/>
      <c r="B771" s="108"/>
    </row>
    <row r="772">
      <c r="A772" s="109"/>
      <c r="B772" s="108"/>
    </row>
    <row r="773">
      <c r="A773" s="109"/>
      <c r="B773" s="108"/>
    </row>
    <row r="774">
      <c r="A774" s="109"/>
      <c r="B774" s="108"/>
    </row>
    <row r="775">
      <c r="A775" s="109"/>
      <c r="B775" s="108"/>
    </row>
    <row r="776">
      <c r="A776" s="109"/>
      <c r="B776" s="108"/>
    </row>
    <row r="777">
      <c r="A777" s="109"/>
      <c r="B777" s="108"/>
    </row>
    <row r="778">
      <c r="A778" s="109"/>
      <c r="B778" s="108"/>
    </row>
    <row r="779">
      <c r="A779" s="109"/>
      <c r="B779" s="108"/>
    </row>
    <row r="780">
      <c r="A780" s="109"/>
      <c r="B780" s="108"/>
    </row>
    <row r="781">
      <c r="A781" s="109"/>
      <c r="B781" s="108"/>
    </row>
    <row r="782">
      <c r="A782" s="109"/>
      <c r="B782" s="108"/>
    </row>
    <row r="783">
      <c r="A783" s="109"/>
      <c r="B783" s="108"/>
    </row>
    <row r="784">
      <c r="A784" s="109"/>
      <c r="B784" s="108"/>
    </row>
    <row r="785">
      <c r="A785" s="109"/>
      <c r="B785" s="108"/>
    </row>
    <row r="786">
      <c r="A786" s="109"/>
      <c r="B786" s="108"/>
    </row>
    <row r="787">
      <c r="A787" s="109"/>
      <c r="B787" s="108"/>
    </row>
    <row r="788">
      <c r="A788" s="109"/>
      <c r="B788" s="108"/>
    </row>
    <row r="789">
      <c r="A789" s="109"/>
      <c r="B789" s="108"/>
    </row>
    <row r="790">
      <c r="A790" s="109"/>
      <c r="B790" s="108"/>
    </row>
    <row r="791">
      <c r="A791" s="109"/>
      <c r="B791" s="108"/>
    </row>
    <row r="792">
      <c r="A792" s="109"/>
      <c r="B792" s="108"/>
    </row>
    <row r="793">
      <c r="A793" s="109"/>
      <c r="B793" s="108"/>
    </row>
    <row r="794">
      <c r="A794" s="109"/>
      <c r="B794" s="108"/>
    </row>
    <row r="795">
      <c r="A795" s="109"/>
      <c r="B795" s="108"/>
    </row>
    <row r="796">
      <c r="A796" s="109"/>
      <c r="B796" s="108"/>
    </row>
    <row r="797">
      <c r="A797" s="109"/>
      <c r="B797" s="108"/>
    </row>
    <row r="798">
      <c r="A798" s="109"/>
      <c r="B798" s="108"/>
    </row>
    <row r="799">
      <c r="A799" s="109"/>
      <c r="B799" s="108"/>
    </row>
    <row r="800">
      <c r="A800" s="109"/>
      <c r="B800" s="108"/>
    </row>
    <row r="801">
      <c r="A801" s="109"/>
      <c r="B801" s="108"/>
    </row>
    <row r="802">
      <c r="A802" s="109"/>
      <c r="B802" s="108"/>
    </row>
    <row r="803">
      <c r="A803" s="109"/>
      <c r="B803" s="108"/>
    </row>
    <row r="804">
      <c r="A804" s="109"/>
      <c r="B804" s="108"/>
    </row>
    <row r="805">
      <c r="A805" s="109"/>
      <c r="B805" s="108"/>
    </row>
    <row r="806">
      <c r="A806" s="109"/>
      <c r="B806" s="108"/>
    </row>
    <row r="807">
      <c r="A807" s="109"/>
      <c r="B807" s="108"/>
    </row>
    <row r="808">
      <c r="A808" s="109"/>
      <c r="B808" s="108"/>
    </row>
    <row r="809">
      <c r="A809" s="109"/>
      <c r="B809" s="108"/>
    </row>
    <row r="810">
      <c r="A810" s="109"/>
      <c r="B810" s="108"/>
    </row>
    <row r="811">
      <c r="A811" s="109"/>
      <c r="B811" s="108"/>
    </row>
    <row r="812">
      <c r="A812" s="109"/>
      <c r="B812" s="108"/>
    </row>
    <row r="813">
      <c r="A813" s="109"/>
      <c r="B813" s="108"/>
    </row>
    <row r="814">
      <c r="A814" s="109"/>
      <c r="B814" s="108"/>
    </row>
    <row r="815">
      <c r="A815" s="109"/>
      <c r="B815" s="108"/>
    </row>
    <row r="816">
      <c r="A816" s="109"/>
      <c r="B816" s="108"/>
    </row>
    <row r="817">
      <c r="A817" s="109"/>
      <c r="B817" s="108"/>
    </row>
    <row r="818">
      <c r="A818" s="109"/>
      <c r="B818" s="108"/>
    </row>
    <row r="819">
      <c r="A819" s="109"/>
      <c r="B819" s="108"/>
    </row>
    <row r="820">
      <c r="A820" s="109"/>
      <c r="B820" s="108"/>
    </row>
    <row r="821">
      <c r="A821" s="109"/>
      <c r="B821" s="108"/>
    </row>
    <row r="822">
      <c r="A822" s="109"/>
      <c r="B822" s="108"/>
    </row>
    <row r="823">
      <c r="A823" s="109"/>
      <c r="B823" s="108"/>
    </row>
    <row r="824">
      <c r="A824" s="109"/>
      <c r="B824" s="108"/>
    </row>
    <row r="825">
      <c r="A825" s="109"/>
      <c r="B825" s="108"/>
    </row>
    <row r="826">
      <c r="A826" s="109"/>
      <c r="B826" s="108"/>
    </row>
    <row r="827">
      <c r="A827" s="109"/>
      <c r="B827" s="108"/>
    </row>
    <row r="828">
      <c r="A828" s="109"/>
      <c r="B828" s="108"/>
    </row>
    <row r="829">
      <c r="A829" s="109"/>
      <c r="B829" s="108"/>
    </row>
    <row r="830">
      <c r="A830" s="109"/>
      <c r="B830" s="108"/>
    </row>
    <row r="831">
      <c r="A831" s="109"/>
      <c r="B831" s="108"/>
    </row>
    <row r="832">
      <c r="A832" s="109"/>
      <c r="B832" s="108"/>
    </row>
    <row r="833">
      <c r="A833" s="109"/>
      <c r="B833" s="108"/>
    </row>
    <row r="834">
      <c r="A834" s="109"/>
      <c r="B834" s="108"/>
    </row>
    <row r="835">
      <c r="A835" s="109"/>
      <c r="B835" s="108"/>
    </row>
    <row r="836">
      <c r="A836" s="109"/>
      <c r="B836" s="108"/>
    </row>
    <row r="837">
      <c r="A837" s="109"/>
      <c r="B837" s="108"/>
    </row>
    <row r="838">
      <c r="A838" s="109"/>
      <c r="B838" s="108"/>
    </row>
    <row r="839">
      <c r="A839" s="109"/>
      <c r="B839" s="108"/>
    </row>
    <row r="840">
      <c r="A840" s="109"/>
      <c r="B840" s="108"/>
    </row>
    <row r="841">
      <c r="A841" s="109"/>
      <c r="B841" s="108"/>
    </row>
    <row r="842">
      <c r="A842" s="109"/>
      <c r="B842" s="108"/>
    </row>
    <row r="843">
      <c r="A843" s="109"/>
      <c r="B843" s="108"/>
    </row>
    <row r="844">
      <c r="A844" s="109"/>
      <c r="B844" s="108"/>
    </row>
    <row r="845">
      <c r="A845" s="109"/>
      <c r="B845" s="108"/>
    </row>
    <row r="846">
      <c r="A846" s="109"/>
      <c r="B846" s="108"/>
    </row>
    <row r="847">
      <c r="A847" s="109"/>
      <c r="B847" s="108"/>
    </row>
    <row r="848">
      <c r="A848" s="109"/>
      <c r="B848" s="108"/>
    </row>
    <row r="849">
      <c r="A849" s="109"/>
      <c r="B849" s="108"/>
    </row>
    <row r="850">
      <c r="A850" s="109"/>
      <c r="B850" s="108"/>
    </row>
    <row r="851">
      <c r="A851" s="109"/>
      <c r="B851" s="108"/>
    </row>
    <row r="852">
      <c r="A852" s="109"/>
      <c r="B852" s="108"/>
    </row>
    <row r="853">
      <c r="A853" s="109"/>
      <c r="B853" s="108"/>
    </row>
    <row r="854">
      <c r="A854" s="109"/>
      <c r="B854" s="108"/>
    </row>
    <row r="855">
      <c r="A855" s="109"/>
      <c r="B855" s="108"/>
    </row>
    <row r="856">
      <c r="A856" s="109"/>
      <c r="B856" s="108"/>
    </row>
    <row r="857">
      <c r="A857" s="109"/>
      <c r="B857" s="108"/>
    </row>
    <row r="858">
      <c r="A858" s="109"/>
      <c r="B858" s="108"/>
    </row>
    <row r="859">
      <c r="A859" s="109"/>
      <c r="B859" s="108"/>
    </row>
    <row r="860">
      <c r="A860" s="109"/>
      <c r="B860" s="108"/>
    </row>
    <row r="861">
      <c r="A861" s="109"/>
      <c r="B861" s="108"/>
    </row>
    <row r="862">
      <c r="A862" s="109"/>
      <c r="B862" s="108"/>
    </row>
    <row r="863">
      <c r="A863" s="109"/>
      <c r="B863" s="108"/>
    </row>
    <row r="864">
      <c r="A864" s="109"/>
      <c r="B864" s="108"/>
    </row>
    <row r="865">
      <c r="A865" s="109"/>
      <c r="B865" s="108"/>
    </row>
    <row r="866">
      <c r="A866" s="109"/>
      <c r="B866" s="108"/>
    </row>
    <row r="867">
      <c r="A867" s="109"/>
      <c r="B867" s="108"/>
    </row>
    <row r="868">
      <c r="A868" s="109"/>
      <c r="B868" s="108"/>
    </row>
    <row r="869">
      <c r="A869" s="109"/>
      <c r="B869" s="108"/>
    </row>
    <row r="870">
      <c r="A870" s="109"/>
      <c r="B870" s="108"/>
    </row>
    <row r="871">
      <c r="A871" s="109"/>
      <c r="B871" s="108"/>
    </row>
    <row r="872">
      <c r="A872" s="109"/>
      <c r="B872" s="108"/>
    </row>
    <row r="873">
      <c r="A873" s="109"/>
      <c r="B873" s="108"/>
    </row>
    <row r="874">
      <c r="A874" s="109"/>
      <c r="B874" s="108"/>
    </row>
    <row r="875">
      <c r="A875" s="109"/>
      <c r="B875" s="108"/>
    </row>
    <row r="876">
      <c r="A876" s="109"/>
      <c r="B876" s="108"/>
    </row>
    <row r="877">
      <c r="A877" s="109"/>
      <c r="B877" s="108"/>
    </row>
    <row r="878">
      <c r="A878" s="109"/>
      <c r="B878" s="108"/>
    </row>
    <row r="879">
      <c r="A879" s="109"/>
      <c r="B879" s="108"/>
    </row>
    <row r="880">
      <c r="A880" s="109"/>
      <c r="B880" s="108"/>
    </row>
    <row r="881">
      <c r="A881" s="109"/>
      <c r="B881" s="108"/>
    </row>
    <row r="882">
      <c r="A882" s="109"/>
      <c r="B882" s="108"/>
    </row>
    <row r="883">
      <c r="A883" s="109"/>
      <c r="B883" s="108"/>
    </row>
    <row r="884">
      <c r="A884" s="109"/>
      <c r="B884" s="108"/>
    </row>
    <row r="885">
      <c r="A885" s="109"/>
      <c r="B885" s="108"/>
    </row>
    <row r="886">
      <c r="A886" s="109"/>
      <c r="B886" s="108"/>
    </row>
    <row r="887">
      <c r="A887" s="109"/>
      <c r="B887" s="108"/>
    </row>
    <row r="888">
      <c r="A888" s="109"/>
      <c r="B888" s="108"/>
    </row>
    <row r="889">
      <c r="A889" s="109"/>
      <c r="B889" s="108"/>
    </row>
    <row r="890">
      <c r="A890" s="109"/>
      <c r="B890" s="108"/>
    </row>
    <row r="891">
      <c r="A891" s="109"/>
      <c r="B891" s="108"/>
    </row>
    <row r="892">
      <c r="A892" s="109"/>
      <c r="B892" s="108"/>
    </row>
    <row r="893">
      <c r="A893" s="109"/>
      <c r="B893" s="108"/>
    </row>
    <row r="894">
      <c r="A894" s="109"/>
      <c r="B894" s="108"/>
    </row>
    <row r="895">
      <c r="A895" s="109"/>
      <c r="B895" s="108"/>
    </row>
    <row r="896">
      <c r="A896" s="109"/>
      <c r="B896" s="108"/>
    </row>
    <row r="897">
      <c r="A897" s="109"/>
      <c r="B897" s="108"/>
    </row>
    <row r="898">
      <c r="A898" s="109"/>
      <c r="B898" s="108"/>
    </row>
    <row r="899">
      <c r="A899" s="109"/>
      <c r="B899" s="108"/>
    </row>
    <row r="900">
      <c r="A900" s="109"/>
      <c r="B900" s="108"/>
    </row>
    <row r="901">
      <c r="A901" s="109"/>
      <c r="B901" s="108"/>
    </row>
    <row r="902">
      <c r="A902" s="109"/>
      <c r="B902" s="108"/>
    </row>
    <row r="903">
      <c r="A903" s="109"/>
      <c r="B903" s="108"/>
    </row>
    <row r="904">
      <c r="A904" s="109"/>
      <c r="B904" s="108"/>
    </row>
    <row r="905">
      <c r="A905" s="109"/>
      <c r="B905" s="108"/>
    </row>
    <row r="906">
      <c r="A906" s="109"/>
      <c r="B906" s="108"/>
    </row>
    <row r="907">
      <c r="A907" s="109"/>
      <c r="B907" s="108"/>
    </row>
    <row r="908">
      <c r="A908" s="109"/>
      <c r="B908" s="108"/>
    </row>
    <row r="909">
      <c r="A909" s="109"/>
      <c r="B909" s="108"/>
    </row>
    <row r="910">
      <c r="A910" s="109"/>
      <c r="B910" s="108"/>
    </row>
    <row r="911">
      <c r="A911" s="109"/>
      <c r="B911" s="108"/>
    </row>
    <row r="912">
      <c r="A912" s="109"/>
      <c r="B912" s="108"/>
    </row>
    <row r="913">
      <c r="A913" s="109"/>
      <c r="B913" s="108"/>
    </row>
    <row r="914">
      <c r="A914" s="109"/>
      <c r="B914" s="108"/>
    </row>
    <row r="915">
      <c r="A915" s="109"/>
      <c r="B915" s="108"/>
    </row>
    <row r="916">
      <c r="A916" s="109"/>
      <c r="B916" s="108"/>
    </row>
    <row r="917">
      <c r="A917" s="109"/>
      <c r="B917" s="108"/>
    </row>
    <row r="918">
      <c r="A918" s="109"/>
      <c r="B918" s="108"/>
    </row>
    <row r="919">
      <c r="A919" s="109"/>
      <c r="B919" s="108"/>
    </row>
    <row r="920">
      <c r="A920" s="109"/>
      <c r="B920" s="108"/>
    </row>
    <row r="921">
      <c r="A921" s="109"/>
      <c r="B921" s="108"/>
    </row>
    <row r="922">
      <c r="A922" s="109"/>
      <c r="B922" s="108"/>
    </row>
    <row r="923">
      <c r="A923" s="109"/>
      <c r="B923" s="108"/>
    </row>
    <row r="924">
      <c r="A924" s="109"/>
      <c r="B924" s="108"/>
    </row>
    <row r="925">
      <c r="A925" s="109"/>
      <c r="B925" s="108"/>
    </row>
    <row r="926">
      <c r="A926" s="109"/>
      <c r="B926" s="108"/>
    </row>
    <row r="927">
      <c r="A927" s="109"/>
      <c r="B927" s="108"/>
    </row>
    <row r="928">
      <c r="A928" s="109"/>
      <c r="B928" s="108"/>
    </row>
    <row r="929">
      <c r="A929" s="109"/>
      <c r="B929" s="108"/>
    </row>
    <row r="930">
      <c r="A930" s="109"/>
      <c r="B930" s="108"/>
    </row>
    <row r="931">
      <c r="A931" s="109"/>
      <c r="B931" s="108"/>
    </row>
    <row r="932">
      <c r="A932" s="109"/>
      <c r="B932" s="108"/>
    </row>
    <row r="933">
      <c r="A933" s="109"/>
      <c r="B933" s="108"/>
    </row>
    <row r="934">
      <c r="A934" s="109"/>
      <c r="B934" s="108"/>
    </row>
    <row r="935">
      <c r="A935" s="109"/>
      <c r="B935" s="108"/>
    </row>
    <row r="936">
      <c r="A936" s="109"/>
      <c r="B936" s="108"/>
    </row>
    <row r="937">
      <c r="A937" s="109"/>
      <c r="B937" s="108"/>
    </row>
    <row r="938">
      <c r="A938" s="109"/>
      <c r="B938" s="108"/>
    </row>
    <row r="939">
      <c r="A939" s="109"/>
      <c r="B939" s="108"/>
    </row>
    <row r="940">
      <c r="A940" s="109"/>
      <c r="B940" s="108"/>
    </row>
    <row r="941">
      <c r="A941" s="109"/>
      <c r="B941" s="108"/>
    </row>
    <row r="942">
      <c r="A942" s="109"/>
      <c r="B942" s="108"/>
    </row>
    <row r="943">
      <c r="A943" s="109"/>
      <c r="B943" s="108"/>
    </row>
    <row r="944">
      <c r="A944" s="109"/>
      <c r="B944" s="108"/>
    </row>
    <row r="945">
      <c r="A945" s="109"/>
      <c r="B945" s="108"/>
    </row>
    <row r="946">
      <c r="A946" s="109"/>
      <c r="B946" s="108"/>
    </row>
    <row r="947">
      <c r="A947" s="109"/>
      <c r="B947" s="108"/>
    </row>
    <row r="948">
      <c r="A948" s="109"/>
      <c r="B948" s="108"/>
    </row>
    <row r="949">
      <c r="A949" s="109"/>
      <c r="B949" s="108"/>
    </row>
    <row r="950">
      <c r="A950" s="109"/>
      <c r="B950" s="108"/>
    </row>
    <row r="951">
      <c r="A951" s="109"/>
      <c r="B951" s="108"/>
    </row>
    <row r="952">
      <c r="A952" s="109"/>
      <c r="B952" s="108"/>
    </row>
    <row r="953">
      <c r="A953" s="109"/>
      <c r="B953" s="108"/>
    </row>
    <row r="954">
      <c r="A954" s="109"/>
      <c r="B954" s="108"/>
    </row>
    <row r="955">
      <c r="A955" s="109"/>
      <c r="B955" s="108"/>
    </row>
    <row r="956">
      <c r="A956" s="109"/>
      <c r="B956" s="108"/>
    </row>
    <row r="957">
      <c r="A957" s="109"/>
      <c r="B957" s="108"/>
    </row>
    <row r="958">
      <c r="A958" s="109"/>
      <c r="B958" s="108"/>
    </row>
    <row r="959">
      <c r="A959" s="109"/>
      <c r="B959" s="108"/>
    </row>
    <row r="960">
      <c r="A960" s="109"/>
      <c r="B960" s="108"/>
    </row>
    <row r="961">
      <c r="A961" s="109"/>
      <c r="B961" s="108"/>
    </row>
    <row r="962">
      <c r="A962" s="109"/>
      <c r="B962" s="108"/>
    </row>
    <row r="963">
      <c r="A963" s="109"/>
      <c r="B963" s="108"/>
    </row>
    <row r="964">
      <c r="A964" s="109"/>
      <c r="B964" s="108"/>
    </row>
    <row r="965">
      <c r="A965" s="109"/>
      <c r="B965" s="108"/>
    </row>
    <row r="966">
      <c r="A966" s="109"/>
      <c r="B966" s="108"/>
    </row>
    <row r="967">
      <c r="A967" s="109"/>
      <c r="B967" s="108"/>
    </row>
    <row r="968">
      <c r="A968" s="109"/>
      <c r="B968" s="108"/>
    </row>
    <row r="969">
      <c r="A969" s="109"/>
      <c r="B969" s="108"/>
    </row>
    <row r="970">
      <c r="A970" s="109"/>
      <c r="B970" s="108"/>
    </row>
    <row r="971">
      <c r="A971" s="109"/>
      <c r="B971" s="108"/>
    </row>
    <row r="972">
      <c r="A972" s="109"/>
      <c r="B972" s="108"/>
    </row>
    <row r="973">
      <c r="A973" s="109"/>
      <c r="B973" s="108"/>
    </row>
    <row r="974">
      <c r="A974" s="109"/>
      <c r="B974" s="108"/>
    </row>
    <row r="975">
      <c r="A975" s="109"/>
      <c r="B975" s="108"/>
    </row>
    <row r="976">
      <c r="A976" s="109"/>
      <c r="B976" s="108"/>
    </row>
    <row r="977">
      <c r="A977" s="109"/>
      <c r="B977" s="108"/>
    </row>
    <row r="978">
      <c r="A978" s="109"/>
      <c r="B978" s="108"/>
    </row>
    <row r="979">
      <c r="A979" s="109"/>
      <c r="B979" s="108"/>
    </row>
    <row r="980">
      <c r="A980" s="109"/>
      <c r="B980" s="108"/>
    </row>
    <row r="981">
      <c r="A981" s="109"/>
      <c r="B981" s="108"/>
    </row>
    <row r="982">
      <c r="A982" s="109"/>
      <c r="B982" s="108"/>
    </row>
    <row r="983">
      <c r="A983" s="109"/>
      <c r="B983" s="108"/>
    </row>
    <row r="984">
      <c r="A984" s="109"/>
      <c r="B984" s="108"/>
    </row>
    <row r="985">
      <c r="A985" s="109"/>
      <c r="B985" s="108"/>
    </row>
    <row r="986">
      <c r="A986" s="109"/>
      <c r="B986" s="108"/>
    </row>
    <row r="987">
      <c r="A987" s="109"/>
      <c r="B987" s="108"/>
    </row>
    <row r="988">
      <c r="A988" s="109"/>
      <c r="B988" s="108"/>
    </row>
    <row r="989">
      <c r="A989" s="109"/>
      <c r="B989" s="108"/>
    </row>
    <row r="990">
      <c r="A990" s="109"/>
      <c r="B990" s="108"/>
    </row>
    <row r="991">
      <c r="A991" s="109"/>
      <c r="B991" s="108"/>
    </row>
    <row r="992">
      <c r="A992" s="109"/>
      <c r="B992" s="108"/>
    </row>
    <row r="993">
      <c r="A993" s="109"/>
      <c r="B993" s="108"/>
    </row>
    <row r="994">
      <c r="A994" s="109"/>
      <c r="B994" s="108"/>
    </row>
    <row r="995">
      <c r="A995" s="109"/>
      <c r="B995" s="108"/>
    </row>
    <row r="996">
      <c r="A996" s="109"/>
      <c r="B996" s="108"/>
    </row>
    <row r="997">
      <c r="A997" s="109"/>
      <c r="B997" s="108"/>
    </row>
    <row r="998">
      <c r="A998" s="109"/>
      <c r="B998" s="108"/>
    </row>
    <row r="999">
      <c r="A999" s="109"/>
      <c r="B999" s="108"/>
    </row>
    <row r="1000">
      <c r="A1000" s="109"/>
      <c r="B1000" s="108"/>
    </row>
    <row r="1001">
      <c r="A1001" s="109"/>
      <c r="B1001" s="10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71.0"/>
    <col customWidth="1" min="4" max="4" width="3.29"/>
    <col customWidth="1" min="5" max="5" width="80.29"/>
    <col customWidth="1" min="6" max="6" width="43.14"/>
    <col customWidth="1" min="7" max="7" width="57.43"/>
    <col customWidth="1" min="8" max="8" width="24.71"/>
  </cols>
  <sheetData>
    <row r="1">
      <c r="A1" s="110" t="s">
        <v>816</v>
      </c>
      <c r="B1" s="110" t="s">
        <v>817</v>
      </c>
      <c r="C1" s="110" t="s">
        <v>818</v>
      </c>
      <c r="E1" s="24" t="s">
        <v>819</v>
      </c>
    </row>
    <row r="2">
      <c r="A2" s="111" t="s">
        <v>449</v>
      </c>
      <c r="B2" s="103" t="s">
        <v>820</v>
      </c>
      <c r="C2" s="103" t="s">
        <v>821</v>
      </c>
    </row>
    <row r="3">
      <c r="A3" s="103" t="s">
        <v>449</v>
      </c>
      <c r="B3" s="103" t="s">
        <v>822</v>
      </c>
      <c r="C3" s="103" t="s">
        <v>823</v>
      </c>
      <c r="E3" s="103" t="s">
        <v>824</v>
      </c>
      <c r="F3" s="112" t="s">
        <v>468</v>
      </c>
      <c r="G3" s="113" t="s">
        <v>468</v>
      </c>
      <c r="H3" s="113"/>
    </row>
    <row r="4">
      <c r="C4" s="103" t="s">
        <v>825</v>
      </c>
      <c r="E4" s="103" t="s">
        <v>826</v>
      </c>
      <c r="F4" s="113" t="s">
        <v>468</v>
      </c>
      <c r="G4" s="113" t="s">
        <v>827</v>
      </c>
      <c r="H4" s="113"/>
    </row>
    <row r="5">
      <c r="A5" s="111" t="s">
        <v>460</v>
      </c>
      <c r="B5" s="103" t="s">
        <v>828</v>
      </c>
      <c r="C5" s="103" t="s">
        <v>829</v>
      </c>
      <c r="E5" s="103" t="s">
        <v>830</v>
      </c>
      <c r="F5" s="113" t="s">
        <v>468</v>
      </c>
      <c r="G5" s="113" t="s">
        <v>831</v>
      </c>
      <c r="H5" s="113"/>
    </row>
    <row r="6">
      <c r="A6" s="103" t="s">
        <v>460</v>
      </c>
      <c r="B6" s="103" t="s">
        <v>832</v>
      </c>
      <c r="C6" s="103" t="s">
        <v>833</v>
      </c>
      <c r="E6" s="103" t="s">
        <v>834</v>
      </c>
      <c r="F6" s="113" t="s">
        <v>468</v>
      </c>
      <c r="G6" s="113" t="s">
        <v>835</v>
      </c>
      <c r="H6" s="113"/>
    </row>
    <row r="7">
      <c r="A7" s="103" t="s">
        <v>460</v>
      </c>
      <c r="B7" s="103" t="s">
        <v>836</v>
      </c>
      <c r="C7" s="103" t="s">
        <v>837</v>
      </c>
      <c r="E7" s="103" t="s">
        <v>838</v>
      </c>
      <c r="F7" s="113" t="s">
        <v>468</v>
      </c>
      <c r="G7" s="113" t="s">
        <v>839</v>
      </c>
      <c r="H7" s="113"/>
    </row>
    <row r="8">
      <c r="A8" s="103" t="s">
        <v>460</v>
      </c>
      <c r="B8" s="103" t="s">
        <v>840</v>
      </c>
      <c r="C8" s="103" t="s">
        <v>841</v>
      </c>
      <c r="E8" s="103" t="s">
        <v>749</v>
      </c>
      <c r="F8" s="113" t="s">
        <v>468</v>
      </c>
      <c r="G8" s="113" t="s">
        <v>842</v>
      </c>
      <c r="H8" s="113"/>
    </row>
    <row r="9">
      <c r="A9" s="103" t="s">
        <v>460</v>
      </c>
      <c r="B9" s="114" t="s">
        <v>843</v>
      </c>
      <c r="C9" s="103" t="s">
        <v>688</v>
      </c>
      <c r="E9" s="103" t="s">
        <v>844</v>
      </c>
      <c r="F9" s="112" t="s">
        <v>845</v>
      </c>
      <c r="G9" s="113" t="s">
        <v>846</v>
      </c>
      <c r="H9" s="113"/>
    </row>
    <row r="10">
      <c r="A10" s="103" t="s">
        <v>460</v>
      </c>
      <c r="B10" s="103" t="s">
        <v>847</v>
      </c>
      <c r="C10" s="103" t="s">
        <v>848</v>
      </c>
      <c r="E10" s="103" t="s">
        <v>849</v>
      </c>
      <c r="F10" s="113" t="s">
        <v>845</v>
      </c>
      <c r="G10" s="113" t="s">
        <v>850</v>
      </c>
      <c r="H10" s="113"/>
    </row>
    <row r="11">
      <c r="A11" s="103" t="s">
        <v>460</v>
      </c>
      <c r="B11" s="103" t="s">
        <v>797</v>
      </c>
      <c r="C11" s="103" t="s">
        <v>851</v>
      </c>
      <c r="E11" s="103" t="s">
        <v>852</v>
      </c>
      <c r="F11" s="113" t="s">
        <v>845</v>
      </c>
      <c r="G11" s="113" t="s">
        <v>853</v>
      </c>
      <c r="H11" s="113"/>
    </row>
    <row r="12">
      <c r="A12" s="103" t="s">
        <v>460</v>
      </c>
      <c r="B12" s="114" t="s">
        <v>854</v>
      </c>
      <c r="C12" s="103" t="s">
        <v>769</v>
      </c>
      <c r="E12" s="103" t="s">
        <v>855</v>
      </c>
      <c r="F12" s="113" t="s">
        <v>845</v>
      </c>
      <c r="G12" s="113" t="s">
        <v>856</v>
      </c>
      <c r="H12" s="113"/>
    </row>
    <row r="13">
      <c r="A13" s="103" t="s">
        <v>460</v>
      </c>
      <c r="B13" s="103" t="s">
        <v>857</v>
      </c>
      <c r="C13" s="103" t="s">
        <v>751</v>
      </c>
      <c r="E13" s="103" t="s">
        <v>858</v>
      </c>
      <c r="F13" s="113" t="s">
        <v>845</v>
      </c>
      <c r="G13" s="113" t="s">
        <v>859</v>
      </c>
      <c r="H13" s="113"/>
    </row>
    <row r="14">
      <c r="A14" s="103" t="s">
        <v>460</v>
      </c>
      <c r="B14" s="103" t="s">
        <v>860</v>
      </c>
      <c r="C14" s="103" t="s">
        <v>861</v>
      </c>
      <c r="E14" s="103" t="s">
        <v>862</v>
      </c>
      <c r="F14" s="113" t="s">
        <v>845</v>
      </c>
      <c r="G14" s="113" t="s">
        <v>863</v>
      </c>
      <c r="H14" s="115"/>
    </row>
    <row r="15">
      <c r="A15" s="103" t="s">
        <v>864</v>
      </c>
      <c r="B15" s="114" t="s">
        <v>865</v>
      </c>
      <c r="C15" s="103" t="s">
        <v>866</v>
      </c>
      <c r="E15" s="103" t="s">
        <v>867</v>
      </c>
      <c r="F15" s="113" t="s">
        <v>845</v>
      </c>
      <c r="G15" s="113" t="s">
        <v>868</v>
      </c>
      <c r="H15" s="113"/>
    </row>
    <row r="16">
      <c r="A16" s="103" t="s">
        <v>864</v>
      </c>
      <c r="B16" s="103" t="s">
        <v>869</v>
      </c>
      <c r="C16" s="103" t="s">
        <v>870</v>
      </c>
      <c r="E16" s="103" t="s">
        <v>871</v>
      </c>
      <c r="F16" s="113" t="s">
        <v>845</v>
      </c>
      <c r="G16" s="113" t="s">
        <v>872</v>
      </c>
      <c r="H16" s="113"/>
    </row>
    <row r="17">
      <c r="A17" s="103" t="s">
        <v>864</v>
      </c>
      <c r="B17" s="103" t="s">
        <v>873</v>
      </c>
      <c r="C17" s="103" t="s">
        <v>874</v>
      </c>
      <c r="E17" s="103" t="s">
        <v>875</v>
      </c>
      <c r="F17" s="113" t="s">
        <v>845</v>
      </c>
      <c r="G17" s="113" t="s">
        <v>876</v>
      </c>
      <c r="H17" s="113"/>
    </row>
    <row r="18">
      <c r="A18" s="111" t="s">
        <v>636</v>
      </c>
      <c r="B18" s="103" t="s">
        <v>636</v>
      </c>
      <c r="C18" s="103" t="s">
        <v>636</v>
      </c>
      <c r="E18" s="103" t="s">
        <v>877</v>
      </c>
      <c r="F18" s="113" t="s">
        <v>845</v>
      </c>
      <c r="G18" s="113" t="s">
        <v>878</v>
      </c>
      <c r="H18" s="115"/>
    </row>
    <row r="19">
      <c r="A19" s="103" t="s">
        <v>778</v>
      </c>
      <c r="B19" s="103" t="s">
        <v>778</v>
      </c>
      <c r="C19" s="103" t="s">
        <v>879</v>
      </c>
      <c r="E19" s="103" t="s">
        <v>880</v>
      </c>
      <c r="F19" s="113" t="s">
        <v>881</v>
      </c>
      <c r="G19" s="113" t="s">
        <v>882</v>
      </c>
      <c r="H19" s="115"/>
    </row>
    <row r="20">
      <c r="A20" s="103" t="s">
        <v>883</v>
      </c>
      <c r="B20" s="114" t="s">
        <v>883</v>
      </c>
      <c r="C20" s="103" t="s">
        <v>884</v>
      </c>
      <c r="E20" s="103" t="s">
        <v>885</v>
      </c>
      <c r="F20" s="113" t="s">
        <v>881</v>
      </c>
      <c r="G20" s="113" t="s">
        <v>886</v>
      </c>
      <c r="H20" s="113"/>
    </row>
    <row r="21">
      <c r="A21" s="103" t="s">
        <v>887</v>
      </c>
      <c r="B21" s="103" t="s">
        <v>887</v>
      </c>
      <c r="C21" s="103" t="s">
        <v>888</v>
      </c>
      <c r="E21" s="103" t="s">
        <v>889</v>
      </c>
      <c r="F21" s="112" t="s">
        <v>890</v>
      </c>
      <c r="G21" s="113" t="s">
        <v>318</v>
      </c>
      <c r="H21" s="113" t="s">
        <v>891</v>
      </c>
    </row>
    <row r="22">
      <c r="A22" s="103" t="s">
        <v>771</v>
      </c>
      <c r="B22" s="103" t="s">
        <v>771</v>
      </c>
      <c r="C22" s="103" t="s">
        <v>771</v>
      </c>
      <c r="E22" s="103" t="s">
        <v>892</v>
      </c>
      <c r="F22" s="113" t="s">
        <v>890</v>
      </c>
      <c r="G22" s="113" t="s">
        <v>318</v>
      </c>
      <c r="H22" s="113" t="s">
        <v>893</v>
      </c>
    </row>
    <row r="23">
      <c r="A23" s="111" t="s">
        <v>807</v>
      </c>
      <c r="B23" s="114" t="s">
        <v>894</v>
      </c>
      <c r="C23" s="103" t="s">
        <v>895</v>
      </c>
      <c r="E23" s="103" t="s">
        <v>896</v>
      </c>
      <c r="F23" s="113" t="s">
        <v>890</v>
      </c>
      <c r="G23" s="113" t="s">
        <v>897</v>
      </c>
      <c r="H23" s="113"/>
    </row>
    <row r="24">
      <c r="A24" s="103" t="s">
        <v>807</v>
      </c>
      <c r="B24" s="103" t="s">
        <v>211</v>
      </c>
      <c r="C24" s="103" t="s">
        <v>898</v>
      </c>
      <c r="E24" s="103" t="s">
        <v>899</v>
      </c>
      <c r="F24" s="113" t="s">
        <v>890</v>
      </c>
      <c r="G24" s="113" t="s">
        <v>900</v>
      </c>
      <c r="H24" s="115"/>
    </row>
    <row r="25">
      <c r="A25" s="103" t="s">
        <v>807</v>
      </c>
      <c r="B25" s="103" t="s">
        <v>901</v>
      </c>
      <c r="C25" s="103" t="s">
        <v>902</v>
      </c>
      <c r="E25" s="103" t="s">
        <v>903</v>
      </c>
      <c r="F25" s="113" t="s">
        <v>904</v>
      </c>
      <c r="G25" s="113" t="s">
        <v>905</v>
      </c>
      <c r="H25" s="113"/>
    </row>
    <row r="26">
      <c r="A26" s="103" t="s">
        <v>807</v>
      </c>
      <c r="B26" s="103" t="s">
        <v>906</v>
      </c>
      <c r="C26" s="103" t="s">
        <v>907</v>
      </c>
      <c r="E26" s="103" t="s">
        <v>908</v>
      </c>
      <c r="F26" s="113" t="s">
        <v>904</v>
      </c>
      <c r="G26" s="113" t="s">
        <v>909</v>
      </c>
      <c r="H26" s="113"/>
    </row>
    <row r="27">
      <c r="A27" s="103" t="s">
        <v>807</v>
      </c>
      <c r="B27" s="103" t="s">
        <v>910</v>
      </c>
      <c r="C27" s="103" t="s">
        <v>911</v>
      </c>
      <c r="E27" s="103" t="s">
        <v>912</v>
      </c>
      <c r="F27" s="113" t="s">
        <v>904</v>
      </c>
      <c r="G27" s="113" t="s">
        <v>913</v>
      </c>
      <c r="H27" s="113"/>
    </row>
    <row r="28">
      <c r="A28" s="103" t="s">
        <v>807</v>
      </c>
      <c r="B28" s="114" t="s">
        <v>914</v>
      </c>
      <c r="C28" s="103" t="s">
        <v>915</v>
      </c>
      <c r="E28" s="103" t="s">
        <v>916</v>
      </c>
      <c r="F28" s="113" t="s">
        <v>904</v>
      </c>
      <c r="G28" s="113" t="s">
        <v>917</v>
      </c>
      <c r="H28" s="113"/>
    </row>
    <row r="29">
      <c r="A29" s="103" t="s">
        <v>698</v>
      </c>
      <c r="B29" s="103" t="s">
        <v>698</v>
      </c>
      <c r="C29" s="103" t="s">
        <v>918</v>
      </c>
      <c r="E29" s="103" t="s">
        <v>919</v>
      </c>
      <c r="F29" s="113" t="s">
        <v>904</v>
      </c>
      <c r="G29" s="113" t="s">
        <v>920</v>
      </c>
      <c r="H29" s="113"/>
    </row>
    <row r="30">
      <c r="A30" s="114" t="s">
        <v>211</v>
      </c>
      <c r="B30" s="114" t="s">
        <v>211</v>
      </c>
      <c r="C30" s="103" t="s">
        <v>921</v>
      </c>
      <c r="E30" s="103" t="s">
        <v>653</v>
      </c>
      <c r="F30" s="112" t="s">
        <v>904</v>
      </c>
      <c r="G30" s="113" t="s">
        <v>922</v>
      </c>
      <c r="H30" s="113"/>
    </row>
    <row r="31">
      <c r="A31" s="103" t="s">
        <v>923</v>
      </c>
      <c r="B31" s="103" t="s">
        <v>923</v>
      </c>
      <c r="C31" s="103" t="s">
        <v>924</v>
      </c>
      <c r="E31" s="103" t="s">
        <v>925</v>
      </c>
      <c r="F31" s="113" t="s">
        <v>904</v>
      </c>
      <c r="G31" s="113" t="s">
        <v>926</v>
      </c>
      <c r="H31" s="115"/>
    </row>
    <row r="32">
      <c r="A32" s="111" t="s">
        <v>927</v>
      </c>
      <c r="B32" s="103" t="s">
        <v>927</v>
      </c>
      <c r="C32" s="103" t="s">
        <v>928</v>
      </c>
      <c r="E32" s="103" t="s">
        <v>929</v>
      </c>
      <c r="F32" s="113" t="s">
        <v>370</v>
      </c>
      <c r="G32" s="113" t="s">
        <v>930</v>
      </c>
      <c r="H32" s="113"/>
    </row>
    <row r="33">
      <c r="A33" s="103" t="s">
        <v>176</v>
      </c>
      <c r="B33" s="103" t="s">
        <v>931</v>
      </c>
      <c r="C33" s="103" t="s">
        <v>731</v>
      </c>
      <c r="E33" s="103" t="s">
        <v>932</v>
      </c>
      <c r="F33" s="113" t="s">
        <v>933</v>
      </c>
      <c r="G33" s="113" t="s">
        <v>934</v>
      </c>
      <c r="H33" s="113"/>
    </row>
    <row r="34">
      <c r="A34" s="103" t="s">
        <v>176</v>
      </c>
      <c r="B34" s="103" t="s">
        <v>679</v>
      </c>
      <c r="C34" s="103" t="s">
        <v>680</v>
      </c>
      <c r="E34" s="103" t="s">
        <v>935</v>
      </c>
      <c r="F34" s="113" t="s">
        <v>933</v>
      </c>
      <c r="G34" s="113" t="s">
        <v>936</v>
      </c>
      <c r="H34" s="113" t="s">
        <v>937</v>
      </c>
    </row>
    <row r="35">
      <c r="A35" s="103" t="s">
        <v>176</v>
      </c>
      <c r="B35" s="103" t="s">
        <v>938</v>
      </c>
      <c r="C35" s="103" t="s">
        <v>939</v>
      </c>
      <c r="E35" s="103" t="s">
        <v>940</v>
      </c>
      <c r="F35" s="113" t="s">
        <v>933</v>
      </c>
      <c r="G35" s="113" t="s">
        <v>941</v>
      </c>
      <c r="H35" s="115"/>
    </row>
    <row r="36">
      <c r="A36" s="103" t="s">
        <v>176</v>
      </c>
      <c r="B36" s="103" t="s">
        <v>942</v>
      </c>
      <c r="C36" s="103" t="s">
        <v>644</v>
      </c>
      <c r="E36" s="103" t="s">
        <v>943</v>
      </c>
      <c r="F36" s="113" t="s">
        <v>933</v>
      </c>
      <c r="G36" s="113" t="s">
        <v>944</v>
      </c>
      <c r="H36" s="113"/>
    </row>
    <row r="37">
      <c r="A37" s="103" t="s">
        <v>176</v>
      </c>
      <c r="B37" s="103" t="s">
        <v>211</v>
      </c>
      <c r="C37" s="103" t="s">
        <v>945</v>
      </c>
      <c r="E37" s="103" t="s">
        <v>946</v>
      </c>
      <c r="F37" s="112" t="s">
        <v>933</v>
      </c>
      <c r="G37" s="113" t="s">
        <v>947</v>
      </c>
      <c r="H37" s="113"/>
    </row>
    <row r="38">
      <c r="A38" s="103" t="s">
        <v>176</v>
      </c>
      <c r="B38" s="103" t="s">
        <v>948</v>
      </c>
      <c r="C38" s="103" t="s">
        <v>949</v>
      </c>
      <c r="E38" s="103" t="s">
        <v>740</v>
      </c>
      <c r="F38" s="113" t="s">
        <v>933</v>
      </c>
      <c r="G38" s="113" t="s">
        <v>302</v>
      </c>
      <c r="H38" s="113"/>
    </row>
    <row r="39">
      <c r="A39" s="111" t="s">
        <v>176</v>
      </c>
      <c r="B39" s="103" t="s">
        <v>814</v>
      </c>
      <c r="C39" s="103" t="s">
        <v>950</v>
      </c>
      <c r="E39" s="103" t="s">
        <v>951</v>
      </c>
      <c r="F39" s="113" t="s">
        <v>933</v>
      </c>
      <c r="G39" s="113" t="s">
        <v>952</v>
      </c>
      <c r="H39" s="113"/>
    </row>
    <row r="40">
      <c r="A40" s="103" t="s">
        <v>176</v>
      </c>
      <c r="B40" s="103" t="s">
        <v>953</v>
      </c>
      <c r="C40" s="103" t="s">
        <v>954</v>
      </c>
      <c r="E40" s="103" t="s">
        <v>955</v>
      </c>
      <c r="F40" s="113" t="s">
        <v>933</v>
      </c>
      <c r="G40" s="113" t="s">
        <v>956</v>
      </c>
      <c r="H40" s="113"/>
    </row>
    <row r="41">
      <c r="A41" s="103" t="s">
        <v>176</v>
      </c>
      <c r="B41" s="103" t="s">
        <v>211</v>
      </c>
      <c r="C41" s="103" t="s">
        <v>957</v>
      </c>
      <c r="E41" s="103" t="s">
        <v>958</v>
      </c>
      <c r="F41" s="113" t="s">
        <v>959</v>
      </c>
      <c r="G41" s="113" t="s">
        <v>960</v>
      </c>
      <c r="H41" s="113"/>
    </row>
    <row r="42">
      <c r="A42" s="103" t="s">
        <v>176</v>
      </c>
      <c r="B42" s="103" t="s">
        <v>211</v>
      </c>
      <c r="C42" s="103" t="s">
        <v>961</v>
      </c>
      <c r="E42" s="103" t="s">
        <v>962</v>
      </c>
      <c r="F42" s="113" t="s">
        <v>959</v>
      </c>
      <c r="G42" s="113" t="s">
        <v>963</v>
      </c>
      <c r="H42" s="113" t="s">
        <v>964</v>
      </c>
    </row>
    <row r="43">
      <c r="A43" s="111" t="s">
        <v>479</v>
      </c>
      <c r="B43" s="103" t="s">
        <v>965</v>
      </c>
      <c r="C43" s="103" t="s">
        <v>722</v>
      </c>
      <c r="E43" s="103" t="s">
        <v>966</v>
      </c>
      <c r="F43" s="113" t="s">
        <v>959</v>
      </c>
      <c r="G43" s="113" t="s">
        <v>967</v>
      </c>
      <c r="H43" s="113"/>
    </row>
    <row r="44">
      <c r="A44" s="103" t="s">
        <v>968</v>
      </c>
      <c r="B44" s="103" t="s">
        <v>968</v>
      </c>
      <c r="C44" s="103" t="s">
        <v>969</v>
      </c>
      <c r="E44" s="103" t="s">
        <v>970</v>
      </c>
      <c r="F44" s="112" t="s">
        <v>971</v>
      </c>
      <c r="G44" s="114" t="s">
        <v>972</v>
      </c>
    </row>
    <row r="45">
      <c r="A45" s="103" t="s">
        <v>479</v>
      </c>
      <c r="B45" s="116" t="s">
        <v>251</v>
      </c>
      <c r="C45" s="103" t="s">
        <v>632</v>
      </c>
      <c r="E45" s="103" t="s">
        <v>973</v>
      </c>
      <c r="F45" s="113" t="s">
        <v>971</v>
      </c>
      <c r="G45" s="113" t="s">
        <v>974</v>
      </c>
      <c r="H45" s="115"/>
    </row>
    <row r="46">
      <c r="A46" s="103" t="s">
        <v>975</v>
      </c>
      <c r="B46" s="103" t="s">
        <v>976</v>
      </c>
      <c r="C46" s="103" t="s">
        <v>977</v>
      </c>
      <c r="E46" s="103" t="s">
        <v>978</v>
      </c>
      <c r="F46" s="113" t="s">
        <v>971</v>
      </c>
      <c r="G46" s="113" t="s">
        <v>785</v>
      </c>
      <c r="H46" s="115"/>
    </row>
    <row r="47">
      <c r="A47" s="111" t="s">
        <v>975</v>
      </c>
      <c r="B47" s="103" t="s">
        <v>979</v>
      </c>
      <c r="C47" s="103" t="s">
        <v>980</v>
      </c>
      <c r="E47" s="103" t="s">
        <v>981</v>
      </c>
      <c r="F47" s="113" t="s">
        <v>982</v>
      </c>
      <c r="G47" s="113" t="s">
        <v>982</v>
      </c>
      <c r="H47" s="113"/>
    </row>
    <row r="48">
      <c r="A48" s="103" t="s">
        <v>975</v>
      </c>
      <c r="B48" s="103" t="s">
        <v>983</v>
      </c>
      <c r="C48" s="103" t="s">
        <v>984</v>
      </c>
      <c r="E48" s="103" t="s">
        <v>985</v>
      </c>
      <c r="F48" s="113" t="s">
        <v>986</v>
      </c>
      <c r="G48" s="113" t="s">
        <v>987</v>
      </c>
      <c r="H48" s="113"/>
    </row>
    <row r="49">
      <c r="A49" s="103" t="s">
        <v>479</v>
      </c>
      <c r="B49" s="103" t="s">
        <v>988</v>
      </c>
      <c r="C49" s="103" t="s">
        <v>682</v>
      </c>
      <c r="E49" s="103" t="s">
        <v>989</v>
      </c>
      <c r="F49" s="113" t="s">
        <v>513</v>
      </c>
      <c r="G49" s="113" t="s">
        <v>990</v>
      </c>
      <c r="H49" s="113"/>
    </row>
    <row r="50">
      <c r="A50" s="103" t="s">
        <v>211</v>
      </c>
      <c r="B50" s="114" t="s">
        <v>991</v>
      </c>
      <c r="C50" s="103" t="s">
        <v>992</v>
      </c>
      <c r="E50" s="103" t="s">
        <v>993</v>
      </c>
      <c r="F50" s="113" t="s">
        <v>513</v>
      </c>
      <c r="G50" s="113" t="s">
        <v>994</v>
      </c>
      <c r="H50" s="115"/>
    </row>
    <row r="51">
      <c r="A51" s="103" t="s">
        <v>211</v>
      </c>
      <c r="B51" s="103" t="s">
        <v>995</v>
      </c>
      <c r="C51" s="103" t="s">
        <v>996</v>
      </c>
      <c r="E51" s="103" t="s">
        <v>997</v>
      </c>
      <c r="F51" s="113" t="s">
        <v>513</v>
      </c>
      <c r="G51" s="113" t="s">
        <v>513</v>
      </c>
      <c r="H51" s="113"/>
    </row>
    <row r="52">
      <c r="A52" s="103" t="s">
        <v>211</v>
      </c>
      <c r="B52" s="103" t="s">
        <v>211</v>
      </c>
      <c r="C52" s="103" t="s">
        <v>921</v>
      </c>
      <c r="E52" s="103" t="s">
        <v>998</v>
      </c>
      <c r="F52" s="113" t="s">
        <v>999</v>
      </c>
      <c r="G52" s="113" t="s">
        <v>1000</v>
      </c>
      <c r="H52" s="115"/>
    </row>
    <row r="53">
      <c r="E53" s="103" t="s">
        <v>1001</v>
      </c>
      <c r="F53" s="113" t="s">
        <v>1002</v>
      </c>
      <c r="G53" s="113" t="s">
        <v>1003</v>
      </c>
      <c r="H53" s="113"/>
    </row>
    <row r="54">
      <c r="A54" s="24" t="s">
        <v>1004</v>
      </c>
      <c r="B54" s="24" t="s">
        <v>1004</v>
      </c>
      <c r="E54" s="103" t="s">
        <v>1005</v>
      </c>
      <c r="F54" s="113" t="s">
        <v>1002</v>
      </c>
      <c r="G54" s="113" t="s">
        <v>1006</v>
      </c>
      <c r="H54" s="113"/>
    </row>
    <row r="55">
      <c r="A55" s="24">
        <f>IFERROR(__xludf.DUMMYFUNCTION("COUNTUNIQUE(A2:A53)"),17.0)</f>
        <v>17</v>
      </c>
      <c r="B55" s="117">
        <f>IFERROR(__xludf.DUMMYFUNCTION("COUNTUNIQUE(B2:B52)"),45.0)</f>
        <v>45</v>
      </c>
      <c r="E55" s="103" t="s">
        <v>1007</v>
      </c>
      <c r="F55" s="113" t="s">
        <v>1002</v>
      </c>
      <c r="G55" s="113" t="s">
        <v>1008</v>
      </c>
      <c r="H55" s="113"/>
    </row>
    <row r="56">
      <c r="E56" s="103" t="s">
        <v>746</v>
      </c>
      <c r="F56" s="113" t="s">
        <v>745</v>
      </c>
      <c r="G56" s="113" t="s">
        <v>745</v>
      </c>
      <c r="H56" s="115"/>
    </row>
    <row r="57">
      <c r="E57" s="103" t="s">
        <v>1009</v>
      </c>
      <c r="F57" s="113" t="s">
        <v>211</v>
      </c>
      <c r="G57" s="113" t="s">
        <v>853</v>
      </c>
      <c r="H57" s="113"/>
    </row>
    <row r="58">
      <c r="E58" s="103" t="s">
        <v>1010</v>
      </c>
      <c r="F58" s="113" t="s">
        <v>211</v>
      </c>
      <c r="G58" s="113" t="s">
        <v>1011</v>
      </c>
      <c r="H58" s="113"/>
    </row>
    <row r="59">
      <c r="E59" s="103" t="s">
        <v>1012</v>
      </c>
      <c r="F59" s="113" t="s">
        <v>211</v>
      </c>
      <c r="G59" s="113" t="s">
        <v>1013</v>
      </c>
      <c r="H59" s="115"/>
    </row>
    <row r="60">
      <c r="E60" s="103" t="s">
        <v>1014</v>
      </c>
      <c r="F60" s="113" t="s">
        <v>211</v>
      </c>
      <c r="G60" s="113" t="s">
        <v>1015</v>
      </c>
      <c r="H60" s="113"/>
    </row>
    <row r="61">
      <c r="E61" s="103" t="s">
        <v>1016</v>
      </c>
      <c r="F61" s="113" t="s">
        <v>211</v>
      </c>
      <c r="G61" s="113" t="s">
        <v>1017</v>
      </c>
      <c r="H61" s="113"/>
    </row>
    <row r="62">
      <c r="E62" s="103" t="s">
        <v>1018</v>
      </c>
      <c r="F62" s="113" t="s">
        <v>211</v>
      </c>
      <c r="G62" s="113" t="s">
        <v>1019</v>
      </c>
      <c r="H62" s="113"/>
    </row>
    <row r="63">
      <c r="E63" s="103" t="s">
        <v>1020</v>
      </c>
      <c r="F63" s="113" t="s">
        <v>211</v>
      </c>
      <c r="G63" s="113" t="s">
        <v>1021</v>
      </c>
      <c r="H63" s="113"/>
    </row>
    <row r="64">
      <c r="E64" s="103" t="s">
        <v>1022</v>
      </c>
      <c r="F64" s="113" t="s">
        <v>211</v>
      </c>
      <c r="G64" s="113" t="s">
        <v>1023</v>
      </c>
      <c r="H64" s="113"/>
    </row>
    <row r="65">
      <c r="E65" s="103" t="s">
        <v>1024</v>
      </c>
      <c r="F65" s="113" t="s">
        <v>211</v>
      </c>
      <c r="G65" s="113" t="s">
        <v>1025</v>
      </c>
      <c r="H65" s="113"/>
    </row>
    <row r="66">
      <c r="E66" s="103" t="s">
        <v>1026</v>
      </c>
      <c r="F66" s="113" t="s">
        <v>211</v>
      </c>
      <c r="G66" s="113" t="s">
        <v>1027</v>
      </c>
      <c r="H66" s="113"/>
    </row>
    <row r="67">
      <c r="E67" s="103" t="s">
        <v>1028</v>
      </c>
      <c r="F67" s="113" t="s">
        <v>211</v>
      </c>
      <c r="G67" s="113" t="s">
        <v>1029</v>
      </c>
      <c r="H67" s="113"/>
    </row>
    <row r="68">
      <c r="E68" s="103" t="s">
        <v>1030</v>
      </c>
      <c r="F68" s="113" t="s">
        <v>211</v>
      </c>
      <c r="G68" s="113" t="s">
        <v>1031</v>
      </c>
      <c r="H68" s="113"/>
    </row>
    <row r="69">
      <c r="E69" s="103" t="s">
        <v>1032</v>
      </c>
      <c r="F69" s="113" t="s">
        <v>211</v>
      </c>
      <c r="G69" s="113" t="s">
        <v>1033</v>
      </c>
      <c r="H69" s="113"/>
    </row>
    <row r="70">
      <c r="E70" s="103" t="s">
        <v>1034</v>
      </c>
      <c r="F70" s="113" t="s">
        <v>211</v>
      </c>
      <c r="G70" s="113" t="s">
        <v>1035</v>
      </c>
      <c r="H70" s="113"/>
    </row>
    <row r="71">
      <c r="E71" s="103" t="s">
        <v>1036</v>
      </c>
      <c r="F71" s="113" t="s">
        <v>211</v>
      </c>
      <c r="G71" s="113" t="s">
        <v>211</v>
      </c>
      <c r="H71" s="115"/>
    </row>
    <row r="72">
      <c r="E72" s="103" t="s">
        <v>1037</v>
      </c>
      <c r="F72" s="113" t="s">
        <v>211</v>
      </c>
      <c r="G72" s="113" t="s">
        <v>1038</v>
      </c>
      <c r="H72" s="113"/>
    </row>
    <row r="73">
      <c r="E73" s="103" t="s">
        <v>1039</v>
      </c>
      <c r="F73" s="113" t="s">
        <v>211</v>
      </c>
      <c r="G73" s="113" t="s">
        <v>1040</v>
      </c>
      <c r="H73" s="113"/>
    </row>
    <row r="74">
      <c r="E74" s="103" t="s">
        <v>1041</v>
      </c>
      <c r="F74" s="113" t="s">
        <v>211</v>
      </c>
      <c r="G74" s="113" t="s">
        <v>1042</v>
      </c>
      <c r="H74" s="113"/>
    </row>
    <row r="75">
      <c r="E75" s="103" t="s">
        <v>1043</v>
      </c>
      <c r="F75" s="113" t="s">
        <v>211</v>
      </c>
      <c r="G75" s="113" t="s">
        <v>1044</v>
      </c>
      <c r="H75" s="113"/>
    </row>
    <row r="76">
      <c r="E76" s="103" t="s">
        <v>1045</v>
      </c>
      <c r="F76" s="113" t="s">
        <v>211</v>
      </c>
      <c r="G76" s="113" t="s">
        <v>1046</v>
      </c>
      <c r="H76" s="115"/>
    </row>
    <row r="77">
      <c r="E77" s="103" t="s">
        <v>1047</v>
      </c>
      <c r="F77" s="113" t="s">
        <v>211</v>
      </c>
      <c r="G77" s="113" t="s">
        <v>1048</v>
      </c>
      <c r="H77" s="113"/>
    </row>
    <row r="78">
      <c r="E78" s="103" t="s">
        <v>1049</v>
      </c>
      <c r="F78" s="113" t="s">
        <v>211</v>
      </c>
      <c r="G78" s="113" t="s">
        <v>1050</v>
      </c>
      <c r="H78" s="113"/>
    </row>
    <row r="79">
      <c r="E79" s="103" t="s">
        <v>767</v>
      </c>
      <c r="F79" s="113" t="s">
        <v>211</v>
      </c>
      <c r="G79" s="113" t="s">
        <v>1051</v>
      </c>
      <c r="H79" s="113"/>
    </row>
    <row r="80">
      <c r="E80" s="103" t="s">
        <v>1052</v>
      </c>
      <c r="F80" s="113" t="s">
        <v>211</v>
      </c>
      <c r="G80" s="113" t="s">
        <v>1053</v>
      </c>
      <c r="H80" s="113"/>
    </row>
    <row r="81">
      <c r="E81" s="103" t="s">
        <v>1054</v>
      </c>
      <c r="F81" s="113" t="s">
        <v>211</v>
      </c>
      <c r="G81" s="113" t="s">
        <v>1055</v>
      </c>
      <c r="H81" s="113"/>
    </row>
    <row r="82">
      <c r="E82" s="103" t="s">
        <v>1056</v>
      </c>
      <c r="F82" s="113" t="s">
        <v>211</v>
      </c>
      <c r="G82" s="113" t="s">
        <v>1057</v>
      </c>
      <c r="H82" s="113"/>
    </row>
    <row r="83">
      <c r="E83" s="103" t="s">
        <v>1058</v>
      </c>
      <c r="F83" s="113" t="s">
        <v>211</v>
      </c>
      <c r="G83" s="113" t="s">
        <v>1059</v>
      </c>
      <c r="H83" s="113"/>
    </row>
    <row r="84">
      <c r="E84" s="103" t="s">
        <v>1060</v>
      </c>
      <c r="F84" s="113" t="s">
        <v>211</v>
      </c>
      <c r="G84" s="113" t="s">
        <v>1061</v>
      </c>
      <c r="H84" s="113"/>
    </row>
    <row r="85">
      <c r="E85" s="103" t="s">
        <v>1062</v>
      </c>
      <c r="F85" s="113" t="s">
        <v>211</v>
      </c>
      <c r="G85" s="113" t="s">
        <v>1063</v>
      </c>
      <c r="H85" s="113"/>
    </row>
    <row r="86">
      <c r="E86" s="103" t="s">
        <v>1064</v>
      </c>
      <c r="F86" s="113" t="s">
        <v>211</v>
      </c>
      <c r="G86" s="113" t="s">
        <v>1065</v>
      </c>
      <c r="H86" s="113"/>
    </row>
    <row r="87">
      <c r="E87" s="103" t="s">
        <v>1066</v>
      </c>
      <c r="F87" s="113" t="s">
        <v>211</v>
      </c>
      <c r="G87" s="113" t="s">
        <v>1067</v>
      </c>
      <c r="H87" s="113"/>
    </row>
    <row r="88">
      <c r="E88" s="103" t="s">
        <v>742</v>
      </c>
      <c r="F88" s="113" t="s">
        <v>211</v>
      </c>
      <c r="G88" s="113" t="s">
        <v>1068</v>
      </c>
      <c r="H88" s="113"/>
    </row>
    <row r="89">
      <c r="E89" s="103" t="s">
        <v>1069</v>
      </c>
      <c r="F89" s="113" t="s">
        <v>211</v>
      </c>
      <c r="G89" s="113" t="s">
        <v>1070</v>
      </c>
      <c r="H89" s="113"/>
    </row>
    <row r="90">
      <c r="E90" s="103" t="s">
        <v>1071</v>
      </c>
      <c r="F90" s="113" t="s">
        <v>211</v>
      </c>
      <c r="G90" s="113" t="s">
        <v>1072</v>
      </c>
      <c r="H90" s="113"/>
    </row>
    <row r="91">
      <c r="E91" s="103" t="s">
        <v>1073</v>
      </c>
      <c r="F91" s="113" t="s">
        <v>211</v>
      </c>
      <c r="G91" s="113" t="s">
        <v>900</v>
      </c>
      <c r="H91" s="115"/>
    </row>
    <row r="92">
      <c r="E92" s="103" t="s">
        <v>1074</v>
      </c>
      <c r="F92" s="113" t="s">
        <v>211</v>
      </c>
      <c r="G92" s="113" t="s">
        <v>1075</v>
      </c>
      <c r="H92" s="113"/>
    </row>
    <row r="93">
      <c r="E93" s="103" t="s">
        <v>1076</v>
      </c>
      <c r="F93" s="113" t="s">
        <v>211</v>
      </c>
      <c r="G93" s="113" t="s">
        <v>1077</v>
      </c>
      <c r="H93" s="113"/>
    </row>
    <row r="94">
      <c r="E94" s="103" t="s">
        <v>1078</v>
      </c>
      <c r="F94" s="113" t="s">
        <v>211</v>
      </c>
      <c r="G94" s="113" t="s">
        <v>1079</v>
      </c>
      <c r="H94" s="113"/>
    </row>
    <row r="95">
      <c r="E95" s="103" t="s">
        <v>1080</v>
      </c>
      <c r="F95" s="113" t="s">
        <v>211</v>
      </c>
      <c r="G95" s="113" t="s">
        <v>1081</v>
      </c>
      <c r="H95" s="113"/>
    </row>
    <row r="96">
      <c r="E96" s="103" t="s">
        <v>1082</v>
      </c>
      <c r="F96" s="113" t="s">
        <v>211</v>
      </c>
      <c r="G96" s="113" t="s">
        <v>1083</v>
      </c>
      <c r="H96" s="113"/>
    </row>
    <row r="97">
      <c r="E97" s="103" t="s">
        <v>1084</v>
      </c>
      <c r="F97" s="113" t="s">
        <v>211</v>
      </c>
      <c r="G97" s="113" t="s">
        <v>1085</v>
      </c>
      <c r="H97" s="115"/>
    </row>
    <row r="98">
      <c r="E98" s="103" t="s">
        <v>1086</v>
      </c>
      <c r="F98" s="113" t="s">
        <v>211</v>
      </c>
      <c r="G98" s="113" t="s">
        <v>1087</v>
      </c>
      <c r="H98" s="113"/>
    </row>
    <row r="99">
      <c r="E99" s="103" t="s">
        <v>1088</v>
      </c>
      <c r="F99" s="113" t="s">
        <v>211</v>
      </c>
      <c r="G99" s="113" t="s">
        <v>1089</v>
      </c>
      <c r="H99" s="113"/>
    </row>
    <row r="100">
      <c r="E100" s="103" t="s">
        <v>1090</v>
      </c>
      <c r="F100" s="113" t="s">
        <v>211</v>
      </c>
      <c r="G100" s="113" t="s">
        <v>1091</v>
      </c>
      <c r="H100" s="113"/>
    </row>
    <row r="101">
      <c r="E101" s="103" t="s">
        <v>1092</v>
      </c>
      <c r="F101" s="113" t="s">
        <v>211</v>
      </c>
      <c r="G101" s="113" t="s">
        <v>1093</v>
      </c>
      <c r="H101" s="113"/>
    </row>
    <row r="102">
      <c r="E102" s="103" t="s">
        <v>1094</v>
      </c>
      <c r="F102" s="113" t="s">
        <v>211</v>
      </c>
      <c r="G102" s="113" t="s">
        <v>1095</v>
      </c>
      <c r="H102" s="113"/>
    </row>
    <row r="103">
      <c r="E103" s="103" t="s">
        <v>1096</v>
      </c>
      <c r="F103" s="113" t="s">
        <v>211</v>
      </c>
      <c r="G103" s="113" t="s">
        <v>1097</v>
      </c>
      <c r="H103" s="113"/>
    </row>
    <row r="104">
      <c r="E104" s="103" t="s">
        <v>1098</v>
      </c>
      <c r="F104" s="113" t="s">
        <v>211</v>
      </c>
      <c r="G104" s="113" t="s">
        <v>1099</v>
      </c>
      <c r="H104" s="113"/>
    </row>
    <row r="105">
      <c r="E105" s="103" t="s">
        <v>1100</v>
      </c>
      <c r="F105" s="112" t="s">
        <v>1101</v>
      </c>
      <c r="G105" s="113" t="s">
        <v>1102</v>
      </c>
      <c r="H105" s="113"/>
    </row>
    <row r="106">
      <c r="E106" s="103" t="s">
        <v>1103</v>
      </c>
      <c r="F106" s="113" t="s">
        <v>1101</v>
      </c>
      <c r="G106" s="113" t="s">
        <v>1101</v>
      </c>
      <c r="H106" s="113"/>
    </row>
    <row r="107">
      <c r="E107" s="103" t="s">
        <v>1104</v>
      </c>
      <c r="F107" s="113" t="s">
        <v>1101</v>
      </c>
      <c r="G107" s="113" t="s">
        <v>1105</v>
      </c>
      <c r="H107" s="113"/>
    </row>
    <row r="108">
      <c r="E108" s="103" t="s">
        <v>790</v>
      </c>
      <c r="F108" s="113" t="s">
        <v>1101</v>
      </c>
      <c r="G108" s="113" t="s">
        <v>1106</v>
      </c>
      <c r="H108" s="113"/>
    </row>
    <row r="109">
      <c r="E109" s="103" t="s">
        <v>1107</v>
      </c>
      <c r="F109" s="113" t="s">
        <v>1101</v>
      </c>
      <c r="G109" s="113" t="s">
        <v>1108</v>
      </c>
      <c r="H109" s="113"/>
    </row>
    <row r="110">
      <c r="E110" s="103" t="s">
        <v>1109</v>
      </c>
      <c r="F110" s="113" t="s">
        <v>1101</v>
      </c>
      <c r="G110" s="113" t="s">
        <v>1110</v>
      </c>
      <c r="H110" s="113"/>
    </row>
    <row r="111">
      <c r="E111" s="103" t="s">
        <v>1111</v>
      </c>
      <c r="F111" s="113" t="s">
        <v>1101</v>
      </c>
      <c r="G111" s="113" t="s">
        <v>1112</v>
      </c>
      <c r="H111" s="113"/>
    </row>
    <row r="112">
      <c r="E112" s="103" t="s">
        <v>1113</v>
      </c>
      <c r="F112" s="113" t="s">
        <v>1114</v>
      </c>
      <c r="G112" s="113" t="s">
        <v>1114</v>
      </c>
      <c r="H112" s="113"/>
    </row>
    <row r="113">
      <c r="E113" s="103" t="s">
        <v>639</v>
      </c>
      <c r="F113" s="113" t="s">
        <v>1114</v>
      </c>
      <c r="G113" s="113" t="s">
        <v>1115</v>
      </c>
      <c r="H113" s="113"/>
    </row>
    <row r="114">
      <c r="E114" s="103" t="s">
        <v>1116</v>
      </c>
      <c r="F114" s="113" t="s">
        <v>1114</v>
      </c>
      <c r="G114" s="113" t="s">
        <v>1117</v>
      </c>
      <c r="H114" s="113"/>
    </row>
    <row r="115">
      <c r="E115" s="103" t="s">
        <v>1118</v>
      </c>
      <c r="F115" s="113" t="s">
        <v>1114</v>
      </c>
      <c r="G115" s="113" t="s">
        <v>1119</v>
      </c>
      <c r="H115" s="113"/>
    </row>
    <row r="117">
      <c r="E117" s="105">
        <f>IFERROR(__xludf.DUMMYFUNCTION("COUNTUNIQUE(E2:E116)"),113.0)</f>
        <v>113</v>
      </c>
      <c r="F117" s="105">
        <f>IFERROR(__xludf.DUMMYFUNCTION("COUNTUNIQUE(F2:F116)"),18.0)</f>
        <v>18</v>
      </c>
      <c r="G117" s="105">
        <f>IFERROR(__xludf.DUMMYFUNCTION("COUNTUNIQUE(G2:G116)"),110.0)</f>
        <v>110</v>
      </c>
      <c r="H117" s="105">
        <f>IFERROR(__xludf.DUMMYFUNCTION("COUNTUNIQUE(H2:H116)"),4.0)</f>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0"/>
    <col customWidth="1" min="3" max="3" width="161.29"/>
  </cols>
  <sheetData>
    <row r="2">
      <c r="B2" s="118" t="s">
        <v>449</v>
      </c>
      <c r="C2" s="119" t="s">
        <v>1120</v>
      </c>
    </row>
    <row r="3">
      <c r="B3" s="118" t="s">
        <v>1121</v>
      </c>
      <c r="C3" s="23" t="s">
        <v>1122</v>
      </c>
    </row>
    <row r="4">
      <c r="B4" s="118" t="s">
        <v>1123</v>
      </c>
      <c r="C4" s="120" t="s">
        <v>1124</v>
      </c>
    </row>
    <row r="5">
      <c r="B5" s="109" t="s">
        <v>1125</v>
      </c>
      <c r="C5" s="121" t="s">
        <v>1126</v>
      </c>
    </row>
    <row r="6">
      <c r="B6" s="122" t="s">
        <v>1127</v>
      </c>
      <c r="C6" s="23" t="s">
        <v>1128</v>
      </c>
    </row>
    <row r="7">
      <c r="B7" s="122" t="s">
        <v>1129</v>
      </c>
      <c r="C7" s="23" t="s">
        <v>1130</v>
      </c>
      <c r="D7" s="23" t="s">
        <v>1131</v>
      </c>
    </row>
    <row r="8">
      <c r="B8" s="123" t="s">
        <v>1132</v>
      </c>
      <c r="C8" s="23" t="s">
        <v>1133</v>
      </c>
    </row>
    <row r="9">
      <c r="B9" s="118" t="s">
        <v>1134</v>
      </c>
      <c r="C9" s="23" t="s">
        <v>1135</v>
      </c>
    </row>
    <row r="10">
      <c r="B10" s="124" t="s">
        <v>1136</v>
      </c>
      <c r="C10" s="23" t="s">
        <v>1137</v>
      </c>
    </row>
    <row r="11">
      <c r="B11" s="124" t="s">
        <v>1138</v>
      </c>
      <c r="C11" s="118" t="s">
        <v>1138</v>
      </c>
    </row>
    <row r="12">
      <c r="B12" s="125" t="s">
        <v>1139</v>
      </c>
    </row>
    <row r="13">
      <c r="B13" s="123" t="s">
        <v>479</v>
      </c>
      <c r="C13" s="23" t="s">
        <v>1140</v>
      </c>
    </row>
    <row r="14">
      <c r="B14" s="126" t="s">
        <v>1141</v>
      </c>
      <c r="C14" s="23" t="s">
        <v>1142</v>
      </c>
    </row>
    <row r="15">
      <c r="B15" s="124" t="s">
        <v>1143</v>
      </c>
      <c r="C15" s="23" t="s">
        <v>1144</v>
      </c>
    </row>
    <row r="16">
      <c r="B16" s="118" t="s">
        <v>1145</v>
      </c>
      <c r="C16" s="23" t="s">
        <v>1146</v>
      </c>
    </row>
    <row r="17">
      <c r="B17" s="124" t="s">
        <v>1147</v>
      </c>
      <c r="C17" s="23" t="s">
        <v>1148</v>
      </c>
    </row>
    <row r="18">
      <c r="B18" s="122" t="s">
        <v>1149</v>
      </c>
      <c r="C18" s="23" t="s">
        <v>218</v>
      </c>
    </row>
    <row r="19">
      <c r="B19" s="122" t="s">
        <v>1150</v>
      </c>
      <c r="C19" s="23" t="s">
        <v>1151</v>
      </c>
    </row>
    <row r="20">
      <c r="B20" s="122" t="s">
        <v>1152</v>
      </c>
      <c r="C20" s="23" t="s">
        <v>1153</v>
      </c>
    </row>
    <row r="21">
      <c r="B21" s="23" t="s">
        <v>1154</v>
      </c>
    </row>
    <row r="22">
      <c r="B22" s="121" t="s">
        <v>694</v>
      </c>
      <c r="C22" s="23"/>
    </row>
    <row r="23">
      <c r="B23" s="118" t="s">
        <v>1155</v>
      </c>
      <c r="C23" s="23" t="s">
        <v>1156</v>
      </c>
    </row>
    <row r="24">
      <c r="B24" s="109"/>
    </row>
    <row r="25">
      <c r="B25" s="118" t="s">
        <v>1157</v>
      </c>
      <c r="C25" s="23" t="s">
        <v>1158</v>
      </c>
    </row>
    <row r="26">
      <c r="B26" s="127" t="s">
        <v>1159</v>
      </c>
    </row>
    <row r="27">
      <c r="B27" s="128" t="s">
        <v>1160</v>
      </c>
      <c r="C27" s="129" t="s">
        <v>1161</v>
      </c>
    </row>
    <row r="28">
      <c r="B28" s="123" t="s">
        <v>1162</v>
      </c>
      <c r="C28" s="23" t="s">
        <v>1163</v>
      </c>
    </row>
    <row r="29">
      <c r="B29" s="118" t="s">
        <v>1164</v>
      </c>
      <c r="C29" s="23" t="s">
        <v>1165</v>
      </c>
    </row>
    <row r="30">
      <c r="B30" s="123" t="s">
        <v>1166</v>
      </c>
      <c r="C30" s="23" t="s">
        <v>1167</v>
      </c>
    </row>
    <row r="31">
      <c r="B31" s="118" t="s">
        <v>1168</v>
      </c>
      <c r="C31" s="23" t="s">
        <v>1169</v>
      </c>
    </row>
    <row r="32">
      <c r="B32" s="118" t="s">
        <v>1170</v>
      </c>
    </row>
    <row r="33">
      <c r="B33" s="118" t="s">
        <v>1171</v>
      </c>
      <c r="C33" s="23" t="s">
        <v>1172</v>
      </c>
    </row>
    <row r="34">
      <c r="B34" s="118" t="s">
        <v>1173</v>
      </c>
      <c r="C34" s="23" t="s">
        <v>1174</v>
      </c>
    </row>
    <row r="35">
      <c r="B35" s="23" t="s">
        <v>1175</v>
      </c>
      <c r="C35" s="102" t="s">
        <v>1176</v>
      </c>
    </row>
    <row r="36">
      <c r="B36" s="23" t="s">
        <v>156</v>
      </c>
    </row>
    <row r="37">
      <c r="B37" s="23" t="s">
        <v>1177</v>
      </c>
    </row>
    <row r="38">
      <c r="B38" s="129" t="s">
        <v>681</v>
      </c>
    </row>
    <row r="39">
      <c r="B39" s="129" t="s">
        <v>683</v>
      </c>
    </row>
    <row r="40">
      <c r="B40" s="23" t="s">
        <v>887</v>
      </c>
      <c r="C40" s="23" t="s">
        <v>1178</v>
      </c>
    </row>
    <row r="41">
      <c r="B41" s="23" t="s">
        <v>728</v>
      </c>
    </row>
    <row r="42">
      <c r="B42" s="23" t="s">
        <v>705</v>
      </c>
    </row>
    <row r="43">
      <c r="B43" s="101" t="s">
        <v>789</v>
      </c>
    </row>
    <row r="44">
      <c r="B44" s="23" t="s">
        <v>797</v>
      </c>
    </row>
    <row r="45">
      <c r="B45" s="23" t="s">
        <v>801</v>
      </c>
    </row>
    <row r="46">
      <c r="B46" s="23" t="s">
        <v>808</v>
      </c>
    </row>
    <row r="47">
      <c r="B47" s="23" t="s">
        <v>811</v>
      </c>
    </row>
  </sheetData>
  <hyperlinks>
    <hyperlink r:id="rId1" ref="B2"/>
    <hyperlink r:id="rId2" ref="B3"/>
    <hyperlink r:id="rId3" ref="B4"/>
    <hyperlink r:id="rId4" ref="B6"/>
    <hyperlink r:id="rId5" ref="B7"/>
    <hyperlink r:id="rId6" ref="B8"/>
    <hyperlink r:id="rId7" ref="B9"/>
    <hyperlink r:id="rId8" ref="B10"/>
    <hyperlink r:id="rId9" ref="B11"/>
    <hyperlink r:id="rId10" ref="C11"/>
    <hyperlink r:id="rId11" ref="B12"/>
    <hyperlink r:id="rId12" ref="B13"/>
    <hyperlink r:id="rId13" ref="B14"/>
    <hyperlink r:id="rId14" ref="B15"/>
    <hyperlink r:id="rId15" ref="B16"/>
    <hyperlink r:id="rId16" ref="B17"/>
    <hyperlink r:id="rId17" ref="B18"/>
    <hyperlink r:id="rId18" ref="B19"/>
    <hyperlink r:id="rId19" ref="B20"/>
    <hyperlink r:id="rId20" ref="B23"/>
    <hyperlink r:id="rId21" ref="B25"/>
    <hyperlink r:id="rId22" ref="B26"/>
    <hyperlink r:id="rId23" ref="B27"/>
    <hyperlink r:id="rId24" ref="B28"/>
    <hyperlink r:id="rId25" ref="B29"/>
    <hyperlink r:id="rId26" ref="B30"/>
    <hyperlink r:id="rId27" ref="B31"/>
    <hyperlink r:id="rId28" ref="B32"/>
    <hyperlink r:id="rId29" ref="B33"/>
    <hyperlink r:id="rId30" ref="B34"/>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41.43"/>
    <col customWidth="1" min="3" max="4" width="31.29"/>
    <col customWidth="1" min="5" max="6" width="127.71"/>
    <col customWidth="1" min="8" max="8" width="22.29"/>
  </cols>
  <sheetData>
    <row r="1">
      <c r="A1" s="130" t="s">
        <v>1179</v>
      </c>
      <c r="B1" s="131" t="s">
        <v>1180</v>
      </c>
      <c r="C1" s="15" t="s">
        <v>816</v>
      </c>
      <c r="D1" s="15" t="s">
        <v>1181</v>
      </c>
      <c r="E1" s="15" t="s">
        <v>1182</v>
      </c>
      <c r="F1" s="130" t="s">
        <v>1183</v>
      </c>
      <c r="H1" s="24" t="s">
        <v>445</v>
      </c>
    </row>
    <row r="2">
      <c r="A2" s="77" t="s">
        <v>88</v>
      </c>
      <c r="B2" s="132" t="s">
        <v>820</v>
      </c>
      <c r="C2" s="133" t="s">
        <v>449</v>
      </c>
      <c r="D2" s="133" t="s">
        <v>1184</v>
      </c>
      <c r="E2" s="77" t="s">
        <v>1185</v>
      </c>
      <c r="F2" s="77" t="s">
        <v>1185</v>
      </c>
      <c r="H2" s="23" t="s">
        <v>1186</v>
      </c>
    </row>
    <row r="3">
      <c r="A3" s="77" t="s">
        <v>1187</v>
      </c>
      <c r="B3" s="134"/>
      <c r="C3" s="133" t="s">
        <v>449</v>
      </c>
      <c r="D3" s="18" t="s">
        <v>460</v>
      </c>
      <c r="E3" s="18" t="s">
        <v>1188</v>
      </c>
      <c r="F3" s="77" t="s">
        <v>1189</v>
      </c>
      <c r="H3" s="23" t="s">
        <v>1190</v>
      </c>
    </row>
    <row r="4">
      <c r="A4" s="77" t="s">
        <v>1191</v>
      </c>
      <c r="B4" s="134"/>
      <c r="C4" s="133" t="s">
        <v>449</v>
      </c>
      <c r="D4" s="18" t="s">
        <v>460</v>
      </c>
      <c r="E4" s="18" t="s">
        <v>1192</v>
      </c>
      <c r="F4" s="77" t="s">
        <v>1192</v>
      </c>
      <c r="H4" s="23" t="s">
        <v>1190</v>
      </c>
    </row>
    <row r="5">
      <c r="A5" s="77" t="s">
        <v>89</v>
      </c>
      <c r="B5" s="134"/>
      <c r="C5" s="133" t="s">
        <v>449</v>
      </c>
      <c r="D5" s="18" t="s">
        <v>460</v>
      </c>
      <c r="E5" s="77" t="s">
        <v>90</v>
      </c>
      <c r="F5" s="18" t="s">
        <v>1193</v>
      </c>
      <c r="H5" s="23" t="s">
        <v>1190</v>
      </c>
    </row>
    <row r="6">
      <c r="A6" s="77" t="s">
        <v>96</v>
      </c>
      <c r="B6" s="135"/>
      <c r="C6" s="133" t="s">
        <v>449</v>
      </c>
      <c r="D6" s="18" t="s">
        <v>460</v>
      </c>
      <c r="E6" s="18" t="s">
        <v>1194</v>
      </c>
      <c r="F6" s="77" t="s">
        <v>97</v>
      </c>
      <c r="H6" s="23" t="s">
        <v>1186</v>
      </c>
    </row>
    <row r="7">
      <c r="A7" s="77" t="s">
        <v>1195</v>
      </c>
      <c r="B7" s="136" t="s">
        <v>1196</v>
      </c>
      <c r="C7" s="133" t="s">
        <v>449</v>
      </c>
      <c r="D7" s="133" t="s">
        <v>822</v>
      </c>
      <c r="E7" s="18" t="s">
        <v>1197</v>
      </c>
      <c r="F7" s="77" t="s">
        <v>1197</v>
      </c>
      <c r="H7" s="23" t="s">
        <v>1186</v>
      </c>
    </row>
    <row r="8">
      <c r="A8" s="77" t="s">
        <v>1198</v>
      </c>
      <c r="B8" s="134"/>
      <c r="C8" s="133" t="s">
        <v>449</v>
      </c>
      <c r="D8" s="133" t="s">
        <v>822</v>
      </c>
      <c r="E8" s="77" t="s">
        <v>1199</v>
      </c>
      <c r="F8" s="77" t="s">
        <v>1199</v>
      </c>
      <c r="H8" s="23" t="s">
        <v>1186</v>
      </c>
    </row>
    <row r="9">
      <c r="A9" s="77" t="s">
        <v>1200</v>
      </c>
      <c r="B9" s="134"/>
      <c r="C9" s="133" t="s">
        <v>449</v>
      </c>
      <c r="D9" s="133" t="s">
        <v>822</v>
      </c>
      <c r="E9" s="77" t="s">
        <v>1201</v>
      </c>
      <c r="F9" s="77" t="s">
        <v>1201</v>
      </c>
      <c r="H9" s="23" t="s">
        <v>1186</v>
      </c>
    </row>
    <row r="10">
      <c r="A10" s="77" t="s">
        <v>1202</v>
      </c>
      <c r="B10" s="134"/>
      <c r="C10" s="18" t="s">
        <v>460</v>
      </c>
      <c r="D10" s="18" t="s">
        <v>1203</v>
      </c>
      <c r="E10" s="18" t="s">
        <v>1204</v>
      </c>
      <c r="F10" s="18" t="s">
        <v>1205</v>
      </c>
      <c r="H10" s="23" t="s">
        <v>1186</v>
      </c>
    </row>
    <row r="11">
      <c r="A11" s="77" t="s">
        <v>1206</v>
      </c>
      <c r="B11" s="134"/>
      <c r="C11" s="133" t="s">
        <v>449</v>
      </c>
      <c r="D11" s="77" t="s">
        <v>840</v>
      </c>
      <c r="E11" s="18" t="s">
        <v>1207</v>
      </c>
      <c r="F11" s="18" t="s">
        <v>1208</v>
      </c>
      <c r="H11" s="23" t="s">
        <v>1186</v>
      </c>
    </row>
    <row r="12">
      <c r="A12" s="77" t="s">
        <v>104</v>
      </c>
      <c r="B12" s="134"/>
      <c r="C12" s="133" t="s">
        <v>449</v>
      </c>
      <c r="D12" s="77" t="s">
        <v>840</v>
      </c>
      <c r="E12" s="18" t="s">
        <v>1207</v>
      </c>
      <c r="F12" s="77" t="s">
        <v>105</v>
      </c>
    </row>
    <row r="13">
      <c r="A13" s="77" t="s">
        <v>111</v>
      </c>
      <c r="B13" s="134"/>
      <c r="C13" s="133" t="s">
        <v>449</v>
      </c>
      <c r="D13" s="133" t="s">
        <v>1209</v>
      </c>
      <c r="E13" s="18" t="s">
        <v>1210</v>
      </c>
      <c r="F13" s="18" t="s">
        <v>1211</v>
      </c>
    </row>
    <row r="14">
      <c r="A14" s="77" t="s">
        <v>1212</v>
      </c>
      <c r="B14" s="134"/>
      <c r="C14" s="133" t="s">
        <v>449</v>
      </c>
      <c r="D14" s="133" t="s">
        <v>1213</v>
      </c>
      <c r="E14" s="77"/>
      <c r="F14" s="77" t="s">
        <v>1214</v>
      </c>
    </row>
    <row r="15">
      <c r="A15" s="77" t="s">
        <v>1215</v>
      </c>
      <c r="B15" s="135"/>
      <c r="C15" s="133" t="s">
        <v>449</v>
      </c>
      <c r="D15" s="133" t="s">
        <v>1213</v>
      </c>
      <c r="E15" s="77"/>
      <c r="F15" s="77" t="s">
        <v>1216</v>
      </c>
    </row>
    <row r="16">
      <c r="A16" s="77" t="s">
        <v>1217</v>
      </c>
      <c r="B16" s="137" t="s">
        <v>1218</v>
      </c>
      <c r="C16" s="18" t="s">
        <v>460</v>
      </c>
      <c r="D16" s="138" t="s">
        <v>843</v>
      </c>
      <c r="E16" s="138" t="s">
        <v>1219</v>
      </c>
      <c r="F16" s="18" t="s">
        <v>1220</v>
      </c>
    </row>
    <row r="17">
      <c r="A17" s="77" t="s">
        <v>1221</v>
      </c>
      <c r="B17" s="136" t="s">
        <v>1222</v>
      </c>
      <c r="C17" s="18" t="s">
        <v>460</v>
      </c>
      <c r="D17" s="18" t="s">
        <v>847</v>
      </c>
      <c r="E17" s="77"/>
      <c r="F17" s="77" t="s">
        <v>1223</v>
      </c>
    </row>
    <row r="18">
      <c r="A18" s="77" t="s">
        <v>1224</v>
      </c>
      <c r="B18" s="134"/>
      <c r="C18" s="18" t="s">
        <v>460</v>
      </c>
      <c r="D18" s="18" t="s">
        <v>797</v>
      </c>
      <c r="E18" s="77" t="s">
        <v>1225</v>
      </c>
      <c r="F18" s="77" t="s">
        <v>1225</v>
      </c>
    </row>
    <row r="19">
      <c r="A19" s="77" t="s">
        <v>1226</v>
      </c>
      <c r="B19" s="134"/>
      <c r="C19" s="18" t="s">
        <v>460</v>
      </c>
      <c r="D19" s="18" t="s">
        <v>854</v>
      </c>
      <c r="E19" s="77" t="s">
        <v>1227</v>
      </c>
      <c r="F19" s="77" t="s">
        <v>1227</v>
      </c>
    </row>
    <row r="20">
      <c r="A20" s="77" t="s">
        <v>1228</v>
      </c>
      <c r="B20" s="134"/>
      <c r="C20" s="18" t="s">
        <v>460</v>
      </c>
      <c r="D20" s="18" t="s">
        <v>854</v>
      </c>
      <c r="E20" s="77" t="s">
        <v>1229</v>
      </c>
      <c r="F20" s="18" t="s">
        <v>1230</v>
      </c>
    </row>
    <row r="21">
      <c r="A21" s="77" t="s">
        <v>1231</v>
      </c>
      <c r="B21" s="134"/>
      <c r="C21" s="18" t="s">
        <v>460</v>
      </c>
      <c r="D21" s="18" t="s">
        <v>854</v>
      </c>
      <c r="E21" s="77" t="s">
        <v>1232</v>
      </c>
      <c r="F21" s="18" t="s">
        <v>1233</v>
      </c>
    </row>
    <row r="22">
      <c r="A22" s="77" t="s">
        <v>1234</v>
      </c>
      <c r="B22" s="134"/>
      <c r="C22" s="18" t="s">
        <v>460</v>
      </c>
      <c r="D22" s="18" t="s">
        <v>854</v>
      </c>
      <c r="E22" s="77"/>
      <c r="F22" s="77" t="s">
        <v>1235</v>
      </c>
    </row>
    <row r="23">
      <c r="A23" s="77" t="s">
        <v>1236</v>
      </c>
      <c r="B23" s="134"/>
      <c r="C23" s="18" t="s">
        <v>460</v>
      </c>
      <c r="D23" s="18" t="s">
        <v>857</v>
      </c>
      <c r="E23" s="18" t="s">
        <v>1237</v>
      </c>
      <c r="F23" s="18" t="s">
        <v>1238</v>
      </c>
    </row>
    <row r="24">
      <c r="A24" s="77" t="s">
        <v>1239</v>
      </c>
      <c r="B24" s="134"/>
      <c r="C24" s="18" t="s">
        <v>460</v>
      </c>
      <c r="D24" s="18" t="s">
        <v>854</v>
      </c>
      <c r="E24" s="77"/>
      <c r="F24" s="77" t="s">
        <v>1240</v>
      </c>
    </row>
    <row r="25">
      <c r="A25" s="77" t="s">
        <v>1241</v>
      </c>
      <c r="B25" s="135"/>
      <c r="C25" s="18" t="s">
        <v>460</v>
      </c>
      <c r="D25" s="77" t="s">
        <v>860</v>
      </c>
      <c r="E25" s="18" t="s">
        <v>1242</v>
      </c>
      <c r="F25" s="18" t="s">
        <v>1243</v>
      </c>
    </row>
    <row r="26">
      <c r="A26" s="77" t="s">
        <v>121</v>
      </c>
      <c r="B26" s="136" t="s">
        <v>1244</v>
      </c>
      <c r="C26" s="18" t="s">
        <v>864</v>
      </c>
      <c r="D26" s="18" t="s">
        <v>865</v>
      </c>
      <c r="E26" s="18" t="s">
        <v>1245</v>
      </c>
      <c r="F26" s="18" t="s">
        <v>1246</v>
      </c>
    </row>
    <row r="27">
      <c r="A27" s="77" t="s">
        <v>1247</v>
      </c>
      <c r="B27" s="134"/>
      <c r="C27" s="18" t="s">
        <v>864</v>
      </c>
      <c r="D27" s="18" t="s">
        <v>869</v>
      </c>
      <c r="E27" s="77" t="s">
        <v>1248</v>
      </c>
      <c r="F27" s="18" t="s">
        <v>1249</v>
      </c>
    </row>
    <row r="28">
      <c r="A28" s="77" t="s">
        <v>119</v>
      </c>
      <c r="B28" s="135"/>
      <c r="C28" s="18" t="s">
        <v>864</v>
      </c>
      <c r="D28" s="77" t="s">
        <v>873</v>
      </c>
      <c r="E28" s="138" t="s">
        <v>1250</v>
      </c>
      <c r="F28" s="18" t="s">
        <v>1251</v>
      </c>
    </row>
    <row r="29">
      <c r="A29" s="77" t="s">
        <v>219</v>
      </c>
      <c r="B29" s="136" t="s">
        <v>1252</v>
      </c>
      <c r="C29" s="136" t="s">
        <v>1252</v>
      </c>
      <c r="D29" s="136" t="s">
        <v>1252</v>
      </c>
      <c r="E29" s="139" t="s">
        <v>1253</v>
      </c>
      <c r="F29" s="77" t="s">
        <v>1253</v>
      </c>
    </row>
    <row r="30">
      <c r="A30" s="77" t="s">
        <v>1254</v>
      </c>
      <c r="B30" s="134"/>
      <c r="C30" s="134"/>
      <c r="D30" s="134"/>
      <c r="E30" s="140" t="s">
        <v>1255</v>
      </c>
      <c r="F30" s="18" t="s">
        <v>1255</v>
      </c>
    </row>
    <row r="31">
      <c r="A31" s="130" t="s">
        <v>1256</v>
      </c>
      <c r="B31" s="134"/>
      <c r="C31" s="134"/>
      <c r="D31" s="134"/>
      <c r="E31" s="140" t="s">
        <v>1257</v>
      </c>
      <c r="F31" s="18" t="s">
        <v>1257</v>
      </c>
    </row>
    <row r="32">
      <c r="A32" s="77" t="s">
        <v>1258</v>
      </c>
      <c r="B32" s="134"/>
      <c r="C32" s="134"/>
      <c r="D32" s="134"/>
      <c r="E32" s="140" t="s">
        <v>693</v>
      </c>
      <c r="F32" s="18" t="s">
        <v>693</v>
      </c>
    </row>
    <row r="33">
      <c r="A33" s="77" t="s">
        <v>1259</v>
      </c>
      <c r="B33" s="134"/>
      <c r="C33" s="134"/>
      <c r="D33" s="134"/>
      <c r="E33" s="140" t="s">
        <v>1260</v>
      </c>
      <c r="F33" s="77" t="s">
        <v>1260</v>
      </c>
    </row>
    <row r="34">
      <c r="A34" s="77" t="s">
        <v>1261</v>
      </c>
      <c r="B34" s="134"/>
      <c r="C34" s="134"/>
      <c r="D34" s="134"/>
      <c r="E34" s="140" t="s">
        <v>1262</v>
      </c>
      <c r="F34" s="18" t="s">
        <v>1262</v>
      </c>
    </row>
    <row r="35">
      <c r="A35" s="77" t="s">
        <v>1263</v>
      </c>
      <c r="B35" s="134"/>
      <c r="C35" s="134"/>
      <c r="D35" s="134"/>
      <c r="E35" s="140" t="s">
        <v>1264</v>
      </c>
      <c r="F35" s="18" t="s">
        <v>1264</v>
      </c>
    </row>
    <row r="36">
      <c r="A36" s="77" t="s">
        <v>1265</v>
      </c>
      <c r="B36" s="134"/>
      <c r="C36" s="134"/>
      <c r="D36" s="134"/>
      <c r="E36" s="140" t="s">
        <v>1266</v>
      </c>
      <c r="F36" s="18" t="s">
        <v>1266</v>
      </c>
    </row>
    <row r="37">
      <c r="A37" s="77" t="s">
        <v>1267</v>
      </c>
      <c r="B37" s="134"/>
      <c r="C37" s="134"/>
      <c r="D37" s="134"/>
      <c r="E37" s="140" t="s">
        <v>1268</v>
      </c>
      <c r="F37" s="18" t="s">
        <v>1268</v>
      </c>
    </row>
    <row r="38">
      <c r="A38" s="77" t="s">
        <v>281</v>
      </c>
      <c r="B38" s="134"/>
      <c r="C38" s="134"/>
      <c r="D38" s="134"/>
      <c r="E38" s="140" t="s">
        <v>1269</v>
      </c>
      <c r="F38" s="77" t="s">
        <v>1269</v>
      </c>
    </row>
    <row r="39">
      <c r="A39" s="130" t="s">
        <v>637</v>
      </c>
      <c r="B39" s="135"/>
      <c r="C39" s="135"/>
      <c r="D39" s="135"/>
      <c r="E39" s="140" t="s">
        <v>1270</v>
      </c>
      <c r="F39" s="18" t="s">
        <v>1270</v>
      </c>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row>
    <row r="40">
      <c r="A40" s="77" t="s">
        <v>1271</v>
      </c>
      <c r="B40" s="18" t="s">
        <v>778</v>
      </c>
      <c r="C40" s="18" t="s">
        <v>778</v>
      </c>
      <c r="D40" s="18" t="s">
        <v>778</v>
      </c>
      <c r="E40" s="18" t="s">
        <v>183</v>
      </c>
      <c r="F40" s="77" t="s">
        <v>1272</v>
      </c>
      <c r="H40" s="141"/>
    </row>
    <row r="41">
      <c r="A41" s="77" t="s">
        <v>1273</v>
      </c>
      <c r="B41" s="18" t="s">
        <v>883</v>
      </c>
      <c r="C41" s="18" t="s">
        <v>883</v>
      </c>
      <c r="D41" s="18" t="s">
        <v>883</v>
      </c>
      <c r="E41" s="18" t="s">
        <v>883</v>
      </c>
      <c r="F41" s="77" t="s">
        <v>883</v>
      </c>
    </row>
    <row r="42">
      <c r="A42" s="77" t="s">
        <v>1274</v>
      </c>
      <c r="B42" s="132" t="s">
        <v>149</v>
      </c>
      <c r="C42" s="18" t="s">
        <v>887</v>
      </c>
      <c r="D42" s="18" t="s">
        <v>887</v>
      </c>
      <c r="E42" s="77" t="s">
        <v>1275</v>
      </c>
      <c r="F42" s="18" t="s">
        <v>1276</v>
      </c>
      <c r="H42" s="141"/>
    </row>
    <row r="43">
      <c r="A43" s="77" t="s">
        <v>1277</v>
      </c>
      <c r="B43" s="134"/>
      <c r="C43" s="18" t="s">
        <v>887</v>
      </c>
      <c r="D43" s="18" t="s">
        <v>887</v>
      </c>
      <c r="E43" s="18" t="s">
        <v>1278</v>
      </c>
      <c r="F43" s="77" t="s">
        <v>1278</v>
      </c>
    </row>
    <row r="44">
      <c r="A44" s="77" t="s">
        <v>1279</v>
      </c>
      <c r="B44" s="135"/>
      <c r="C44" s="18" t="s">
        <v>887</v>
      </c>
      <c r="D44" s="18" t="s">
        <v>887</v>
      </c>
      <c r="E44" s="77" t="s">
        <v>1280</v>
      </c>
      <c r="F44" s="77" t="s">
        <v>1280</v>
      </c>
    </row>
    <row r="45">
      <c r="A45" s="77" t="s">
        <v>1281</v>
      </c>
      <c r="B45" s="136" t="s">
        <v>1282</v>
      </c>
      <c r="C45" s="136" t="s">
        <v>1282</v>
      </c>
      <c r="D45" s="136" t="s">
        <v>1282</v>
      </c>
      <c r="E45" s="77" t="s">
        <v>1283</v>
      </c>
      <c r="F45" s="77" t="s">
        <v>1283</v>
      </c>
    </row>
    <row r="46">
      <c r="A46" s="77" t="s">
        <v>1284</v>
      </c>
      <c r="B46" s="134"/>
      <c r="C46" s="134"/>
      <c r="D46" s="134"/>
      <c r="E46" s="18" t="s">
        <v>1285</v>
      </c>
      <c r="F46" s="77" t="s">
        <v>1286</v>
      </c>
    </row>
    <row r="47">
      <c r="A47" s="77" t="s">
        <v>1287</v>
      </c>
      <c r="B47" s="134"/>
      <c r="C47" s="134"/>
      <c r="D47" s="134"/>
      <c r="E47" s="18" t="s">
        <v>1288</v>
      </c>
      <c r="F47" s="18" t="s">
        <v>1289</v>
      </c>
    </row>
    <row r="48">
      <c r="A48" s="77" t="s">
        <v>1290</v>
      </c>
      <c r="B48" s="134"/>
      <c r="C48" s="134"/>
      <c r="D48" s="134"/>
      <c r="E48" s="18" t="s">
        <v>1291</v>
      </c>
      <c r="F48" s="18" t="s">
        <v>1292</v>
      </c>
      <c r="H48" s="141"/>
    </row>
    <row r="49">
      <c r="A49" s="77" t="s">
        <v>1293</v>
      </c>
      <c r="B49" s="134"/>
      <c r="C49" s="134"/>
      <c r="D49" s="134"/>
      <c r="E49" s="77" t="s">
        <v>1294</v>
      </c>
      <c r="F49" s="77" t="s">
        <v>1294</v>
      </c>
    </row>
    <row r="50">
      <c r="A50" s="77" t="s">
        <v>1295</v>
      </c>
      <c r="B50" s="135"/>
      <c r="C50" s="135"/>
      <c r="D50" s="135"/>
      <c r="E50" s="77" t="s">
        <v>1296</v>
      </c>
      <c r="F50" s="18" t="s">
        <v>1297</v>
      </c>
    </row>
    <row r="51">
      <c r="A51" s="77" t="s">
        <v>1298</v>
      </c>
      <c r="B51" s="136" t="s">
        <v>807</v>
      </c>
      <c r="C51" s="136" t="s">
        <v>807</v>
      </c>
      <c r="D51" s="138" t="s">
        <v>894</v>
      </c>
      <c r="E51" s="18" t="s">
        <v>894</v>
      </c>
      <c r="F51" s="77" t="s">
        <v>894</v>
      </c>
    </row>
    <row r="52">
      <c r="A52" s="77" t="s">
        <v>1299</v>
      </c>
      <c r="B52" s="134"/>
      <c r="C52" s="134"/>
      <c r="D52" s="138" t="s">
        <v>1300</v>
      </c>
      <c r="E52" s="18" t="s">
        <v>1300</v>
      </c>
      <c r="F52" s="77" t="s">
        <v>1301</v>
      </c>
    </row>
    <row r="53">
      <c r="A53" s="77" t="s">
        <v>1302</v>
      </c>
      <c r="B53" s="134"/>
      <c r="C53" s="134"/>
      <c r="D53" s="138" t="s">
        <v>901</v>
      </c>
      <c r="E53" s="18" t="s">
        <v>901</v>
      </c>
      <c r="F53" s="77" t="s">
        <v>901</v>
      </c>
    </row>
    <row r="54">
      <c r="A54" s="77" t="s">
        <v>1303</v>
      </c>
      <c r="B54" s="134"/>
      <c r="C54" s="134"/>
      <c r="D54" s="138" t="s">
        <v>1304</v>
      </c>
      <c r="E54" s="18" t="s">
        <v>1305</v>
      </c>
      <c r="F54" s="77" t="s">
        <v>1306</v>
      </c>
    </row>
    <row r="55">
      <c r="A55" s="77" t="s">
        <v>1307</v>
      </c>
      <c r="B55" s="134"/>
      <c r="C55" s="134"/>
      <c r="D55" s="138" t="s">
        <v>1300</v>
      </c>
      <c r="E55" s="77" t="s">
        <v>1308</v>
      </c>
      <c r="F55" s="18" t="s">
        <v>1309</v>
      </c>
    </row>
    <row r="56">
      <c r="A56" s="77" t="s">
        <v>125</v>
      </c>
      <c r="B56" s="134"/>
      <c r="C56" s="134"/>
      <c r="D56" s="138" t="s">
        <v>1300</v>
      </c>
      <c r="E56" s="77" t="s">
        <v>126</v>
      </c>
      <c r="F56" s="77" t="s">
        <v>126</v>
      </c>
    </row>
    <row r="57">
      <c r="A57" s="77" t="s">
        <v>129</v>
      </c>
      <c r="B57" s="134"/>
      <c r="C57" s="134"/>
      <c r="D57" s="138" t="s">
        <v>1300</v>
      </c>
      <c r="E57" s="18" t="s">
        <v>1300</v>
      </c>
      <c r="F57" s="77" t="s">
        <v>130</v>
      </c>
    </row>
    <row r="58">
      <c r="A58" s="77" t="s">
        <v>1310</v>
      </c>
      <c r="B58" s="134"/>
      <c r="C58" s="134"/>
      <c r="D58" s="138" t="s">
        <v>910</v>
      </c>
      <c r="E58" s="77" t="s">
        <v>1311</v>
      </c>
      <c r="F58" s="77" t="s">
        <v>1311</v>
      </c>
    </row>
    <row r="59">
      <c r="A59" s="77" t="s">
        <v>1312</v>
      </c>
      <c r="B59" s="134"/>
      <c r="C59" s="134"/>
      <c r="D59" s="138" t="s">
        <v>1300</v>
      </c>
      <c r="E59" s="77" t="s">
        <v>1313</v>
      </c>
      <c r="F59" s="18" t="s">
        <v>1314</v>
      </c>
    </row>
    <row r="60">
      <c r="A60" s="77" t="s">
        <v>1315</v>
      </c>
      <c r="B60" s="134"/>
      <c r="C60" s="134"/>
      <c r="D60" s="138" t="s">
        <v>1300</v>
      </c>
      <c r="E60" s="77" t="s">
        <v>1316</v>
      </c>
      <c r="F60" s="77" t="s">
        <v>1316</v>
      </c>
    </row>
    <row r="61">
      <c r="A61" s="77" t="s">
        <v>1317</v>
      </c>
      <c r="B61" s="134"/>
      <c r="C61" s="134"/>
      <c r="D61" s="138" t="s">
        <v>914</v>
      </c>
      <c r="E61" s="18" t="s">
        <v>914</v>
      </c>
      <c r="F61" s="77" t="s">
        <v>1318</v>
      </c>
    </row>
    <row r="62">
      <c r="A62" s="77" t="s">
        <v>1319</v>
      </c>
      <c r="B62" s="134"/>
      <c r="C62" s="134"/>
      <c r="D62" s="138" t="s">
        <v>1300</v>
      </c>
      <c r="E62" s="18" t="s">
        <v>1300</v>
      </c>
      <c r="F62" s="77" t="s">
        <v>1320</v>
      </c>
    </row>
    <row r="63">
      <c r="A63" s="77" t="s">
        <v>1321</v>
      </c>
      <c r="B63" s="134"/>
      <c r="C63" s="134"/>
      <c r="D63" s="138" t="s">
        <v>1300</v>
      </c>
      <c r="E63" s="18" t="s">
        <v>1300</v>
      </c>
      <c r="F63" s="77" t="s">
        <v>1322</v>
      </c>
    </row>
    <row r="64">
      <c r="A64" s="77" t="s">
        <v>1323</v>
      </c>
      <c r="B64" s="135"/>
      <c r="C64" s="135"/>
      <c r="D64" s="138" t="s">
        <v>1300</v>
      </c>
      <c r="E64" s="18" t="s">
        <v>1300</v>
      </c>
      <c r="F64" s="77" t="s">
        <v>1324</v>
      </c>
    </row>
    <row r="65">
      <c r="A65" s="77" t="s">
        <v>1325</v>
      </c>
      <c r="B65" s="136" t="s">
        <v>698</v>
      </c>
      <c r="C65" s="136" t="s">
        <v>698</v>
      </c>
      <c r="D65" s="136" t="s">
        <v>698</v>
      </c>
      <c r="E65" s="142" t="s">
        <v>1326</v>
      </c>
      <c r="F65" s="77" t="s">
        <v>1327</v>
      </c>
    </row>
    <row r="66">
      <c r="A66" s="77" t="s">
        <v>1328</v>
      </c>
      <c r="B66" s="143" t="s">
        <v>211</v>
      </c>
      <c r="C66" s="143" t="s">
        <v>1329</v>
      </c>
      <c r="D66" s="143" t="s">
        <v>211</v>
      </c>
      <c r="E66" s="144" t="s">
        <v>1330</v>
      </c>
      <c r="F66" s="77" t="s">
        <v>1331</v>
      </c>
    </row>
    <row r="67">
      <c r="A67" s="77" t="s">
        <v>1332</v>
      </c>
      <c r="B67" s="143" t="s">
        <v>211</v>
      </c>
      <c r="C67" s="143" t="s">
        <v>1329</v>
      </c>
      <c r="D67" s="143" t="s">
        <v>211</v>
      </c>
      <c r="E67" s="143" t="s">
        <v>211</v>
      </c>
      <c r="F67" s="77" t="s">
        <v>1333</v>
      </c>
    </row>
    <row r="68">
      <c r="A68" s="77" t="s">
        <v>1334</v>
      </c>
      <c r="B68" s="143" t="s">
        <v>211</v>
      </c>
      <c r="C68" s="143" t="s">
        <v>1329</v>
      </c>
      <c r="D68" s="143" t="s">
        <v>211</v>
      </c>
      <c r="E68" s="143" t="s">
        <v>211</v>
      </c>
      <c r="F68" s="77" t="s">
        <v>1335</v>
      </c>
    </row>
    <row r="69">
      <c r="A69" s="77" t="s">
        <v>1336</v>
      </c>
      <c r="B69" s="136" t="s">
        <v>1337</v>
      </c>
      <c r="C69" s="136" t="s">
        <v>923</v>
      </c>
      <c r="D69" s="136" t="s">
        <v>923</v>
      </c>
      <c r="E69" s="77" t="s">
        <v>1338</v>
      </c>
      <c r="F69" s="77" t="s">
        <v>1338</v>
      </c>
    </row>
    <row r="70">
      <c r="A70" s="77" t="s">
        <v>1339</v>
      </c>
      <c r="B70" s="134"/>
      <c r="C70" s="134"/>
      <c r="D70" s="134"/>
      <c r="E70" s="77" t="s">
        <v>1340</v>
      </c>
      <c r="F70" s="77" t="s">
        <v>1340</v>
      </c>
    </row>
    <row r="71">
      <c r="A71" s="77" t="s">
        <v>133</v>
      </c>
      <c r="B71" s="135"/>
      <c r="C71" s="135"/>
      <c r="D71" s="135"/>
      <c r="E71" s="77" t="s">
        <v>1341</v>
      </c>
      <c r="F71" s="77" t="s">
        <v>1341</v>
      </c>
    </row>
    <row r="72">
      <c r="A72" s="77" t="s">
        <v>1342</v>
      </c>
      <c r="B72" s="137" t="s">
        <v>927</v>
      </c>
      <c r="C72" s="137" t="s">
        <v>927</v>
      </c>
      <c r="D72" s="137" t="s">
        <v>927</v>
      </c>
      <c r="E72" s="18" t="s">
        <v>1343</v>
      </c>
      <c r="F72" s="18" t="s">
        <v>1344</v>
      </c>
    </row>
    <row r="73">
      <c r="A73" s="77" t="s">
        <v>425</v>
      </c>
      <c r="B73" s="136" t="s">
        <v>1345</v>
      </c>
      <c r="C73" s="142" t="s">
        <v>176</v>
      </c>
      <c r="D73" s="18" t="s">
        <v>931</v>
      </c>
      <c r="E73" s="18" t="s">
        <v>1346</v>
      </c>
      <c r="F73" s="77" t="s">
        <v>1347</v>
      </c>
    </row>
    <row r="74">
      <c r="A74" s="77" t="s">
        <v>1348</v>
      </c>
      <c r="B74" s="134"/>
      <c r="C74" s="134"/>
      <c r="D74" s="18" t="s">
        <v>931</v>
      </c>
      <c r="E74" s="18" t="s">
        <v>1349</v>
      </c>
      <c r="F74" s="77" t="s">
        <v>1350</v>
      </c>
    </row>
    <row r="75">
      <c r="A75" s="77" t="s">
        <v>427</v>
      </c>
      <c r="B75" s="134"/>
      <c r="C75" s="134"/>
      <c r="D75" s="18" t="s">
        <v>679</v>
      </c>
      <c r="E75" s="18" t="s">
        <v>679</v>
      </c>
      <c r="F75" s="77" t="s">
        <v>426</v>
      </c>
    </row>
    <row r="76">
      <c r="A76" s="77" t="s">
        <v>429</v>
      </c>
      <c r="B76" s="134"/>
      <c r="C76" s="134"/>
      <c r="D76" s="18" t="s">
        <v>938</v>
      </c>
      <c r="E76" s="18" t="s">
        <v>938</v>
      </c>
      <c r="F76" s="77" t="s">
        <v>428</v>
      </c>
    </row>
    <row r="77">
      <c r="A77" s="77" t="s">
        <v>431</v>
      </c>
      <c r="B77" s="134"/>
      <c r="C77" s="134"/>
      <c r="D77" s="18" t="s">
        <v>942</v>
      </c>
      <c r="E77" s="18" t="s">
        <v>942</v>
      </c>
      <c r="F77" s="77" t="s">
        <v>430</v>
      </c>
    </row>
    <row r="78">
      <c r="A78" s="77" t="s">
        <v>1351</v>
      </c>
      <c r="B78" s="134"/>
      <c r="C78" s="134"/>
      <c r="D78" s="18"/>
      <c r="E78" s="18" t="s">
        <v>463</v>
      </c>
      <c r="F78" s="77" t="s">
        <v>1352</v>
      </c>
    </row>
    <row r="79">
      <c r="A79" s="77" t="s">
        <v>433</v>
      </c>
      <c r="B79" s="134"/>
      <c r="C79" s="134"/>
      <c r="D79" s="18" t="s">
        <v>948</v>
      </c>
      <c r="E79" s="18" t="s">
        <v>948</v>
      </c>
      <c r="F79" s="77" t="s">
        <v>432</v>
      </c>
    </row>
    <row r="80">
      <c r="A80" s="77" t="s">
        <v>435</v>
      </c>
      <c r="B80" s="134"/>
      <c r="C80" s="134"/>
      <c r="D80" s="18" t="s">
        <v>814</v>
      </c>
      <c r="E80" s="18" t="s">
        <v>814</v>
      </c>
      <c r="F80" s="77" t="s">
        <v>434</v>
      </c>
    </row>
    <row r="81">
      <c r="A81" s="77" t="s">
        <v>437</v>
      </c>
      <c r="B81" s="134"/>
      <c r="C81" s="134"/>
      <c r="D81" s="18" t="s">
        <v>953</v>
      </c>
      <c r="E81" s="18" t="s">
        <v>953</v>
      </c>
      <c r="F81" s="77" t="s">
        <v>436</v>
      </c>
    </row>
    <row r="82">
      <c r="A82" s="77" t="s">
        <v>439</v>
      </c>
      <c r="B82" s="134"/>
      <c r="C82" s="134"/>
      <c r="D82" s="18" t="s">
        <v>1353</v>
      </c>
      <c r="E82" s="77" t="s">
        <v>438</v>
      </c>
      <c r="F82" s="77" t="s">
        <v>438</v>
      </c>
    </row>
    <row r="83">
      <c r="A83" s="77" t="s">
        <v>440</v>
      </c>
      <c r="B83" s="134"/>
      <c r="C83" s="134"/>
      <c r="D83" s="18" t="s">
        <v>1354</v>
      </c>
      <c r="E83" s="77" t="s">
        <v>1355</v>
      </c>
      <c r="F83" s="77" t="s">
        <v>1355</v>
      </c>
    </row>
    <row r="84">
      <c r="A84" s="77" t="s">
        <v>441</v>
      </c>
      <c r="B84" s="135"/>
      <c r="C84" s="135"/>
      <c r="D84" s="18" t="s">
        <v>1354</v>
      </c>
      <c r="E84" s="77" t="s">
        <v>1356</v>
      </c>
      <c r="F84" s="77" t="s">
        <v>1356</v>
      </c>
    </row>
    <row r="85">
      <c r="A85" s="77" t="s">
        <v>442</v>
      </c>
      <c r="B85" s="136" t="s">
        <v>1357</v>
      </c>
      <c r="C85" s="18" t="s">
        <v>479</v>
      </c>
      <c r="D85" s="18" t="s">
        <v>479</v>
      </c>
      <c r="E85" s="18" t="s">
        <v>1358</v>
      </c>
      <c r="F85" s="18" t="s">
        <v>1359</v>
      </c>
    </row>
    <row r="86">
      <c r="A86" s="77" t="s">
        <v>443</v>
      </c>
      <c r="B86" s="135"/>
      <c r="C86" s="18" t="s">
        <v>968</v>
      </c>
      <c r="D86" s="18" t="s">
        <v>968</v>
      </c>
      <c r="E86" s="77" t="s">
        <v>1360</v>
      </c>
      <c r="F86" s="18" t="s">
        <v>1361</v>
      </c>
    </row>
    <row r="87">
      <c r="A87" s="77" t="s">
        <v>444</v>
      </c>
      <c r="B87" s="145" t="s">
        <v>251</v>
      </c>
      <c r="C87" s="18" t="s">
        <v>479</v>
      </c>
      <c r="D87" s="18" t="s">
        <v>251</v>
      </c>
      <c r="E87" s="77" t="s">
        <v>1362</v>
      </c>
      <c r="F87" s="77" t="s">
        <v>1362</v>
      </c>
    </row>
    <row r="88">
      <c r="A88" s="77" t="s">
        <v>201</v>
      </c>
      <c r="B88" s="134"/>
      <c r="C88" s="18" t="s">
        <v>200</v>
      </c>
      <c r="D88" s="18" t="s">
        <v>1363</v>
      </c>
      <c r="E88" s="18" t="s">
        <v>1364</v>
      </c>
      <c r="F88" s="77" t="s">
        <v>983</v>
      </c>
    </row>
    <row r="89">
      <c r="A89" s="77" t="s">
        <v>196</v>
      </c>
      <c r="B89" s="134"/>
      <c r="C89" s="18" t="s">
        <v>479</v>
      </c>
      <c r="D89" s="18" t="s">
        <v>251</v>
      </c>
      <c r="E89" s="77" t="s">
        <v>197</v>
      </c>
      <c r="F89" s="77" t="s">
        <v>197</v>
      </c>
    </row>
    <row r="90">
      <c r="A90" s="77" t="s">
        <v>202</v>
      </c>
      <c r="B90" s="135"/>
      <c r="C90" s="18" t="s">
        <v>479</v>
      </c>
      <c r="D90" s="18" t="s">
        <v>251</v>
      </c>
      <c r="E90" s="77" t="s">
        <v>203</v>
      </c>
      <c r="F90" s="77" t="s">
        <v>203</v>
      </c>
    </row>
    <row r="91">
      <c r="A91" s="77" t="s">
        <v>1365</v>
      </c>
      <c r="B91" s="143" t="s">
        <v>211</v>
      </c>
      <c r="C91" s="143" t="s">
        <v>211</v>
      </c>
      <c r="D91" s="143" t="s">
        <v>211</v>
      </c>
      <c r="E91" s="18" t="s">
        <v>1366</v>
      </c>
      <c r="F91" s="77" t="s">
        <v>1367</v>
      </c>
      <c r="H91" s="141"/>
    </row>
    <row r="92">
      <c r="A92" s="77" t="s">
        <v>1368</v>
      </c>
      <c r="B92" s="134"/>
      <c r="C92" s="134"/>
      <c r="D92" s="134"/>
      <c r="E92" s="18" t="s">
        <v>1369</v>
      </c>
      <c r="F92" s="77" t="s">
        <v>1370</v>
      </c>
    </row>
    <row r="93">
      <c r="A93" s="77" t="s">
        <v>1371</v>
      </c>
      <c r="B93" s="134"/>
      <c r="C93" s="134"/>
      <c r="D93" s="134"/>
      <c r="E93" s="18" t="s">
        <v>1372</v>
      </c>
      <c r="F93" s="77" t="s">
        <v>1373</v>
      </c>
    </row>
    <row r="94">
      <c r="A94" s="77" t="s">
        <v>1374</v>
      </c>
      <c r="B94" s="137" t="s">
        <v>1375</v>
      </c>
      <c r="C94" s="18" t="s">
        <v>479</v>
      </c>
      <c r="D94" s="77" t="s">
        <v>988</v>
      </c>
      <c r="E94" s="77" t="s">
        <v>988</v>
      </c>
      <c r="F94" s="77" t="s">
        <v>988</v>
      </c>
    </row>
    <row r="95">
      <c r="A95" s="77" t="s">
        <v>1376</v>
      </c>
      <c r="B95" s="136" t="s">
        <v>1377</v>
      </c>
      <c r="C95" s="143" t="s">
        <v>211</v>
      </c>
      <c r="D95" s="136" t="s">
        <v>1377</v>
      </c>
      <c r="E95" s="77" t="s">
        <v>1378</v>
      </c>
      <c r="F95" s="77" t="s">
        <v>1378</v>
      </c>
    </row>
    <row r="96">
      <c r="A96" s="77" t="s">
        <v>1379</v>
      </c>
      <c r="B96" s="134"/>
      <c r="C96" s="134"/>
      <c r="D96" s="134"/>
      <c r="E96" s="77" t="s">
        <v>1380</v>
      </c>
      <c r="F96" s="77" t="s">
        <v>1380</v>
      </c>
    </row>
    <row r="97">
      <c r="A97" s="77" t="s">
        <v>1381</v>
      </c>
      <c r="B97" s="135"/>
      <c r="C97" s="134"/>
      <c r="D97" s="135"/>
      <c r="E97" s="77" t="s">
        <v>1382</v>
      </c>
      <c r="F97" s="18" t="s">
        <v>1383</v>
      </c>
    </row>
    <row r="98">
      <c r="A98" s="77" t="s">
        <v>375</v>
      </c>
      <c r="B98" s="145" t="s">
        <v>1384</v>
      </c>
      <c r="C98" s="143" t="s">
        <v>211</v>
      </c>
      <c r="D98" s="18" t="s">
        <v>995</v>
      </c>
      <c r="E98" s="77" t="s">
        <v>1385</v>
      </c>
      <c r="F98" s="77" t="s">
        <v>1385</v>
      </c>
    </row>
    <row r="99">
      <c r="A99" s="77" t="s">
        <v>1386</v>
      </c>
      <c r="B99" s="135"/>
      <c r="C99" s="143" t="s">
        <v>211</v>
      </c>
      <c r="D99" s="18" t="s">
        <v>211</v>
      </c>
      <c r="E99" s="77" t="s">
        <v>1387</v>
      </c>
      <c r="F99" s="77" t="s">
        <v>1387</v>
      </c>
    </row>
    <row r="100">
      <c r="A100" s="77" t="s">
        <v>1388</v>
      </c>
      <c r="B100" s="146"/>
      <c r="C100" s="143" t="s">
        <v>101</v>
      </c>
      <c r="D100" s="77"/>
      <c r="E100" s="77"/>
      <c r="F100" s="77" t="s">
        <v>101</v>
      </c>
    </row>
    <row r="101">
      <c r="B101" s="147"/>
    </row>
    <row r="102">
      <c r="A102" s="24" t="s">
        <v>1389</v>
      </c>
      <c r="B102" s="147"/>
    </row>
    <row r="103">
      <c r="A103" s="23" t="s">
        <v>1390</v>
      </c>
      <c r="B103" s="147"/>
      <c r="C103" s="23" t="s">
        <v>101</v>
      </c>
      <c r="D103" s="119" t="s">
        <v>1391</v>
      </c>
      <c r="E103" s="119" t="s">
        <v>1392</v>
      </c>
      <c r="F103" s="23" t="s">
        <v>890</v>
      </c>
    </row>
    <row r="104">
      <c r="A104" s="23" t="s">
        <v>1393</v>
      </c>
      <c r="B104" s="148"/>
      <c r="C104" s="23" t="s">
        <v>101</v>
      </c>
      <c r="D104" s="23" t="s">
        <v>318</v>
      </c>
      <c r="E104" s="23" t="s">
        <v>1394</v>
      </c>
      <c r="F104" s="23" t="s">
        <v>1395</v>
      </c>
    </row>
    <row r="105">
      <c r="A105" s="23" t="s">
        <v>1396</v>
      </c>
      <c r="B105" s="148" t="s">
        <v>1397</v>
      </c>
      <c r="C105" s="23" t="s">
        <v>101</v>
      </c>
      <c r="D105" s="23" t="s">
        <v>971</v>
      </c>
      <c r="E105" s="23"/>
      <c r="F105" s="23" t="s">
        <v>1398</v>
      </c>
    </row>
    <row r="106">
      <c r="A106" s="23" t="s">
        <v>1399</v>
      </c>
      <c r="B106" s="147"/>
      <c r="C106" s="23"/>
      <c r="D106" s="23"/>
      <c r="E106" s="23"/>
      <c r="F106" s="23" t="s">
        <v>1400</v>
      </c>
    </row>
    <row r="107">
      <c r="A107" s="23" t="s">
        <v>1401</v>
      </c>
      <c r="B107" s="147"/>
      <c r="C107" s="23"/>
      <c r="D107" s="23"/>
      <c r="E107" s="23"/>
      <c r="F107" s="23" t="s">
        <v>1402</v>
      </c>
    </row>
    <row r="108">
      <c r="A108" s="23" t="s">
        <v>1403</v>
      </c>
      <c r="B108" s="147"/>
      <c r="C108" s="23"/>
      <c r="D108" s="23"/>
      <c r="E108" s="23"/>
      <c r="F108" s="23" t="s">
        <v>1404</v>
      </c>
    </row>
    <row r="109">
      <c r="A109" s="23" t="s">
        <v>1405</v>
      </c>
      <c r="B109" s="148" t="s">
        <v>1406</v>
      </c>
      <c r="C109" s="23"/>
      <c r="D109" s="23"/>
      <c r="E109" s="23"/>
      <c r="F109" s="23" t="s">
        <v>1407</v>
      </c>
    </row>
    <row r="110">
      <c r="A110" s="23" t="s">
        <v>1408</v>
      </c>
      <c r="B110" s="147"/>
      <c r="C110" s="23"/>
      <c r="D110" s="23"/>
      <c r="E110" s="23"/>
      <c r="F110" s="23" t="s">
        <v>1409</v>
      </c>
    </row>
    <row r="111">
      <c r="A111" s="23" t="s">
        <v>1410</v>
      </c>
      <c r="B111" s="147"/>
      <c r="C111" s="23"/>
      <c r="D111" s="23"/>
      <c r="E111" s="23"/>
      <c r="F111" s="23" t="s">
        <v>1411</v>
      </c>
    </row>
    <row r="112">
      <c r="A112" s="149" t="s">
        <v>1412</v>
      </c>
      <c r="B112" s="150"/>
      <c r="C112" s="149"/>
      <c r="D112" s="149"/>
      <c r="E112" s="149"/>
      <c r="F112" s="149" t="s">
        <v>933</v>
      </c>
    </row>
    <row r="113">
      <c r="A113" s="149" t="s">
        <v>1413</v>
      </c>
      <c r="B113" s="150"/>
      <c r="C113" s="149"/>
      <c r="D113" s="149"/>
      <c r="E113" s="149"/>
      <c r="F113" s="149" t="s">
        <v>1414</v>
      </c>
    </row>
    <row r="114">
      <c r="A114" s="149" t="s">
        <v>1415</v>
      </c>
      <c r="B114" s="150"/>
      <c r="C114" s="149"/>
      <c r="D114" s="149"/>
      <c r="E114" s="149"/>
      <c r="F114" s="149" t="s">
        <v>1416</v>
      </c>
    </row>
    <row r="115">
      <c r="A115" s="149" t="s">
        <v>1417</v>
      </c>
      <c r="B115" s="150"/>
      <c r="C115" s="149"/>
      <c r="D115" s="149"/>
      <c r="E115" s="149"/>
      <c r="F115" s="149" t="s">
        <v>1418</v>
      </c>
    </row>
    <row r="116">
      <c r="A116" s="149" t="s">
        <v>1419</v>
      </c>
      <c r="B116" s="151" t="s">
        <v>1420</v>
      </c>
      <c r="C116" s="149"/>
      <c r="D116" s="149"/>
      <c r="E116" s="149"/>
      <c r="F116" s="149" t="s">
        <v>1421</v>
      </c>
    </row>
    <row r="117">
      <c r="A117" s="149" t="s">
        <v>1422</v>
      </c>
      <c r="B117" s="150"/>
      <c r="C117" s="149"/>
      <c r="D117" s="149"/>
      <c r="E117" s="149"/>
      <c r="F117" s="149" t="s">
        <v>1423</v>
      </c>
    </row>
    <row r="118">
      <c r="A118" s="149" t="s">
        <v>1424</v>
      </c>
      <c r="B118" s="150"/>
      <c r="C118" s="149"/>
      <c r="D118" s="149"/>
      <c r="E118" s="149"/>
      <c r="F118" s="149" t="s">
        <v>1425</v>
      </c>
    </row>
    <row r="119">
      <c r="B119" s="147"/>
    </row>
    <row r="120">
      <c r="A120" s="23" t="s">
        <v>1426</v>
      </c>
      <c r="B120" s="147"/>
      <c r="C120" s="23"/>
      <c r="D120" s="23"/>
      <c r="E120" s="23"/>
      <c r="F120" s="23" t="s">
        <v>1427</v>
      </c>
    </row>
    <row r="121">
      <c r="A121" s="23" t="s">
        <v>1428</v>
      </c>
      <c r="B121" s="147"/>
      <c r="C121" s="23"/>
      <c r="D121" s="23"/>
      <c r="E121" s="23"/>
      <c r="F121" s="23" t="s">
        <v>1429</v>
      </c>
    </row>
    <row r="122">
      <c r="A122" s="23" t="s">
        <v>1430</v>
      </c>
      <c r="B122" s="147"/>
      <c r="C122" s="23"/>
      <c r="D122" s="23"/>
      <c r="E122" s="23"/>
      <c r="F122" s="23" t="s">
        <v>1431</v>
      </c>
    </row>
    <row r="123">
      <c r="A123" s="23" t="s">
        <v>1432</v>
      </c>
      <c r="B123" s="147"/>
      <c r="C123" s="23"/>
      <c r="D123" s="23"/>
      <c r="E123" s="23"/>
      <c r="F123" s="23" t="s">
        <v>1433</v>
      </c>
      <c r="H123" s="152" t="s">
        <v>1434</v>
      </c>
    </row>
    <row r="124">
      <c r="A124" s="23">
        <v>998311.0</v>
      </c>
      <c r="B124" s="147"/>
      <c r="C124" s="23"/>
      <c r="D124" s="23"/>
      <c r="E124" s="23"/>
      <c r="F124" s="23" t="s">
        <v>1435</v>
      </c>
    </row>
    <row r="125">
      <c r="A125" s="23">
        <v>998312.0</v>
      </c>
      <c r="B125" s="147"/>
      <c r="C125" s="23"/>
      <c r="D125" s="23"/>
      <c r="E125" s="23"/>
      <c r="F125" s="23" t="s">
        <v>1436</v>
      </c>
    </row>
    <row r="126">
      <c r="A126" s="23" t="s">
        <v>1437</v>
      </c>
      <c r="B126" s="147"/>
      <c r="C126" s="23"/>
      <c r="D126" s="23"/>
      <c r="E126" s="23"/>
      <c r="F126" s="23" t="s">
        <v>1438</v>
      </c>
    </row>
    <row r="127">
      <c r="A127" s="23">
        <v>998314.0</v>
      </c>
      <c r="B127" s="147"/>
      <c r="C127" s="23"/>
      <c r="D127" s="23"/>
      <c r="E127" s="23"/>
      <c r="F127" s="23" t="s">
        <v>1439</v>
      </c>
    </row>
    <row r="128">
      <c r="A128" s="23">
        <v>998315.0</v>
      </c>
      <c r="B128" s="147"/>
      <c r="C128" s="23"/>
      <c r="D128" s="23"/>
      <c r="E128" s="23"/>
      <c r="F128" s="23" t="s">
        <v>1440</v>
      </c>
    </row>
    <row r="129">
      <c r="A129" s="23">
        <v>998316.0</v>
      </c>
      <c r="B129" s="147"/>
      <c r="C129" s="23"/>
      <c r="D129" s="23"/>
      <c r="E129" s="23"/>
      <c r="F129" s="23" t="s">
        <v>1441</v>
      </c>
    </row>
    <row r="130">
      <c r="A130" s="23">
        <v>998319.0</v>
      </c>
      <c r="B130" s="147"/>
      <c r="C130" s="23"/>
      <c r="D130" s="23"/>
      <c r="E130" s="23"/>
      <c r="F130" s="23" t="s">
        <v>1442</v>
      </c>
    </row>
    <row r="131">
      <c r="B131" s="147"/>
    </row>
    <row r="132">
      <c r="A132" s="23" t="s">
        <v>1443</v>
      </c>
      <c r="B132" s="147"/>
      <c r="C132" s="23"/>
      <c r="D132" s="23"/>
      <c r="E132" s="23"/>
      <c r="F132" s="23" t="s">
        <v>1444</v>
      </c>
    </row>
    <row r="133">
      <c r="A133" s="23">
        <v>99833.0</v>
      </c>
      <c r="B133" s="147"/>
      <c r="C133" s="23"/>
      <c r="D133" s="23"/>
      <c r="E133" s="23"/>
      <c r="F133" s="23" t="s">
        <v>1445</v>
      </c>
    </row>
    <row r="134">
      <c r="A134" s="23">
        <v>99834.0</v>
      </c>
      <c r="B134" s="147"/>
      <c r="C134" s="23"/>
      <c r="D134" s="23"/>
      <c r="E134" s="23"/>
      <c r="F134" s="23" t="s">
        <v>1446</v>
      </c>
    </row>
    <row r="135">
      <c r="A135" s="23">
        <v>99835.0</v>
      </c>
      <c r="B135" s="147"/>
      <c r="C135" s="23"/>
      <c r="D135" s="23"/>
      <c r="E135" s="23"/>
      <c r="F135" s="23" t="s">
        <v>1447</v>
      </c>
    </row>
    <row r="136">
      <c r="A136" s="23" t="s">
        <v>1448</v>
      </c>
      <c r="B136" s="147"/>
      <c r="C136" s="23"/>
      <c r="D136" s="23"/>
      <c r="E136" s="23"/>
      <c r="F136" s="23" t="s">
        <v>1449</v>
      </c>
    </row>
    <row r="137">
      <c r="A137" s="23">
        <v>99837.0</v>
      </c>
      <c r="B137" s="147"/>
      <c r="C137" s="23"/>
      <c r="D137" s="23"/>
      <c r="E137" s="23"/>
      <c r="F137" s="23" t="s">
        <v>1450</v>
      </c>
    </row>
    <row r="138">
      <c r="A138" s="23">
        <v>99838.0</v>
      </c>
      <c r="B138" s="147"/>
      <c r="C138" s="23"/>
      <c r="D138" s="23"/>
      <c r="E138" s="23"/>
      <c r="F138" s="23" t="s">
        <v>1451</v>
      </c>
    </row>
    <row r="139">
      <c r="A139" s="23">
        <v>99839.0</v>
      </c>
      <c r="B139" s="148"/>
      <c r="C139" s="23"/>
      <c r="D139" s="23"/>
      <c r="E139" s="23"/>
      <c r="F139" s="23" t="s">
        <v>1452</v>
      </c>
    </row>
    <row r="140">
      <c r="A140" s="23" t="s">
        <v>1453</v>
      </c>
      <c r="B140" s="147"/>
      <c r="C140" s="23"/>
      <c r="D140" s="23"/>
      <c r="E140" s="23"/>
      <c r="F140" s="23" t="s">
        <v>1454</v>
      </c>
    </row>
    <row r="141">
      <c r="A141" s="23" t="s">
        <v>1455</v>
      </c>
      <c r="B141" s="147"/>
      <c r="C141" s="23"/>
      <c r="D141" s="23"/>
      <c r="E141" s="23"/>
      <c r="F141" s="23" t="s">
        <v>1456</v>
      </c>
    </row>
    <row r="142">
      <c r="A142" s="23">
        <v>99852.0</v>
      </c>
      <c r="B142" s="147"/>
      <c r="C142" s="23"/>
      <c r="D142" s="23"/>
      <c r="E142" s="23"/>
      <c r="F142" s="23" t="s">
        <v>1457</v>
      </c>
    </row>
    <row r="143">
      <c r="A143" s="23">
        <v>99853.0</v>
      </c>
      <c r="B143" s="147"/>
      <c r="C143" s="23"/>
      <c r="D143" s="23"/>
      <c r="E143" s="23"/>
      <c r="F143" s="23" t="s">
        <v>1458</v>
      </c>
    </row>
    <row r="144">
      <c r="A144" s="23">
        <v>99854.0</v>
      </c>
      <c r="B144" s="147"/>
      <c r="C144" s="23"/>
      <c r="D144" s="23"/>
      <c r="E144" s="23"/>
      <c r="F144" s="23" t="s">
        <v>1459</v>
      </c>
    </row>
    <row r="145">
      <c r="A145" s="23" t="s">
        <v>1460</v>
      </c>
      <c r="B145" s="147"/>
      <c r="C145" s="23"/>
      <c r="D145" s="23"/>
      <c r="E145" s="23"/>
      <c r="F145" s="23" t="s">
        <v>1461</v>
      </c>
    </row>
    <row r="146">
      <c r="A146" s="23">
        <v>99859.0</v>
      </c>
      <c r="B146" s="148" t="s">
        <v>1462</v>
      </c>
      <c r="C146" s="23"/>
      <c r="D146" s="23"/>
      <c r="E146" s="23"/>
      <c r="F146" s="23" t="s">
        <v>1463</v>
      </c>
    </row>
    <row r="147">
      <c r="A147" s="23">
        <v>99861.0</v>
      </c>
      <c r="B147" s="147"/>
      <c r="C147" s="23"/>
      <c r="D147" s="23"/>
      <c r="E147" s="23"/>
      <c r="F147" s="23" t="s">
        <v>1464</v>
      </c>
    </row>
    <row r="148">
      <c r="A148" s="23">
        <v>99862.0</v>
      </c>
      <c r="B148" s="147"/>
      <c r="C148" s="23"/>
      <c r="D148" s="23"/>
      <c r="E148" s="23"/>
      <c r="F148" s="23" t="s">
        <v>1465</v>
      </c>
    </row>
    <row r="149">
      <c r="A149" s="23">
        <v>99863.0</v>
      </c>
      <c r="B149" s="147"/>
      <c r="C149" s="23"/>
      <c r="D149" s="23"/>
      <c r="E149" s="23"/>
      <c r="F149" s="23" t="s">
        <v>1466</v>
      </c>
    </row>
    <row r="150">
      <c r="A150" s="23">
        <v>9987.0</v>
      </c>
      <c r="B150" s="147"/>
      <c r="C150" s="23"/>
      <c r="D150" s="23"/>
      <c r="E150" s="23"/>
      <c r="F150" s="23" t="s">
        <v>1467</v>
      </c>
    </row>
    <row r="151">
      <c r="A151" s="153" t="s">
        <v>1468</v>
      </c>
      <c r="B151" s="154" t="s">
        <v>1469</v>
      </c>
      <c r="C151" s="153"/>
      <c r="D151" s="153"/>
      <c r="E151" s="153"/>
      <c r="F151" s="153" t="s">
        <v>1470</v>
      </c>
    </row>
    <row r="152">
      <c r="A152" s="153" t="s">
        <v>1471</v>
      </c>
      <c r="B152" s="154" t="s">
        <v>1472</v>
      </c>
      <c r="C152" s="153"/>
      <c r="D152" s="153"/>
      <c r="E152" s="153"/>
      <c r="F152" s="153" t="s">
        <v>1473</v>
      </c>
    </row>
    <row r="153">
      <c r="A153" s="153" t="s">
        <v>1474</v>
      </c>
      <c r="B153" s="154" t="s">
        <v>1475</v>
      </c>
      <c r="C153" s="153"/>
      <c r="D153" s="153"/>
      <c r="E153" s="153"/>
      <c r="F153" s="153" t="s">
        <v>1476</v>
      </c>
    </row>
    <row r="154">
      <c r="A154" s="153" t="s">
        <v>1477</v>
      </c>
      <c r="B154" s="153" t="s">
        <v>1478</v>
      </c>
      <c r="C154" s="153"/>
      <c r="D154" s="153"/>
      <c r="E154" s="153"/>
      <c r="F154" s="153" t="s">
        <v>1479</v>
      </c>
    </row>
    <row r="155">
      <c r="A155" s="153" t="s">
        <v>1480</v>
      </c>
      <c r="B155" s="154" t="s">
        <v>1469</v>
      </c>
      <c r="C155" s="153"/>
      <c r="D155" s="153"/>
      <c r="E155" s="153"/>
      <c r="F155" s="153" t="s">
        <v>1481</v>
      </c>
    </row>
    <row r="156">
      <c r="A156" s="153" t="s">
        <v>1482</v>
      </c>
      <c r="B156" s="154" t="s">
        <v>1469</v>
      </c>
      <c r="C156" s="153"/>
      <c r="D156" s="153"/>
      <c r="E156" s="153"/>
      <c r="F156" s="153" t="s">
        <v>1483</v>
      </c>
    </row>
    <row r="157">
      <c r="A157" s="153">
        <v>99886.0</v>
      </c>
      <c r="B157" s="154" t="s">
        <v>1469</v>
      </c>
      <c r="C157" s="153"/>
      <c r="D157" s="153"/>
      <c r="E157" s="153"/>
      <c r="F157" s="153" t="s">
        <v>1484</v>
      </c>
    </row>
    <row r="158">
      <c r="A158" s="153">
        <v>99887.0</v>
      </c>
      <c r="B158" s="154" t="s">
        <v>1469</v>
      </c>
      <c r="C158" s="153"/>
      <c r="D158" s="153"/>
      <c r="E158" s="153"/>
      <c r="F158" s="153" t="s">
        <v>1485</v>
      </c>
    </row>
    <row r="159">
      <c r="A159" s="153">
        <v>99888.0</v>
      </c>
      <c r="B159" s="154" t="s">
        <v>1469</v>
      </c>
      <c r="C159" s="153"/>
      <c r="D159" s="153"/>
      <c r="E159" s="153"/>
      <c r="F159" s="153" t="s">
        <v>1486</v>
      </c>
    </row>
    <row r="160">
      <c r="A160" s="153">
        <v>99889.0</v>
      </c>
      <c r="B160" s="154" t="s">
        <v>1469</v>
      </c>
      <c r="C160" s="153"/>
      <c r="D160" s="153"/>
      <c r="E160" s="153"/>
      <c r="F160" s="153" t="s">
        <v>1487</v>
      </c>
    </row>
    <row r="161">
      <c r="A161" s="153">
        <v>9989.0</v>
      </c>
      <c r="B161" s="154" t="s">
        <v>1469</v>
      </c>
      <c r="C161" s="153"/>
      <c r="D161" s="153"/>
      <c r="E161" s="153"/>
      <c r="F161" s="153" t="s">
        <v>1488</v>
      </c>
    </row>
    <row r="162">
      <c r="A162" s="23">
        <v>9991.0</v>
      </c>
      <c r="B162" s="147"/>
      <c r="C162" s="23"/>
      <c r="D162" s="23"/>
      <c r="E162" s="23"/>
      <c r="F162" s="23" t="s">
        <v>1489</v>
      </c>
    </row>
    <row r="163">
      <c r="A163" s="23">
        <v>9992.0</v>
      </c>
      <c r="B163" s="147"/>
      <c r="C163" s="23"/>
      <c r="D163" s="23"/>
      <c r="E163" s="23"/>
      <c r="F163" s="23" t="s">
        <v>1490</v>
      </c>
    </row>
    <row r="164">
      <c r="A164" s="23">
        <v>9993.0</v>
      </c>
      <c r="B164" s="147"/>
      <c r="C164" s="23"/>
      <c r="D164" s="23"/>
      <c r="E164" s="23"/>
      <c r="F164" s="23" t="s">
        <v>1491</v>
      </c>
    </row>
    <row r="165">
      <c r="A165" s="23">
        <v>9994.0</v>
      </c>
      <c r="B165" s="147"/>
      <c r="C165" s="23"/>
      <c r="D165" s="23"/>
      <c r="E165" s="23"/>
      <c r="F165" s="23" t="s">
        <v>1492</v>
      </c>
    </row>
    <row r="166">
      <c r="A166" s="23">
        <v>9995.0</v>
      </c>
      <c r="B166" s="147"/>
      <c r="C166" s="23"/>
      <c r="D166" s="23"/>
      <c r="E166" s="23"/>
      <c r="F166" s="23" t="s">
        <v>1493</v>
      </c>
    </row>
    <row r="167">
      <c r="A167" s="23">
        <v>9996.0</v>
      </c>
      <c r="B167" s="147"/>
      <c r="C167" s="23"/>
      <c r="D167" s="23"/>
      <c r="E167" s="23"/>
      <c r="F167" s="23" t="s">
        <v>1494</v>
      </c>
    </row>
    <row r="168">
      <c r="A168" s="23">
        <v>9997.0</v>
      </c>
      <c r="B168" s="147"/>
      <c r="C168" s="23"/>
      <c r="D168" s="23"/>
      <c r="E168" s="23"/>
      <c r="F168" s="23" t="s">
        <v>1495</v>
      </c>
    </row>
    <row r="169">
      <c r="A169" s="23">
        <v>9998.0</v>
      </c>
      <c r="B169" s="147"/>
      <c r="C169" s="23"/>
      <c r="D169" s="23"/>
      <c r="E169" s="23"/>
      <c r="F169" s="23" t="s">
        <v>1496</v>
      </c>
    </row>
    <row r="170">
      <c r="A170" s="23">
        <v>9999.0</v>
      </c>
      <c r="B170" s="147"/>
      <c r="C170" s="23"/>
      <c r="D170" s="23"/>
      <c r="E170" s="23"/>
      <c r="F170" s="23" t="s">
        <v>1497</v>
      </c>
    </row>
    <row r="171">
      <c r="B171" s="147"/>
    </row>
    <row r="172">
      <c r="B172" s="147"/>
    </row>
    <row r="173">
      <c r="B173" s="147"/>
    </row>
    <row r="174">
      <c r="B174" s="147"/>
    </row>
    <row r="175">
      <c r="B175" s="147"/>
    </row>
    <row r="176">
      <c r="B176" s="147"/>
    </row>
    <row r="177">
      <c r="B177" s="147"/>
    </row>
    <row r="178">
      <c r="B178" s="147"/>
    </row>
    <row r="179">
      <c r="B179" s="147"/>
    </row>
    <row r="180">
      <c r="B180" s="147"/>
    </row>
    <row r="181">
      <c r="B181" s="147"/>
    </row>
    <row r="182">
      <c r="B182" s="147"/>
    </row>
    <row r="183">
      <c r="B183" s="147"/>
    </row>
    <row r="184">
      <c r="B184" s="147"/>
    </row>
    <row r="185">
      <c r="B185" s="147"/>
    </row>
    <row r="186">
      <c r="B186" s="147"/>
    </row>
    <row r="187">
      <c r="B187" s="147"/>
    </row>
    <row r="188">
      <c r="B188" s="147"/>
    </row>
    <row r="189">
      <c r="B189" s="147"/>
    </row>
    <row r="190">
      <c r="B190" s="147"/>
    </row>
    <row r="191">
      <c r="B191" s="147"/>
    </row>
    <row r="192">
      <c r="B192" s="147"/>
    </row>
    <row r="193">
      <c r="B193" s="147"/>
    </row>
    <row r="194">
      <c r="B194" s="147"/>
    </row>
    <row r="195">
      <c r="B195" s="147"/>
    </row>
    <row r="196">
      <c r="B196" s="147"/>
    </row>
    <row r="197">
      <c r="B197" s="147"/>
    </row>
    <row r="198">
      <c r="B198" s="147"/>
    </row>
    <row r="199">
      <c r="B199" s="147"/>
    </row>
    <row r="200">
      <c r="B200" s="147"/>
    </row>
    <row r="201">
      <c r="B201" s="147"/>
    </row>
    <row r="202">
      <c r="B202" s="147"/>
    </row>
    <row r="203">
      <c r="B203" s="147"/>
    </row>
    <row r="204">
      <c r="B204" s="147"/>
    </row>
    <row r="205">
      <c r="B205" s="147"/>
    </row>
    <row r="206">
      <c r="B206" s="147"/>
    </row>
    <row r="207">
      <c r="B207" s="147"/>
    </row>
    <row r="208">
      <c r="B208" s="147"/>
    </row>
    <row r="209">
      <c r="B209" s="147"/>
    </row>
    <row r="210">
      <c r="B210" s="147"/>
    </row>
    <row r="211">
      <c r="B211" s="147"/>
    </row>
    <row r="212">
      <c r="B212" s="147"/>
    </row>
    <row r="213">
      <c r="B213" s="147"/>
    </row>
    <row r="214">
      <c r="B214" s="147"/>
    </row>
    <row r="215">
      <c r="B215" s="147"/>
    </row>
    <row r="216">
      <c r="B216" s="147"/>
    </row>
    <row r="217">
      <c r="B217" s="147"/>
    </row>
    <row r="218">
      <c r="B218" s="147"/>
    </row>
    <row r="219">
      <c r="B219" s="147"/>
    </row>
    <row r="220">
      <c r="B220" s="147"/>
    </row>
    <row r="221">
      <c r="B221" s="147"/>
    </row>
    <row r="222">
      <c r="B222" s="147"/>
    </row>
    <row r="223">
      <c r="B223" s="147"/>
    </row>
    <row r="224">
      <c r="B224" s="147"/>
    </row>
    <row r="225">
      <c r="B225" s="147"/>
    </row>
    <row r="226">
      <c r="B226" s="147"/>
    </row>
    <row r="227">
      <c r="B227" s="147"/>
    </row>
    <row r="228">
      <c r="B228" s="147"/>
    </row>
    <row r="229">
      <c r="B229" s="147"/>
    </row>
    <row r="230">
      <c r="B230" s="147"/>
    </row>
    <row r="231">
      <c r="B231" s="147"/>
    </row>
    <row r="232">
      <c r="B232" s="147"/>
    </row>
    <row r="233">
      <c r="B233" s="147"/>
    </row>
    <row r="234">
      <c r="B234" s="147"/>
    </row>
    <row r="235">
      <c r="B235" s="147"/>
    </row>
    <row r="236">
      <c r="B236" s="147"/>
    </row>
    <row r="237">
      <c r="B237" s="147"/>
    </row>
    <row r="238">
      <c r="B238" s="147"/>
    </row>
    <row r="239">
      <c r="B239" s="147"/>
    </row>
    <row r="240">
      <c r="B240" s="147"/>
    </row>
    <row r="241">
      <c r="B241" s="147"/>
    </row>
    <row r="242">
      <c r="B242" s="147"/>
    </row>
    <row r="243">
      <c r="B243" s="147"/>
    </row>
    <row r="244">
      <c r="B244" s="147"/>
    </row>
    <row r="245">
      <c r="B245" s="147"/>
    </row>
    <row r="246">
      <c r="B246" s="147"/>
    </row>
    <row r="247">
      <c r="B247" s="147"/>
    </row>
    <row r="248">
      <c r="B248" s="147"/>
    </row>
    <row r="249">
      <c r="B249" s="147"/>
    </row>
    <row r="250">
      <c r="B250" s="147"/>
    </row>
    <row r="251">
      <c r="B251" s="147"/>
    </row>
    <row r="252">
      <c r="B252" s="147"/>
    </row>
    <row r="253">
      <c r="B253" s="147"/>
    </row>
    <row r="254">
      <c r="B254" s="147"/>
    </row>
    <row r="255">
      <c r="B255" s="147"/>
    </row>
    <row r="256">
      <c r="B256" s="147"/>
    </row>
    <row r="257">
      <c r="B257" s="147"/>
    </row>
    <row r="258">
      <c r="B258" s="147"/>
    </row>
    <row r="259">
      <c r="B259" s="147"/>
    </row>
    <row r="260">
      <c r="B260" s="147"/>
    </row>
    <row r="261">
      <c r="B261" s="147"/>
    </row>
    <row r="262">
      <c r="B262" s="147"/>
    </row>
    <row r="263">
      <c r="B263" s="147"/>
    </row>
    <row r="264">
      <c r="B264" s="147"/>
    </row>
    <row r="265">
      <c r="B265" s="147"/>
    </row>
    <row r="266">
      <c r="B266" s="147"/>
    </row>
    <row r="267">
      <c r="B267" s="147"/>
    </row>
    <row r="268">
      <c r="B268" s="147"/>
    </row>
    <row r="269">
      <c r="B269" s="147"/>
    </row>
    <row r="270">
      <c r="B270" s="147"/>
    </row>
    <row r="271">
      <c r="B271" s="147"/>
    </row>
    <row r="272">
      <c r="B272" s="147"/>
    </row>
    <row r="273">
      <c r="B273" s="147"/>
    </row>
    <row r="274">
      <c r="B274" s="147"/>
    </row>
    <row r="275">
      <c r="B275" s="147"/>
    </row>
    <row r="276">
      <c r="B276" s="147"/>
    </row>
    <row r="277">
      <c r="B277" s="147"/>
    </row>
    <row r="278">
      <c r="B278" s="147"/>
    </row>
    <row r="279">
      <c r="B279" s="147"/>
    </row>
    <row r="280">
      <c r="B280" s="147"/>
    </row>
    <row r="281">
      <c r="B281" s="147"/>
    </row>
    <row r="282">
      <c r="B282" s="147"/>
    </row>
    <row r="283">
      <c r="B283" s="147"/>
    </row>
    <row r="284">
      <c r="B284" s="147"/>
    </row>
    <row r="285">
      <c r="B285" s="147"/>
    </row>
    <row r="286">
      <c r="B286" s="147"/>
    </row>
    <row r="287">
      <c r="B287" s="147"/>
    </row>
    <row r="288">
      <c r="B288" s="147"/>
    </row>
    <row r="289">
      <c r="B289" s="147"/>
    </row>
    <row r="290">
      <c r="B290" s="147"/>
    </row>
    <row r="291">
      <c r="B291" s="147"/>
    </row>
    <row r="292">
      <c r="B292" s="147"/>
    </row>
    <row r="293">
      <c r="B293" s="147"/>
    </row>
    <row r="294">
      <c r="B294" s="147"/>
    </row>
    <row r="295">
      <c r="B295" s="147"/>
    </row>
    <row r="296">
      <c r="B296" s="147"/>
    </row>
    <row r="297">
      <c r="B297" s="147"/>
    </row>
    <row r="298">
      <c r="B298" s="147"/>
    </row>
    <row r="299">
      <c r="B299" s="147"/>
    </row>
    <row r="300">
      <c r="B300" s="147"/>
    </row>
    <row r="301">
      <c r="B301" s="147"/>
    </row>
    <row r="302">
      <c r="B302" s="147"/>
    </row>
    <row r="303">
      <c r="B303" s="147"/>
    </row>
    <row r="304">
      <c r="B304" s="147"/>
    </row>
    <row r="305">
      <c r="B305" s="147"/>
    </row>
    <row r="306">
      <c r="B306" s="147"/>
    </row>
    <row r="307">
      <c r="B307" s="147"/>
    </row>
    <row r="308">
      <c r="B308" s="147"/>
    </row>
    <row r="309">
      <c r="B309" s="147"/>
    </row>
    <row r="310">
      <c r="B310" s="147"/>
    </row>
    <row r="311">
      <c r="B311" s="147"/>
    </row>
    <row r="312">
      <c r="B312" s="147"/>
    </row>
    <row r="313">
      <c r="B313" s="147"/>
    </row>
    <row r="314">
      <c r="B314" s="147"/>
    </row>
    <row r="315">
      <c r="B315" s="147"/>
    </row>
    <row r="316">
      <c r="B316" s="147"/>
    </row>
    <row r="317">
      <c r="B317" s="147"/>
    </row>
    <row r="318">
      <c r="B318" s="147"/>
    </row>
    <row r="319">
      <c r="B319" s="147"/>
    </row>
    <row r="320">
      <c r="B320" s="147"/>
    </row>
    <row r="321">
      <c r="B321" s="147"/>
    </row>
    <row r="322">
      <c r="B322" s="147"/>
    </row>
    <row r="323">
      <c r="B323" s="147"/>
    </row>
    <row r="324">
      <c r="B324" s="147"/>
    </row>
    <row r="325">
      <c r="B325" s="147"/>
    </row>
    <row r="326">
      <c r="B326" s="147"/>
    </row>
    <row r="327">
      <c r="B327" s="147"/>
    </row>
    <row r="328">
      <c r="B328" s="147"/>
    </row>
    <row r="329">
      <c r="B329" s="147"/>
    </row>
    <row r="330">
      <c r="B330" s="147"/>
    </row>
    <row r="331">
      <c r="B331" s="147"/>
    </row>
    <row r="332">
      <c r="B332" s="147"/>
    </row>
    <row r="333">
      <c r="B333" s="147"/>
    </row>
    <row r="334">
      <c r="B334" s="147"/>
    </row>
    <row r="335">
      <c r="B335" s="147"/>
    </row>
    <row r="336">
      <c r="B336" s="147"/>
    </row>
    <row r="337">
      <c r="B337" s="147"/>
    </row>
    <row r="338">
      <c r="B338" s="147"/>
    </row>
    <row r="339">
      <c r="B339" s="147"/>
    </row>
    <row r="340">
      <c r="B340" s="147"/>
    </row>
    <row r="341">
      <c r="B341" s="147"/>
    </row>
    <row r="342">
      <c r="B342" s="147"/>
    </row>
    <row r="343">
      <c r="B343" s="147"/>
    </row>
    <row r="344">
      <c r="B344" s="147"/>
    </row>
    <row r="345">
      <c r="B345" s="147"/>
    </row>
    <row r="346">
      <c r="B346" s="147"/>
    </row>
    <row r="347">
      <c r="B347" s="147"/>
    </row>
    <row r="348">
      <c r="B348" s="147"/>
    </row>
    <row r="349">
      <c r="B349" s="147"/>
    </row>
    <row r="350">
      <c r="B350" s="147"/>
    </row>
    <row r="351">
      <c r="B351" s="147"/>
    </row>
    <row r="352">
      <c r="B352" s="147"/>
    </row>
    <row r="353">
      <c r="B353" s="147"/>
    </row>
    <row r="354">
      <c r="B354" s="147"/>
    </row>
    <row r="355">
      <c r="B355" s="147"/>
    </row>
    <row r="356">
      <c r="B356" s="147"/>
    </row>
    <row r="357">
      <c r="B357" s="147"/>
    </row>
    <row r="358">
      <c r="B358" s="147"/>
    </row>
    <row r="359">
      <c r="B359" s="147"/>
    </row>
    <row r="360">
      <c r="B360" s="147"/>
    </row>
    <row r="361">
      <c r="B361" s="147"/>
    </row>
    <row r="362">
      <c r="B362" s="147"/>
    </row>
    <row r="363">
      <c r="B363" s="147"/>
    </row>
    <row r="364">
      <c r="B364" s="147"/>
    </row>
    <row r="365">
      <c r="B365" s="147"/>
    </row>
    <row r="366">
      <c r="B366" s="147"/>
    </row>
    <row r="367">
      <c r="B367" s="147"/>
    </row>
    <row r="368">
      <c r="B368" s="147"/>
    </row>
    <row r="369">
      <c r="B369" s="147"/>
    </row>
    <row r="370">
      <c r="B370" s="147"/>
    </row>
    <row r="371">
      <c r="B371" s="147"/>
    </row>
    <row r="372">
      <c r="B372" s="147"/>
    </row>
    <row r="373">
      <c r="B373" s="147"/>
    </row>
    <row r="374">
      <c r="B374" s="147"/>
    </row>
    <row r="375">
      <c r="B375" s="147"/>
    </row>
    <row r="376">
      <c r="B376" s="147"/>
    </row>
    <row r="377">
      <c r="B377" s="147"/>
    </row>
    <row r="378">
      <c r="B378" s="147"/>
    </row>
    <row r="379">
      <c r="B379" s="147"/>
    </row>
    <row r="380">
      <c r="B380" s="147"/>
    </row>
    <row r="381">
      <c r="B381" s="147"/>
    </row>
    <row r="382">
      <c r="B382" s="147"/>
    </row>
    <row r="383">
      <c r="B383" s="147"/>
    </row>
    <row r="384">
      <c r="B384" s="147"/>
    </row>
    <row r="385">
      <c r="B385" s="147"/>
    </row>
    <row r="386">
      <c r="B386" s="147"/>
    </row>
    <row r="387">
      <c r="B387" s="147"/>
    </row>
    <row r="388">
      <c r="B388" s="147"/>
    </row>
    <row r="389">
      <c r="B389" s="147"/>
    </row>
    <row r="390">
      <c r="B390" s="147"/>
    </row>
    <row r="391">
      <c r="B391" s="147"/>
    </row>
    <row r="392">
      <c r="B392" s="147"/>
    </row>
    <row r="393">
      <c r="B393" s="147"/>
    </row>
    <row r="394">
      <c r="B394" s="147"/>
    </row>
    <row r="395">
      <c r="B395" s="147"/>
    </row>
    <row r="396">
      <c r="B396" s="147"/>
    </row>
    <row r="397">
      <c r="B397" s="147"/>
    </row>
    <row r="398">
      <c r="B398" s="147"/>
    </row>
    <row r="399">
      <c r="B399" s="147"/>
    </row>
    <row r="400">
      <c r="B400" s="147"/>
    </row>
    <row r="401">
      <c r="B401" s="147"/>
    </row>
    <row r="402">
      <c r="B402" s="147"/>
    </row>
    <row r="403">
      <c r="B403" s="147"/>
    </row>
    <row r="404">
      <c r="B404" s="147"/>
    </row>
    <row r="405">
      <c r="B405" s="147"/>
    </row>
    <row r="406">
      <c r="B406" s="147"/>
    </row>
    <row r="407">
      <c r="B407" s="147"/>
    </row>
    <row r="408">
      <c r="B408" s="147"/>
    </row>
    <row r="409">
      <c r="B409" s="147"/>
    </row>
    <row r="410">
      <c r="B410" s="147"/>
    </row>
    <row r="411">
      <c r="B411" s="147"/>
    </row>
    <row r="412">
      <c r="B412" s="147"/>
    </row>
    <row r="413">
      <c r="B413" s="147"/>
    </row>
    <row r="414">
      <c r="B414" s="147"/>
    </row>
    <row r="415">
      <c r="B415" s="147"/>
    </row>
    <row r="416">
      <c r="B416" s="147"/>
    </row>
    <row r="417">
      <c r="B417" s="147"/>
    </row>
    <row r="418">
      <c r="B418" s="147"/>
    </row>
    <row r="419">
      <c r="B419" s="147"/>
    </row>
    <row r="420">
      <c r="B420" s="147"/>
    </row>
    <row r="421">
      <c r="B421" s="147"/>
    </row>
    <row r="422">
      <c r="B422" s="147"/>
    </row>
    <row r="423">
      <c r="B423" s="147"/>
    </row>
    <row r="424">
      <c r="B424" s="147"/>
    </row>
    <row r="425">
      <c r="B425" s="147"/>
    </row>
    <row r="426">
      <c r="B426" s="147"/>
    </row>
    <row r="427">
      <c r="B427" s="147"/>
    </row>
    <row r="428">
      <c r="B428" s="147"/>
    </row>
    <row r="429">
      <c r="B429" s="147"/>
    </row>
    <row r="430">
      <c r="B430" s="147"/>
    </row>
    <row r="431">
      <c r="B431" s="147"/>
    </row>
    <row r="432">
      <c r="B432" s="147"/>
    </row>
    <row r="433">
      <c r="B433" s="147"/>
    </row>
    <row r="434">
      <c r="B434" s="147"/>
    </row>
    <row r="435">
      <c r="B435" s="147"/>
    </row>
    <row r="436">
      <c r="B436" s="147"/>
    </row>
    <row r="437">
      <c r="B437" s="147"/>
    </row>
    <row r="438">
      <c r="B438" s="147"/>
    </row>
    <row r="439">
      <c r="B439" s="147"/>
    </row>
    <row r="440">
      <c r="B440" s="147"/>
    </row>
    <row r="441">
      <c r="B441" s="147"/>
    </row>
    <row r="442">
      <c r="B442" s="147"/>
    </row>
    <row r="443">
      <c r="B443" s="147"/>
    </row>
    <row r="444">
      <c r="B444" s="147"/>
    </row>
    <row r="445">
      <c r="B445" s="147"/>
    </row>
    <row r="446">
      <c r="B446" s="147"/>
    </row>
    <row r="447">
      <c r="B447" s="147"/>
    </row>
    <row r="448">
      <c r="B448" s="147"/>
    </row>
    <row r="449">
      <c r="B449" s="147"/>
    </row>
    <row r="450">
      <c r="B450" s="147"/>
    </row>
    <row r="451">
      <c r="B451" s="147"/>
    </row>
    <row r="452">
      <c r="B452" s="147"/>
    </row>
    <row r="453">
      <c r="B453" s="147"/>
    </row>
    <row r="454">
      <c r="B454" s="147"/>
    </row>
    <row r="455">
      <c r="B455" s="147"/>
    </row>
    <row r="456">
      <c r="B456" s="147"/>
    </row>
    <row r="457">
      <c r="B457" s="147"/>
    </row>
    <row r="458">
      <c r="B458" s="147"/>
    </row>
    <row r="459">
      <c r="B459" s="147"/>
    </row>
    <row r="460">
      <c r="B460" s="147"/>
    </row>
    <row r="461">
      <c r="B461" s="147"/>
    </row>
    <row r="462">
      <c r="B462" s="147"/>
    </row>
    <row r="463">
      <c r="B463" s="147"/>
    </row>
    <row r="464">
      <c r="B464" s="147"/>
    </row>
    <row r="465">
      <c r="B465" s="147"/>
    </row>
    <row r="466">
      <c r="B466" s="147"/>
    </row>
    <row r="467">
      <c r="B467" s="147"/>
    </row>
    <row r="468">
      <c r="B468" s="147"/>
    </row>
    <row r="469">
      <c r="B469" s="147"/>
    </row>
    <row r="470">
      <c r="B470" s="147"/>
    </row>
    <row r="471">
      <c r="B471" s="147"/>
    </row>
    <row r="472">
      <c r="B472" s="147"/>
    </row>
    <row r="473">
      <c r="B473" s="147"/>
    </row>
    <row r="474">
      <c r="B474" s="147"/>
    </row>
    <row r="475">
      <c r="B475" s="147"/>
    </row>
    <row r="476">
      <c r="B476" s="147"/>
    </row>
    <row r="477">
      <c r="B477" s="147"/>
    </row>
    <row r="478">
      <c r="B478" s="147"/>
    </row>
    <row r="479">
      <c r="B479" s="147"/>
    </row>
    <row r="480">
      <c r="B480" s="147"/>
    </row>
    <row r="481">
      <c r="B481" s="147"/>
    </row>
    <row r="482">
      <c r="B482" s="147"/>
    </row>
    <row r="483">
      <c r="B483" s="147"/>
    </row>
    <row r="484">
      <c r="B484" s="147"/>
    </row>
    <row r="485">
      <c r="B485" s="147"/>
    </row>
    <row r="486">
      <c r="B486" s="147"/>
    </row>
    <row r="487">
      <c r="B487" s="147"/>
    </row>
    <row r="488">
      <c r="B488" s="147"/>
    </row>
    <row r="489">
      <c r="B489" s="147"/>
    </row>
    <row r="490">
      <c r="B490" s="147"/>
    </row>
    <row r="491">
      <c r="B491" s="147"/>
    </row>
    <row r="492">
      <c r="B492" s="147"/>
    </row>
    <row r="493">
      <c r="B493" s="147"/>
    </row>
    <row r="494">
      <c r="B494" s="147"/>
    </row>
    <row r="495">
      <c r="B495" s="147"/>
    </row>
    <row r="496">
      <c r="B496" s="147"/>
    </row>
    <row r="497">
      <c r="B497" s="147"/>
    </row>
    <row r="498">
      <c r="B498" s="147"/>
    </row>
    <row r="499">
      <c r="B499" s="147"/>
    </row>
    <row r="500">
      <c r="B500" s="147"/>
    </row>
    <row r="501">
      <c r="B501" s="147"/>
    </row>
    <row r="502">
      <c r="B502" s="147"/>
    </row>
    <row r="503">
      <c r="B503" s="147"/>
    </row>
    <row r="504">
      <c r="B504" s="147"/>
    </row>
    <row r="505">
      <c r="B505" s="147"/>
    </row>
    <row r="506">
      <c r="B506" s="147"/>
    </row>
    <row r="507">
      <c r="B507" s="147"/>
    </row>
    <row r="508">
      <c r="B508" s="147"/>
    </row>
    <row r="509">
      <c r="B509" s="147"/>
    </row>
    <row r="510">
      <c r="B510" s="147"/>
    </row>
    <row r="511">
      <c r="B511" s="147"/>
    </row>
    <row r="512">
      <c r="B512" s="147"/>
    </row>
    <row r="513">
      <c r="B513" s="147"/>
    </row>
    <row r="514">
      <c r="B514" s="147"/>
    </row>
    <row r="515">
      <c r="B515" s="147"/>
    </row>
    <row r="516">
      <c r="B516" s="147"/>
    </row>
    <row r="517">
      <c r="B517" s="147"/>
    </row>
    <row r="518">
      <c r="B518" s="147"/>
    </row>
    <row r="519">
      <c r="B519" s="147"/>
    </row>
    <row r="520">
      <c r="B520" s="147"/>
    </row>
    <row r="521">
      <c r="B521" s="147"/>
    </row>
    <row r="522">
      <c r="B522" s="147"/>
    </row>
    <row r="523">
      <c r="B523" s="147"/>
    </row>
    <row r="524">
      <c r="B524" s="147"/>
    </row>
    <row r="525">
      <c r="B525" s="147"/>
    </row>
    <row r="526">
      <c r="B526" s="147"/>
    </row>
    <row r="527">
      <c r="B527" s="147"/>
    </row>
    <row r="528">
      <c r="B528" s="147"/>
    </row>
    <row r="529">
      <c r="B529" s="147"/>
    </row>
    <row r="530">
      <c r="B530" s="147"/>
    </row>
    <row r="531">
      <c r="B531" s="147"/>
    </row>
    <row r="532">
      <c r="B532" s="147"/>
    </row>
    <row r="533">
      <c r="B533" s="147"/>
    </row>
    <row r="534">
      <c r="B534" s="147"/>
    </row>
    <row r="535">
      <c r="B535" s="147"/>
    </row>
    <row r="536">
      <c r="B536" s="147"/>
    </row>
    <row r="537">
      <c r="B537" s="147"/>
    </row>
    <row r="538">
      <c r="B538" s="147"/>
    </row>
    <row r="539">
      <c r="B539" s="147"/>
    </row>
    <row r="540">
      <c r="B540" s="147"/>
    </row>
    <row r="541">
      <c r="B541" s="147"/>
    </row>
    <row r="542">
      <c r="B542" s="147"/>
    </row>
    <row r="543">
      <c r="B543" s="147"/>
    </row>
    <row r="544">
      <c r="B544" s="147"/>
    </row>
    <row r="545">
      <c r="B545" s="147"/>
    </row>
    <row r="546">
      <c r="B546" s="147"/>
    </row>
    <row r="547">
      <c r="B547" s="147"/>
    </row>
    <row r="548">
      <c r="B548" s="147"/>
    </row>
    <row r="549">
      <c r="B549" s="147"/>
    </row>
    <row r="550">
      <c r="B550" s="147"/>
    </row>
    <row r="551">
      <c r="B551" s="147"/>
    </row>
    <row r="552">
      <c r="B552" s="147"/>
    </row>
    <row r="553">
      <c r="B553" s="147"/>
    </row>
    <row r="554">
      <c r="B554" s="147"/>
    </row>
    <row r="555">
      <c r="B555" s="147"/>
    </row>
    <row r="556">
      <c r="B556" s="147"/>
    </row>
    <row r="557">
      <c r="B557" s="147"/>
    </row>
    <row r="558">
      <c r="B558" s="147"/>
    </row>
    <row r="559">
      <c r="B559" s="147"/>
    </row>
    <row r="560">
      <c r="B560" s="147"/>
    </row>
    <row r="561">
      <c r="B561" s="147"/>
    </row>
    <row r="562">
      <c r="B562" s="147"/>
    </row>
    <row r="563">
      <c r="B563" s="147"/>
    </row>
    <row r="564">
      <c r="B564" s="147"/>
    </row>
    <row r="565">
      <c r="B565" s="147"/>
    </row>
    <row r="566">
      <c r="B566" s="147"/>
    </row>
    <row r="567">
      <c r="B567" s="147"/>
    </row>
    <row r="568">
      <c r="B568" s="147"/>
    </row>
    <row r="569">
      <c r="B569" s="147"/>
    </row>
    <row r="570">
      <c r="B570" s="147"/>
    </row>
    <row r="571">
      <c r="B571" s="147"/>
    </row>
    <row r="572">
      <c r="B572" s="147"/>
    </row>
    <row r="573">
      <c r="B573" s="147"/>
    </row>
    <row r="574">
      <c r="B574" s="147"/>
    </row>
    <row r="575">
      <c r="B575" s="147"/>
    </row>
    <row r="576">
      <c r="B576" s="147"/>
    </row>
    <row r="577">
      <c r="B577" s="147"/>
    </row>
    <row r="578">
      <c r="B578" s="147"/>
    </row>
    <row r="579">
      <c r="B579" s="147"/>
    </row>
    <row r="580">
      <c r="B580" s="147"/>
    </row>
    <row r="581">
      <c r="B581" s="147"/>
    </row>
    <row r="582">
      <c r="B582" s="147"/>
    </row>
    <row r="583">
      <c r="B583" s="147"/>
    </row>
    <row r="584">
      <c r="B584" s="147"/>
    </row>
    <row r="585">
      <c r="B585" s="147"/>
    </row>
    <row r="586">
      <c r="B586" s="147"/>
    </row>
    <row r="587">
      <c r="B587" s="147"/>
    </row>
    <row r="588">
      <c r="B588" s="147"/>
    </row>
    <row r="589">
      <c r="B589" s="147"/>
    </row>
    <row r="590">
      <c r="B590" s="147"/>
    </row>
    <row r="591">
      <c r="B591" s="147"/>
    </row>
    <row r="592">
      <c r="B592" s="147"/>
    </row>
    <row r="593">
      <c r="B593" s="147"/>
    </row>
    <row r="594">
      <c r="B594" s="147"/>
    </row>
    <row r="595">
      <c r="B595" s="147"/>
    </row>
    <row r="596">
      <c r="B596" s="147"/>
    </row>
    <row r="597">
      <c r="B597" s="147"/>
    </row>
    <row r="598">
      <c r="B598" s="147"/>
    </row>
    <row r="599">
      <c r="B599" s="147"/>
    </row>
    <row r="600">
      <c r="B600" s="147"/>
    </row>
    <row r="601">
      <c r="B601" s="147"/>
    </row>
    <row r="602">
      <c r="B602" s="147"/>
    </row>
    <row r="603">
      <c r="B603" s="147"/>
    </row>
    <row r="604">
      <c r="B604" s="147"/>
    </row>
    <row r="605">
      <c r="B605" s="147"/>
    </row>
    <row r="606">
      <c r="B606" s="147"/>
    </row>
    <row r="607">
      <c r="B607" s="147"/>
    </row>
    <row r="608">
      <c r="B608" s="147"/>
    </row>
    <row r="609">
      <c r="B609" s="147"/>
    </row>
    <row r="610">
      <c r="B610" s="147"/>
    </row>
    <row r="611">
      <c r="B611" s="147"/>
    </row>
    <row r="612">
      <c r="B612" s="147"/>
    </row>
    <row r="613">
      <c r="B613" s="147"/>
    </row>
    <row r="614">
      <c r="B614" s="147"/>
    </row>
    <row r="615">
      <c r="B615" s="147"/>
    </row>
    <row r="616">
      <c r="B616" s="147"/>
    </row>
    <row r="617">
      <c r="B617" s="147"/>
    </row>
    <row r="618">
      <c r="B618" s="147"/>
    </row>
    <row r="619">
      <c r="B619" s="147"/>
    </row>
    <row r="620">
      <c r="B620" s="147"/>
    </row>
    <row r="621">
      <c r="B621" s="147"/>
    </row>
    <row r="622">
      <c r="B622" s="147"/>
    </row>
    <row r="623">
      <c r="B623" s="147"/>
    </row>
    <row r="624">
      <c r="B624" s="147"/>
    </row>
    <row r="625">
      <c r="B625" s="147"/>
    </row>
    <row r="626">
      <c r="B626" s="147"/>
    </row>
    <row r="627">
      <c r="B627" s="147"/>
    </row>
    <row r="628">
      <c r="B628" s="147"/>
    </row>
    <row r="629">
      <c r="B629" s="147"/>
    </row>
    <row r="630">
      <c r="B630" s="147"/>
    </row>
    <row r="631">
      <c r="B631" s="147"/>
    </row>
    <row r="632">
      <c r="B632" s="147"/>
    </row>
    <row r="633">
      <c r="B633" s="147"/>
    </row>
    <row r="634">
      <c r="B634" s="147"/>
    </row>
    <row r="635">
      <c r="B635" s="147"/>
    </row>
    <row r="636">
      <c r="B636" s="147"/>
    </row>
    <row r="637">
      <c r="B637" s="147"/>
    </row>
    <row r="638">
      <c r="B638" s="147"/>
    </row>
    <row r="639">
      <c r="B639" s="147"/>
    </row>
    <row r="640">
      <c r="B640" s="147"/>
    </row>
    <row r="641">
      <c r="B641" s="147"/>
    </row>
    <row r="642">
      <c r="B642" s="147"/>
    </row>
    <row r="643">
      <c r="B643" s="147"/>
    </row>
    <row r="644">
      <c r="B644" s="147"/>
    </row>
    <row r="645">
      <c r="B645" s="147"/>
    </row>
    <row r="646">
      <c r="B646" s="147"/>
    </row>
    <row r="647">
      <c r="B647" s="147"/>
    </row>
    <row r="648">
      <c r="B648" s="147"/>
    </row>
    <row r="649">
      <c r="B649" s="147"/>
    </row>
    <row r="650">
      <c r="B650" s="147"/>
    </row>
    <row r="651">
      <c r="B651" s="147"/>
    </row>
    <row r="652">
      <c r="B652" s="147"/>
    </row>
    <row r="653">
      <c r="B653" s="147"/>
    </row>
    <row r="654">
      <c r="B654" s="147"/>
    </row>
    <row r="655">
      <c r="B655" s="147"/>
    </row>
    <row r="656">
      <c r="B656" s="147"/>
    </row>
    <row r="657">
      <c r="B657" s="147"/>
    </row>
    <row r="658">
      <c r="B658" s="147"/>
    </row>
    <row r="659">
      <c r="B659" s="147"/>
    </row>
    <row r="660">
      <c r="B660" s="147"/>
    </row>
    <row r="661">
      <c r="B661" s="147"/>
    </row>
    <row r="662">
      <c r="B662" s="147"/>
    </row>
    <row r="663">
      <c r="B663" s="147"/>
    </row>
    <row r="664">
      <c r="B664" s="147"/>
    </row>
    <row r="665">
      <c r="B665" s="147"/>
    </row>
    <row r="666">
      <c r="B666" s="147"/>
    </row>
    <row r="667">
      <c r="B667" s="147"/>
    </row>
    <row r="668">
      <c r="B668" s="147"/>
    </row>
    <row r="669">
      <c r="B669" s="147"/>
    </row>
    <row r="670">
      <c r="B670" s="147"/>
    </row>
    <row r="671">
      <c r="B671" s="147"/>
    </row>
    <row r="672">
      <c r="B672" s="147"/>
    </row>
    <row r="673">
      <c r="B673" s="147"/>
    </row>
    <row r="674">
      <c r="B674" s="147"/>
    </row>
    <row r="675">
      <c r="B675" s="147"/>
    </row>
    <row r="676">
      <c r="B676" s="147"/>
    </row>
    <row r="677">
      <c r="B677" s="147"/>
    </row>
    <row r="678">
      <c r="B678" s="147"/>
    </row>
    <row r="679">
      <c r="B679" s="147"/>
    </row>
    <row r="680">
      <c r="B680" s="147"/>
    </row>
    <row r="681">
      <c r="B681" s="147"/>
    </row>
    <row r="682">
      <c r="B682" s="147"/>
    </row>
    <row r="683">
      <c r="B683" s="147"/>
    </row>
    <row r="684">
      <c r="B684" s="147"/>
    </row>
    <row r="685">
      <c r="B685" s="147"/>
    </row>
    <row r="686">
      <c r="B686" s="147"/>
    </row>
    <row r="687">
      <c r="B687" s="147"/>
    </row>
    <row r="688">
      <c r="B688" s="147"/>
    </row>
    <row r="689">
      <c r="B689" s="147"/>
    </row>
    <row r="690">
      <c r="B690" s="147"/>
    </row>
    <row r="691">
      <c r="B691" s="147"/>
    </row>
    <row r="692">
      <c r="B692" s="147"/>
    </row>
    <row r="693">
      <c r="B693" s="147"/>
    </row>
    <row r="694">
      <c r="B694" s="147"/>
    </row>
    <row r="695">
      <c r="B695" s="147"/>
    </row>
    <row r="696">
      <c r="B696" s="147"/>
    </row>
    <row r="697">
      <c r="B697" s="147"/>
    </row>
    <row r="698">
      <c r="B698" s="147"/>
    </row>
    <row r="699">
      <c r="B699" s="147"/>
    </row>
    <row r="700">
      <c r="B700" s="147"/>
    </row>
    <row r="701">
      <c r="B701" s="147"/>
    </row>
    <row r="702">
      <c r="B702" s="147"/>
    </row>
    <row r="703">
      <c r="B703" s="147"/>
    </row>
    <row r="704">
      <c r="B704" s="147"/>
    </row>
    <row r="705">
      <c r="B705" s="147"/>
    </row>
    <row r="706">
      <c r="B706" s="147"/>
    </row>
    <row r="707">
      <c r="B707" s="147"/>
    </row>
    <row r="708">
      <c r="B708" s="147"/>
    </row>
    <row r="709">
      <c r="B709" s="147"/>
    </row>
    <row r="710">
      <c r="B710" s="147"/>
    </row>
    <row r="711">
      <c r="B711" s="147"/>
    </row>
    <row r="712">
      <c r="B712" s="147"/>
    </row>
    <row r="713">
      <c r="B713" s="147"/>
    </row>
    <row r="714">
      <c r="B714" s="147"/>
    </row>
    <row r="715">
      <c r="B715" s="147"/>
    </row>
    <row r="716">
      <c r="B716" s="147"/>
    </row>
    <row r="717">
      <c r="B717" s="147"/>
    </row>
    <row r="718">
      <c r="B718" s="147"/>
    </row>
    <row r="719">
      <c r="B719" s="147"/>
    </row>
    <row r="720">
      <c r="B720" s="147"/>
    </row>
    <row r="721">
      <c r="B721" s="147"/>
    </row>
    <row r="722">
      <c r="B722" s="147"/>
    </row>
    <row r="723">
      <c r="B723" s="147"/>
    </row>
    <row r="724">
      <c r="B724" s="147"/>
    </row>
    <row r="725">
      <c r="B725" s="147"/>
    </row>
    <row r="726">
      <c r="B726" s="147"/>
    </row>
    <row r="727">
      <c r="B727" s="147"/>
    </row>
    <row r="728">
      <c r="B728" s="147"/>
    </row>
    <row r="729">
      <c r="B729" s="147"/>
    </row>
    <row r="730">
      <c r="B730" s="147"/>
    </row>
    <row r="731">
      <c r="B731" s="147"/>
    </row>
    <row r="732">
      <c r="B732" s="147"/>
    </row>
    <row r="733">
      <c r="B733" s="147"/>
    </row>
    <row r="734">
      <c r="B734" s="147"/>
    </row>
    <row r="735">
      <c r="B735" s="147"/>
    </row>
    <row r="736">
      <c r="B736" s="147"/>
    </row>
    <row r="737">
      <c r="B737" s="147"/>
    </row>
    <row r="738">
      <c r="B738" s="147"/>
    </row>
    <row r="739">
      <c r="B739" s="147"/>
    </row>
    <row r="740">
      <c r="B740" s="147"/>
    </row>
    <row r="741">
      <c r="B741" s="147"/>
    </row>
    <row r="742">
      <c r="B742" s="147"/>
    </row>
    <row r="743">
      <c r="B743" s="147"/>
    </row>
    <row r="744">
      <c r="B744" s="147"/>
    </row>
    <row r="745">
      <c r="B745" s="147"/>
    </row>
    <row r="746">
      <c r="B746" s="147"/>
    </row>
    <row r="747">
      <c r="B747" s="147"/>
    </row>
    <row r="748">
      <c r="B748" s="147"/>
    </row>
    <row r="749">
      <c r="B749" s="147"/>
    </row>
    <row r="750">
      <c r="B750" s="147"/>
    </row>
    <row r="751">
      <c r="B751" s="147"/>
    </row>
    <row r="752">
      <c r="B752" s="147"/>
    </row>
    <row r="753">
      <c r="B753" s="147"/>
    </row>
    <row r="754">
      <c r="B754" s="147"/>
    </row>
    <row r="755">
      <c r="B755" s="147"/>
    </row>
    <row r="756">
      <c r="B756" s="147"/>
    </row>
    <row r="757">
      <c r="B757" s="147"/>
    </row>
    <row r="758">
      <c r="B758" s="147"/>
    </row>
    <row r="759">
      <c r="B759" s="147"/>
    </row>
    <row r="760">
      <c r="B760" s="147"/>
    </row>
    <row r="761">
      <c r="B761" s="147"/>
    </row>
    <row r="762">
      <c r="B762" s="147"/>
    </row>
    <row r="763">
      <c r="B763" s="147"/>
    </row>
    <row r="764">
      <c r="B764" s="147"/>
    </row>
    <row r="765">
      <c r="B765" s="147"/>
    </row>
    <row r="766">
      <c r="B766" s="147"/>
    </row>
    <row r="767">
      <c r="B767" s="147"/>
    </row>
    <row r="768">
      <c r="B768" s="147"/>
    </row>
    <row r="769">
      <c r="B769" s="147"/>
    </row>
    <row r="770">
      <c r="B770" s="147"/>
    </row>
    <row r="771">
      <c r="B771" s="147"/>
    </row>
    <row r="772">
      <c r="B772" s="147"/>
    </row>
    <row r="773">
      <c r="B773" s="147"/>
    </row>
    <row r="774">
      <c r="B774" s="147"/>
    </row>
    <row r="775">
      <c r="B775" s="147"/>
    </row>
    <row r="776">
      <c r="B776" s="147"/>
    </row>
    <row r="777">
      <c r="B777" s="147"/>
    </row>
    <row r="778">
      <c r="B778" s="147"/>
    </row>
    <row r="779">
      <c r="B779" s="147"/>
    </row>
    <row r="780">
      <c r="B780" s="147"/>
    </row>
    <row r="781">
      <c r="B781" s="147"/>
    </row>
    <row r="782">
      <c r="B782" s="147"/>
    </row>
    <row r="783">
      <c r="B783" s="147"/>
    </row>
    <row r="784">
      <c r="B784" s="147"/>
    </row>
    <row r="785">
      <c r="B785" s="147"/>
    </row>
    <row r="786">
      <c r="B786" s="147"/>
    </row>
    <row r="787">
      <c r="B787" s="147"/>
    </row>
    <row r="788">
      <c r="B788" s="147"/>
    </row>
    <row r="789">
      <c r="B789" s="147"/>
    </row>
    <row r="790">
      <c r="B790" s="147"/>
    </row>
    <row r="791">
      <c r="B791" s="147"/>
    </row>
    <row r="792">
      <c r="B792" s="147"/>
    </row>
    <row r="793">
      <c r="B793" s="147"/>
    </row>
    <row r="794">
      <c r="B794" s="147"/>
    </row>
    <row r="795">
      <c r="B795" s="147"/>
    </row>
    <row r="796">
      <c r="B796" s="147"/>
    </row>
    <row r="797">
      <c r="B797" s="147"/>
    </row>
    <row r="798">
      <c r="B798" s="147"/>
    </row>
    <row r="799">
      <c r="B799" s="147"/>
    </row>
    <row r="800">
      <c r="B800" s="147"/>
    </row>
    <row r="801">
      <c r="B801" s="147"/>
    </row>
    <row r="802">
      <c r="B802" s="147"/>
    </row>
    <row r="803">
      <c r="B803" s="147"/>
    </row>
    <row r="804">
      <c r="B804" s="147"/>
    </row>
    <row r="805">
      <c r="B805" s="147"/>
    </row>
    <row r="806">
      <c r="B806" s="147"/>
    </row>
    <row r="807">
      <c r="B807" s="147"/>
    </row>
    <row r="808">
      <c r="B808" s="147"/>
    </row>
    <row r="809">
      <c r="B809" s="147"/>
    </row>
    <row r="810">
      <c r="B810" s="147"/>
    </row>
    <row r="811">
      <c r="B811" s="147"/>
    </row>
    <row r="812">
      <c r="B812" s="147"/>
    </row>
    <row r="813">
      <c r="B813" s="147"/>
    </row>
    <row r="814">
      <c r="B814" s="147"/>
    </row>
    <row r="815">
      <c r="B815" s="147"/>
    </row>
    <row r="816">
      <c r="B816" s="147"/>
    </row>
    <row r="817">
      <c r="B817" s="147"/>
    </row>
    <row r="818">
      <c r="B818" s="147"/>
    </row>
    <row r="819">
      <c r="B819" s="147"/>
    </row>
    <row r="820">
      <c r="B820" s="147"/>
    </row>
    <row r="821">
      <c r="B821" s="147"/>
    </row>
    <row r="822">
      <c r="B822" s="147"/>
    </row>
    <row r="823">
      <c r="B823" s="147"/>
    </row>
    <row r="824">
      <c r="B824" s="147"/>
    </row>
    <row r="825">
      <c r="B825" s="147"/>
    </row>
    <row r="826">
      <c r="B826" s="147"/>
    </row>
    <row r="827">
      <c r="B827" s="147"/>
    </row>
    <row r="828">
      <c r="B828" s="147"/>
    </row>
    <row r="829">
      <c r="B829" s="147"/>
    </row>
    <row r="830">
      <c r="B830" s="147"/>
    </row>
    <row r="831">
      <c r="B831" s="147"/>
    </row>
    <row r="832">
      <c r="B832" s="147"/>
    </row>
    <row r="833">
      <c r="B833" s="147"/>
    </row>
    <row r="834">
      <c r="B834" s="147"/>
    </row>
    <row r="835">
      <c r="B835" s="147"/>
    </row>
    <row r="836">
      <c r="B836" s="147"/>
    </row>
    <row r="837">
      <c r="B837" s="147"/>
    </row>
    <row r="838">
      <c r="B838" s="147"/>
    </row>
    <row r="839">
      <c r="B839" s="147"/>
    </row>
    <row r="840">
      <c r="B840" s="147"/>
    </row>
    <row r="841">
      <c r="B841" s="147"/>
    </row>
    <row r="842">
      <c r="B842" s="147"/>
    </row>
    <row r="843">
      <c r="B843" s="147"/>
    </row>
    <row r="844">
      <c r="B844" s="147"/>
    </row>
    <row r="845">
      <c r="B845" s="147"/>
    </row>
    <row r="846">
      <c r="B846" s="147"/>
    </row>
    <row r="847">
      <c r="B847" s="147"/>
    </row>
    <row r="848">
      <c r="B848" s="147"/>
    </row>
    <row r="849">
      <c r="B849" s="147"/>
    </row>
    <row r="850">
      <c r="B850" s="147"/>
    </row>
    <row r="851">
      <c r="B851" s="147"/>
    </row>
    <row r="852">
      <c r="B852" s="147"/>
    </row>
    <row r="853">
      <c r="B853" s="147"/>
    </row>
    <row r="854">
      <c r="B854" s="147"/>
    </row>
    <row r="855">
      <c r="B855" s="147"/>
    </row>
    <row r="856">
      <c r="B856" s="147"/>
    </row>
    <row r="857">
      <c r="B857" s="147"/>
    </row>
    <row r="858">
      <c r="B858" s="147"/>
    </row>
    <row r="859">
      <c r="B859" s="147"/>
    </row>
    <row r="860">
      <c r="B860" s="147"/>
    </row>
    <row r="861">
      <c r="B861" s="147"/>
    </row>
    <row r="862">
      <c r="B862" s="147"/>
    </row>
    <row r="863">
      <c r="B863" s="147"/>
    </row>
    <row r="864">
      <c r="B864" s="147"/>
    </row>
    <row r="865">
      <c r="B865" s="147"/>
    </row>
    <row r="866">
      <c r="B866" s="147"/>
    </row>
    <row r="867">
      <c r="B867" s="147"/>
    </row>
    <row r="868">
      <c r="B868" s="147"/>
    </row>
    <row r="869">
      <c r="B869" s="147"/>
    </row>
    <row r="870">
      <c r="B870" s="147"/>
    </row>
    <row r="871">
      <c r="B871" s="147"/>
    </row>
    <row r="872">
      <c r="B872" s="147"/>
    </row>
    <row r="873">
      <c r="B873" s="147"/>
    </row>
    <row r="874">
      <c r="B874" s="147"/>
    </row>
    <row r="875">
      <c r="B875" s="147"/>
    </row>
    <row r="876">
      <c r="B876" s="147"/>
    </row>
    <row r="877">
      <c r="B877" s="147"/>
    </row>
    <row r="878">
      <c r="B878" s="147"/>
    </row>
    <row r="879">
      <c r="B879" s="147"/>
    </row>
    <row r="880">
      <c r="B880" s="147"/>
    </row>
    <row r="881">
      <c r="B881" s="147"/>
    </row>
    <row r="882">
      <c r="B882" s="147"/>
    </row>
    <row r="883">
      <c r="B883" s="147"/>
    </row>
    <row r="884">
      <c r="B884" s="147"/>
    </row>
    <row r="885">
      <c r="B885" s="147"/>
    </row>
    <row r="886">
      <c r="B886" s="147"/>
    </row>
    <row r="887">
      <c r="B887" s="147"/>
    </row>
    <row r="888">
      <c r="B888" s="147"/>
    </row>
    <row r="889">
      <c r="B889" s="147"/>
    </row>
    <row r="890">
      <c r="B890" s="147"/>
    </row>
    <row r="891">
      <c r="B891" s="147"/>
    </row>
    <row r="892">
      <c r="B892" s="147"/>
    </row>
    <row r="893">
      <c r="B893" s="147"/>
    </row>
    <row r="894">
      <c r="B894" s="147"/>
    </row>
    <row r="895">
      <c r="B895" s="147"/>
    </row>
    <row r="896">
      <c r="B896" s="147"/>
    </row>
    <row r="897">
      <c r="B897" s="147"/>
    </row>
    <row r="898">
      <c r="B898" s="147"/>
    </row>
    <row r="899">
      <c r="B899" s="147"/>
    </row>
    <row r="900">
      <c r="B900" s="147"/>
    </row>
    <row r="901">
      <c r="B901" s="147"/>
    </row>
    <row r="902">
      <c r="B902" s="147"/>
    </row>
    <row r="903">
      <c r="B903" s="147"/>
    </row>
    <row r="904">
      <c r="B904" s="147"/>
    </row>
    <row r="905">
      <c r="B905" s="147"/>
    </row>
    <row r="906">
      <c r="B906" s="147"/>
    </row>
    <row r="907">
      <c r="B907" s="147"/>
    </row>
    <row r="908">
      <c r="B908" s="147"/>
    </row>
    <row r="909">
      <c r="B909" s="147"/>
    </row>
    <row r="910">
      <c r="B910" s="147"/>
    </row>
    <row r="911">
      <c r="B911" s="147"/>
    </row>
    <row r="912">
      <c r="B912" s="147"/>
    </row>
    <row r="913">
      <c r="B913" s="147"/>
    </row>
    <row r="914">
      <c r="B914" s="147"/>
    </row>
    <row r="915">
      <c r="B915" s="147"/>
    </row>
    <row r="916">
      <c r="B916" s="147"/>
    </row>
    <row r="917">
      <c r="B917" s="147"/>
    </row>
    <row r="918">
      <c r="B918" s="147"/>
    </row>
    <row r="919">
      <c r="B919" s="147"/>
    </row>
    <row r="920">
      <c r="B920" s="147"/>
    </row>
    <row r="921">
      <c r="B921" s="147"/>
    </row>
    <row r="922">
      <c r="B922" s="147"/>
    </row>
    <row r="923">
      <c r="B923" s="147"/>
    </row>
    <row r="924">
      <c r="B924" s="147"/>
    </row>
    <row r="925">
      <c r="B925" s="147"/>
    </row>
    <row r="926">
      <c r="B926" s="147"/>
    </row>
    <row r="927">
      <c r="B927" s="147"/>
    </row>
    <row r="928">
      <c r="B928" s="147"/>
    </row>
    <row r="929">
      <c r="B929" s="147"/>
    </row>
    <row r="930">
      <c r="B930" s="147"/>
    </row>
    <row r="931">
      <c r="B931" s="147"/>
    </row>
    <row r="932">
      <c r="B932" s="147"/>
    </row>
    <row r="933">
      <c r="B933" s="147"/>
    </row>
    <row r="934">
      <c r="B934" s="147"/>
    </row>
    <row r="935">
      <c r="B935" s="147"/>
    </row>
    <row r="936">
      <c r="B936" s="147"/>
    </row>
    <row r="937">
      <c r="B937" s="147"/>
    </row>
    <row r="938">
      <c r="B938" s="147"/>
    </row>
    <row r="939">
      <c r="B939" s="147"/>
    </row>
    <row r="940">
      <c r="B940" s="147"/>
    </row>
    <row r="941">
      <c r="B941" s="147"/>
    </row>
    <row r="942">
      <c r="B942" s="147"/>
    </row>
    <row r="943">
      <c r="B943" s="147"/>
    </row>
    <row r="944">
      <c r="B944" s="147"/>
    </row>
    <row r="945">
      <c r="B945" s="147"/>
    </row>
    <row r="946">
      <c r="B946" s="147"/>
    </row>
    <row r="947">
      <c r="B947" s="147"/>
    </row>
    <row r="948">
      <c r="B948" s="147"/>
    </row>
    <row r="949">
      <c r="B949" s="147"/>
    </row>
    <row r="950">
      <c r="B950" s="147"/>
    </row>
    <row r="951">
      <c r="B951" s="147"/>
    </row>
    <row r="952">
      <c r="B952" s="147"/>
    </row>
    <row r="953">
      <c r="B953" s="147"/>
    </row>
    <row r="954">
      <c r="B954" s="147"/>
    </row>
    <row r="955">
      <c r="B955" s="147"/>
    </row>
    <row r="956">
      <c r="B956" s="147"/>
    </row>
    <row r="957">
      <c r="B957" s="147"/>
    </row>
    <row r="958">
      <c r="B958" s="147"/>
    </row>
    <row r="959">
      <c r="B959" s="147"/>
    </row>
    <row r="960">
      <c r="B960" s="147"/>
    </row>
    <row r="961">
      <c r="B961" s="147"/>
    </row>
    <row r="962">
      <c r="B962" s="147"/>
    </row>
    <row r="963">
      <c r="B963" s="147"/>
    </row>
    <row r="964">
      <c r="B964" s="147"/>
    </row>
    <row r="965">
      <c r="B965" s="147"/>
    </row>
    <row r="966">
      <c r="B966" s="147"/>
    </row>
    <row r="967">
      <c r="B967" s="147"/>
    </row>
    <row r="968">
      <c r="B968" s="147"/>
    </row>
    <row r="969">
      <c r="B969" s="147"/>
    </row>
    <row r="970">
      <c r="B970" s="147"/>
    </row>
    <row r="971">
      <c r="B971" s="147"/>
    </row>
    <row r="972">
      <c r="B972" s="147"/>
    </row>
    <row r="973">
      <c r="B973" s="147"/>
    </row>
    <row r="974">
      <c r="B974" s="147"/>
    </row>
    <row r="975">
      <c r="B975" s="147"/>
    </row>
    <row r="976">
      <c r="B976" s="147"/>
    </row>
    <row r="977">
      <c r="B977" s="147"/>
    </row>
    <row r="978">
      <c r="B978" s="147"/>
    </row>
    <row r="979">
      <c r="B979" s="147"/>
    </row>
    <row r="980">
      <c r="B980" s="147"/>
    </row>
    <row r="981">
      <c r="B981" s="147"/>
    </row>
    <row r="982">
      <c r="B982" s="147"/>
    </row>
    <row r="983">
      <c r="B983" s="147"/>
    </row>
    <row r="984">
      <c r="B984" s="147"/>
    </row>
    <row r="985">
      <c r="B985" s="147"/>
    </row>
    <row r="986">
      <c r="B986" s="147"/>
    </row>
    <row r="987">
      <c r="B987" s="147"/>
    </row>
    <row r="988">
      <c r="B988" s="147"/>
    </row>
    <row r="989">
      <c r="B989" s="147"/>
    </row>
    <row r="990">
      <c r="B990" s="147"/>
    </row>
    <row r="991">
      <c r="B991" s="147"/>
    </row>
    <row r="992">
      <c r="B992" s="147"/>
    </row>
    <row r="993">
      <c r="B993" s="147"/>
    </row>
    <row r="994">
      <c r="B994" s="147"/>
    </row>
    <row r="995">
      <c r="B995" s="147"/>
    </row>
    <row r="996">
      <c r="B996" s="147"/>
    </row>
    <row r="997">
      <c r="B997" s="147"/>
    </row>
    <row r="998">
      <c r="B998" s="147"/>
    </row>
    <row r="999">
      <c r="B999" s="147"/>
    </row>
    <row r="1000">
      <c r="B1000" s="147"/>
    </row>
    <row r="1001">
      <c r="B1001" s="147"/>
    </row>
    <row r="1002">
      <c r="B1002" s="147"/>
    </row>
  </sheetData>
  <mergeCells count="27">
    <mergeCell ref="B2:B6"/>
    <mergeCell ref="B7:B15"/>
    <mergeCell ref="B17:B25"/>
    <mergeCell ref="B26:B28"/>
    <mergeCell ref="B29:B39"/>
    <mergeCell ref="C29:C39"/>
    <mergeCell ref="D29:D39"/>
    <mergeCell ref="C69:C71"/>
    <mergeCell ref="D69:D71"/>
    <mergeCell ref="B42:B44"/>
    <mergeCell ref="B45:B50"/>
    <mergeCell ref="C45:C50"/>
    <mergeCell ref="D45:D50"/>
    <mergeCell ref="B51:B64"/>
    <mergeCell ref="C51:C64"/>
    <mergeCell ref="B69:B71"/>
    <mergeCell ref="B95:B97"/>
    <mergeCell ref="C95:C97"/>
    <mergeCell ref="D95:D97"/>
    <mergeCell ref="B98:B99"/>
    <mergeCell ref="B73:B84"/>
    <mergeCell ref="C73:C84"/>
    <mergeCell ref="B85:B86"/>
    <mergeCell ref="B87:B90"/>
    <mergeCell ref="B91:B93"/>
    <mergeCell ref="C91:C93"/>
    <mergeCell ref="D91:D93"/>
  </mergeCells>
  <hyperlinks>
    <hyperlink r:id="rId1" ref="H12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86"/>
    <col customWidth="1" min="3" max="3" width="53.29"/>
    <col customWidth="1" min="4" max="4" width="44.29"/>
    <col customWidth="1" min="5" max="5" width="171.71"/>
  </cols>
  <sheetData>
    <row r="1">
      <c r="A1" s="155"/>
      <c r="B1" s="155" t="s">
        <v>1498</v>
      </c>
    </row>
    <row r="2">
      <c r="A2" s="155"/>
      <c r="B2" s="155"/>
      <c r="C2" s="24"/>
      <c r="D2" s="24"/>
      <c r="E2" s="24"/>
    </row>
    <row r="3">
      <c r="A3" s="155" t="s">
        <v>1499</v>
      </c>
      <c r="B3" s="131" t="s">
        <v>1500</v>
      </c>
      <c r="C3" s="15" t="s">
        <v>816</v>
      </c>
      <c r="D3" s="15" t="s">
        <v>1181</v>
      </c>
      <c r="E3" s="15" t="s">
        <v>1501</v>
      </c>
    </row>
    <row r="4">
      <c r="A4" s="139" t="s">
        <v>88</v>
      </c>
      <c r="B4" s="132" t="s">
        <v>820</v>
      </c>
      <c r="C4" s="156" t="s">
        <v>460</v>
      </c>
      <c r="D4" s="133" t="s">
        <v>820</v>
      </c>
      <c r="E4" s="77" t="s">
        <v>1185</v>
      </c>
    </row>
    <row r="5">
      <c r="A5" s="140" t="s">
        <v>1187</v>
      </c>
      <c r="B5" s="134"/>
      <c r="C5" s="156" t="s">
        <v>460</v>
      </c>
      <c r="D5" s="157" t="s">
        <v>820</v>
      </c>
      <c r="E5" s="77" t="s">
        <v>1189</v>
      </c>
    </row>
    <row r="6">
      <c r="A6" s="140" t="s">
        <v>1191</v>
      </c>
      <c r="B6" s="134"/>
      <c r="C6" s="156" t="s">
        <v>460</v>
      </c>
      <c r="D6" s="157" t="s">
        <v>820</v>
      </c>
      <c r="E6" s="77" t="s">
        <v>1192</v>
      </c>
    </row>
    <row r="7">
      <c r="A7" s="140" t="s">
        <v>89</v>
      </c>
      <c r="B7" s="134"/>
      <c r="C7" s="156" t="s">
        <v>460</v>
      </c>
      <c r="D7" s="157" t="s">
        <v>820</v>
      </c>
      <c r="E7" s="18" t="s">
        <v>1502</v>
      </c>
    </row>
    <row r="8">
      <c r="A8" s="158" t="s">
        <v>1503</v>
      </c>
      <c r="B8" s="135"/>
      <c r="C8" s="156" t="s">
        <v>449</v>
      </c>
      <c r="D8" s="159" t="s">
        <v>820</v>
      </c>
      <c r="E8" s="160" t="s">
        <v>1194</v>
      </c>
      <c r="F8" s="161"/>
      <c r="G8" s="161"/>
      <c r="H8" s="161"/>
      <c r="I8" s="161"/>
      <c r="J8" s="161"/>
      <c r="K8" s="161"/>
      <c r="L8" s="161"/>
      <c r="M8" s="161"/>
      <c r="N8" s="161"/>
      <c r="O8" s="161"/>
      <c r="P8" s="161"/>
      <c r="Q8" s="161"/>
      <c r="R8" s="161"/>
      <c r="S8" s="161"/>
      <c r="T8" s="161"/>
      <c r="U8" s="161"/>
      <c r="V8" s="161"/>
      <c r="W8" s="161"/>
      <c r="X8" s="161"/>
      <c r="Y8" s="161"/>
    </row>
    <row r="9">
      <c r="A9" s="139" t="s">
        <v>1195</v>
      </c>
      <c r="B9" s="136" t="s">
        <v>1196</v>
      </c>
      <c r="C9" s="133" t="s">
        <v>449</v>
      </c>
      <c r="D9" s="133" t="s">
        <v>822</v>
      </c>
      <c r="E9" s="77" t="s">
        <v>1197</v>
      </c>
    </row>
    <row r="10">
      <c r="A10" s="140" t="s">
        <v>1198</v>
      </c>
      <c r="B10" s="134"/>
      <c r="C10" s="133" t="s">
        <v>449</v>
      </c>
      <c r="D10" s="133" t="s">
        <v>822</v>
      </c>
      <c r="E10" s="77" t="s">
        <v>1199</v>
      </c>
    </row>
    <row r="11">
      <c r="A11" s="140" t="s">
        <v>1200</v>
      </c>
      <c r="B11" s="134"/>
      <c r="C11" s="133" t="s">
        <v>449</v>
      </c>
      <c r="D11" s="133" t="s">
        <v>822</v>
      </c>
      <c r="E11" s="77" t="s">
        <v>1201</v>
      </c>
    </row>
    <row r="12">
      <c r="A12" s="162" t="s">
        <v>1504</v>
      </c>
      <c r="B12" s="134"/>
      <c r="C12" s="160" t="s">
        <v>828</v>
      </c>
      <c r="D12" s="160" t="s">
        <v>1505</v>
      </c>
      <c r="E12" s="160" t="s">
        <v>1506</v>
      </c>
      <c r="F12" s="161"/>
      <c r="G12" s="161"/>
      <c r="H12" s="161"/>
      <c r="I12" s="161"/>
      <c r="J12" s="161"/>
      <c r="K12" s="161"/>
      <c r="L12" s="161"/>
      <c r="M12" s="161"/>
      <c r="N12" s="161"/>
      <c r="O12" s="161"/>
      <c r="P12" s="161"/>
      <c r="Q12" s="161"/>
      <c r="R12" s="161"/>
      <c r="S12" s="161"/>
      <c r="T12" s="161"/>
      <c r="U12" s="161"/>
      <c r="V12" s="161"/>
      <c r="W12" s="161"/>
      <c r="X12" s="161"/>
      <c r="Y12" s="161"/>
    </row>
    <row r="13">
      <c r="A13" s="162" t="s">
        <v>1507</v>
      </c>
      <c r="B13" s="134"/>
      <c r="C13" s="160" t="s">
        <v>832</v>
      </c>
      <c r="D13" s="160" t="s">
        <v>832</v>
      </c>
      <c r="E13" s="160" t="s">
        <v>1508</v>
      </c>
      <c r="F13" s="161"/>
      <c r="G13" s="161"/>
      <c r="H13" s="161"/>
      <c r="I13" s="161"/>
      <c r="J13" s="161"/>
      <c r="K13" s="161"/>
      <c r="L13" s="161"/>
      <c r="M13" s="161"/>
      <c r="N13" s="161"/>
      <c r="O13" s="161"/>
      <c r="P13" s="161"/>
      <c r="Q13" s="161"/>
      <c r="R13" s="161"/>
      <c r="S13" s="161"/>
      <c r="T13" s="161"/>
      <c r="U13" s="161"/>
      <c r="V13" s="161"/>
      <c r="W13" s="161"/>
      <c r="X13" s="161"/>
      <c r="Y13" s="161"/>
    </row>
    <row r="14">
      <c r="A14" s="162" t="s">
        <v>1509</v>
      </c>
      <c r="B14" s="134"/>
      <c r="C14" s="160" t="s">
        <v>460</v>
      </c>
      <c r="D14" s="160" t="s">
        <v>836</v>
      </c>
      <c r="E14" s="160" t="s">
        <v>1510</v>
      </c>
      <c r="F14" s="161"/>
      <c r="G14" s="161"/>
      <c r="H14" s="161"/>
      <c r="I14" s="161"/>
      <c r="J14" s="161"/>
      <c r="K14" s="161"/>
      <c r="L14" s="161"/>
      <c r="M14" s="161"/>
      <c r="N14" s="161"/>
      <c r="O14" s="161"/>
      <c r="P14" s="161"/>
      <c r="Q14" s="161"/>
      <c r="R14" s="161"/>
      <c r="S14" s="161"/>
      <c r="T14" s="161"/>
      <c r="U14" s="161"/>
      <c r="V14" s="161"/>
      <c r="W14" s="161"/>
      <c r="X14" s="161"/>
      <c r="Y14" s="161"/>
    </row>
    <row r="15">
      <c r="A15" s="140" t="s">
        <v>1206</v>
      </c>
      <c r="B15" s="134"/>
      <c r="C15" s="18" t="s">
        <v>460</v>
      </c>
      <c r="D15" s="77" t="s">
        <v>840</v>
      </c>
      <c r="E15" s="18" t="s">
        <v>1208</v>
      </c>
    </row>
    <row r="16">
      <c r="A16" s="140" t="s">
        <v>104</v>
      </c>
      <c r="B16" s="134"/>
      <c r="C16" s="18" t="s">
        <v>460</v>
      </c>
      <c r="D16" s="77" t="s">
        <v>840</v>
      </c>
      <c r="E16" s="77" t="s">
        <v>105</v>
      </c>
    </row>
    <row r="17">
      <c r="A17" s="140" t="s">
        <v>111</v>
      </c>
      <c r="B17" s="134"/>
      <c r="C17" s="133" t="s">
        <v>449</v>
      </c>
      <c r="D17" s="133" t="s">
        <v>1209</v>
      </c>
      <c r="E17" s="18" t="s">
        <v>1211</v>
      </c>
    </row>
    <row r="18">
      <c r="A18" s="140" t="s">
        <v>1212</v>
      </c>
      <c r="B18" s="134"/>
      <c r="C18" s="133" t="s">
        <v>449</v>
      </c>
      <c r="D18" s="133" t="s">
        <v>822</v>
      </c>
      <c r="E18" s="77" t="s">
        <v>1214</v>
      </c>
    </row>
    <row r="19">
      <c r="A19" s="140" t="s">
        <v>1215</v>
      </c>
      <c r="B19" s="135"/>
      <c r="C19" s="133" t="s">
        <v>449</v>
      </c>
      <c r="D19" s="133" t="s">
        <v>822</v>
      </c>
      <c r="E19" s="77" t="s">
        <v>1216</v>
      </c>
    </row>
    <row r="20">
      <c r="A20" s="163" t="s">
        <v>1217</v>
      </c>
      <c r="B20" s="164" t="s">
        <v>1218</v>
      </c>
      <c r="C20" s="165" t="s">
        <v>843</v>
      </c>
      <c r="D20" s="138" t="s">
        <v>843</v>
      </c>
      <c r="E20" s="18" t="s">
        <v>1220</v>
      </c>
    </row>
    <row r="21">
      <c r="A21" s="77" t="s">
        <v>1221</v>
      </c>
      <c r="B21" s="136" t="s">
        <v>1222</v>
      </c>
      <c r="C21" s="18" t="s">
        <v>460</v>
      </c>
      <c r="D21" s="18" t="s">
        <v>847</v>
      </c>
      <c r="E21" s="77" t="s">
        <v>1223</v>
      </c>
    </row>
    <row r="22">
      <c r="A22" s="166" t="s">
        <v>1511</v>
      </c>
      <c r="B22" s="134"/>
      <c r="C22" s="160" t="s">
        <v>460</v>
      </c>
      <c r="D22" s="160" t="s">
        <v>797</v>
      </c>
      <c r="E22" s="167" t="s">
        <v>1225</v>
      </c>
      <c r="F22" s="161"/>
      <c r="G22" s="161"/>
      <c r="H22" s="161"/>
      <c r="I22" s="161"/>
      <c r="J22" s="161"/>
      <c r="K22" s="161"/>
      <c r="L22" s="161"/>
      <c r="M22" s="161"/>
      <c r="N22" s="161"/>
      <c r="O22" s="161"/>
      <c r="P22" s="161"/>
      <c r="Q22" s="161"/>
      <c r="R22" s="161"/>
      <c r="S22" s="161"/>
      <c r="T22" s="161"/>
      <c r="U22" s="161"/>
      <c r="V22" s="161"/>
      <c r="W22" s="161"/>
      <c r="X22" s="161"/>
      <c r="Y22" s="161"/>
    </row>
    <row r="23">
      <c r="A23" s="148" t="s">
        <v>1512</v>
      </c>
      <c r="B23" s="134"/>
      <c r="C23" s="18" t="s">
        <v>460</v>
      </c>
      <c r="D23" s="18" t="s">
        <v>854</v>
      </c>
      <c r="E23" s="77" t="s">
        <v>1227</v>
      </c>
    </row>
    <row r="24">
      <c r="A24" s="148" t="s">
        <v>1228</v>
      </c>
      <c r="B24" s="134"/>
      <c r="C24" s="18" t="s">
        <v>460</v>
      </c>
      <c r="D24" s="18" t="s">
        <v>854</v>
      </c>
      <c r="E24" s="18" t="s">
        <v>1230</v>
      </c>
    </row>
    <row r="25">
      <c r="A25" s="148" t="s">
        <v>1231</v>
      </c>
      <c r="B25" s="134"/>
      <c r="C25" s="18" t="s">
        <v>460</v>
      </c>
      <c r="D25" s="18" t="s">
        <v>854</v>
      </c>
      <c r="E25" s="18" t="s">
        <v>1233</v>
      </c>
    </row>
    <row r="26">
      <c r="A26" s="148" t="s">
        <v>1234</v>
      </c>
      <c r="B26" s="134"/>
      <c r="C26" s="18" t="s">
        <v>460</v>
      </c>
      <c r="D26" s="18" t="s">
        <v>854</v>
      </c>
      <c r="E26" s="77" t="s">
        <v>1235</v>
      </c>
    </row>
    <row r="27">
      <c r="A27" s="148" t="s">
        <v>1236</v>
      </c>
      <c r="B27" s="134"/>
      <c r="C27" s="18" t="s">
        <v>460</v>
      </c>
      <c r="D27" s="18" t="s">
        <v>857</v>
      </c>
      <c r="E27" s="18" t="s">
        <v>1238</v>
      </c>
    </row>
    <row r="28">
      <c r="A28" s="168" t="s">
        <v>1513</v>
      </c>
      <c r="B28" s="134"/>
      <c r="C28" s="160" t="s">
        <v>460</v>
      </c>
      <c r="D28" s="160" t="s">
        <v>854</v>
      </c>
      <c r="E28" s="167" t="s">
        <v>1240</v>
      </c>
      <c r="F28" s="161"/>
      <c r="G28" s="161"/>
      <c r="H28" s="161"/>
      <c r="I28" s="161"/>
      <c r="J28" s="161"/>
      <c r="K28" s="161"/>
      <c r="L28" s="161"/>
      <c r="M28" s="161"/>
      <c r="N28" s="161"/>
      <c r="O28" s="161"/>
      <c r="P28" s="161"/>
      <c r="Q28" s="161"/>
      <c r="R28" s="161"/>
      <c r="S28" s="161"/>
      <c r="T28" s="161"/>
      <c r="U28" s="161"/>
      <c r="V28" s="161"/>
      <c r="W28" s="161"/>
      <c r="X28" s="161"/>
      <c r="Y28" s="161"/>
    </row>
    <row r="29">
      <c r="A29" s="148" t="s">
        <v>1241</v>
      </c>
      <c r="B29" s="135"/>
      <c r="C29" s="167" t="s">
        <v>860</v>
      </c>
      <c r="D29" s="77" t="s">
        <v>860</v>
      </c>
      <c r="E29" s="18" t="s">
        <v>1243</v>
      </c>
    </row>
    <row r="30">
      <c r="A30" s="168" t="s">
        <v>1514</v>
      </c>
      <c r="B30" s="169" t="s">
        <v>1244</v>
      </c>
      <c r="C30" s="160" t="s">
        <v>864</v>
      </c>
      <c r="D30" s="160" t="s">
        <v>865</v>
      </c>
      <c r="E30" s="160" t="s">
        <v>1246</v>
      </c>
      <c r="F30" s="161"/>
      <c r="G30" s="161"/>
      <c r="H30" s="161"/>
      <c r="I30" s="161"/>
      <c r="J30" s="161"/>
      <c r="K30" s="161"/>
      <c r="L30" s="161"/>
      <c r="M30" s="161"/>
      <c r="N30" s="161"/>
      <c r="O30" s="161"/>
      <c r="P30" s="161"/>
      <c r="Q30" s="161"/>
      <c r="R30" s="161"/>
      <c r="S30" s="161"/>
      <c r="T30" s="161"/>
      <c r="U30" s="161"/>
      <c r="V30" s="161"/>
      <c r="W30" s="161"/>
      <c r="X30" s="161"/>
      <c r="Y30" s="161"/>
    </row>
    <row r="31">
      <c r="A31" s="148" t="s">
        <v>1247</v>
      </c>
      <c r="B31" s="134"/>
      <c r="C31" s="18" t="s">
        <v>864</v>
      </c>
      <c r="D31" s="18" t="s">
        <v>869</v>
      </c>
      <c r="E31" s="18" t="s">
        <v>1249</v>
      </c>
    </row>
    <row r="32">
      <c r="A32" s="170" t="s">
        <v>1515</v>
      </c>
      <c r="B32" s="135"/>
      <c r="C32" s="18" t="s">
        <v>864</v>
      </c>
      <c r="D32" s="77" t="s">
        <v>873</v>
      </c>
      <c r="E32" s="18" t="s">
        <v>1251</v>
      </c>
    </row>
    <row r="33">
      <c r="A33" s="171" t="s">
        <v>1516</v>
      </c>
      <c r="B33" s="137"/>
      <c r="C33" s="137" t="s">
        <v>1517</v>
      </c>
      <c r="D33" s="137"/>
      <c r="E33" s="18" t="s">
        <v>1518</v>
      </c>
    </row>
    <row r="34">
      <c r="A34" s="148" t="s">
        <v>219</v>
      </c>
      <c r="B34" s="136" t="s">
        <v>1252</v>
      </c>
      <c r="C34" s="136" t="s">
        <v>1252</v>
      </c>
      <c r="D34" s="136" t="s">
        <v>1252</v>
      </c>
      <c r="E34" s="77" t="s">
        <v>1253</v>
      </c>
    </row>
    <row r="35">
      <c r="A35" s="148" t="s">
        <v>1254</v>
      </c>
      <c r="B35" s="134"/>
      <c r="C35" s="143"/>
      <c r="D35" s="143"/>
      <c r="E35" s="18" t="s">
        <v>1255</v>
      </c>
    </row>
    <row r="36">
      <c r="A36" s="148" t="s">
        <v>1256</v>
      </c>
      <c r="B36" s="134"/>
      <c r="C36" s="172" t="s">
        <v>1252</v>
      </c>
      <c r="D36" s="173" t="s">
        <v>171</v>
      </c>
      <c r="E36" s="18" t="s">
        <v>1257</v>
      </c>
    </row>
    <row r="37">
      <c r="A37" s="148" t="s">
        <v>1258</v>
      </c>
      <c r="B37" s="134"/>
      <c r="C37" s="143"/>
      <c r="D37" s="143"/>
      <c r="E37" s="18" t="s">
        <v>693</v>
      </c>
    </row>
    <row r="38">
      <c r="A38" s="170" t="s">
        <v>1519</v>
      </c>
      <c r="B38" s="134"/>
      <c r="C38" s="143"/>
      <c r="D38" s="143"/>
      <c r="E38" s="77" t="s">
        <v>1260</v>
      </c>
    </row>
    <row r="39">
      <c r="A39" s="170" t="s">
        <v>1520</v>
      </c>
      <c r="B39" s="134"/>
      <c r="C39" s="143" t="s">
        <v>1521</v>
      </c>
      <c r="D39" s="143" t="s">
        <v>1521</v>
      </c>
      <c r="E39" s="18" t="s">
        <v>1521</v>
      </c>
    </row>
    <row r="40">
      <c r="A40" s="148" t="s">
        <v>1261</v>
      </c>
      <c r="B40" s="134"/>
      <c r="C40" s="143"/>
      <c r="D40" s="143"/>
      <c r="E40" s="18" t="s">
        <v>1262</v>
      </c>
    </row>
    <row r="41">
      <c r="A41" s="148" t="s">
        <v>1263</v>
      </c>
      <c r="B41" s="134"/>
      <c r="C41" s="143"/>
      <c r="D41" s="143"/>
      <c r="E41" s="18" t="s">
        <v>1264</v>
      </c>
    </row>
    <row r="42">
      <c r="A42" s="148" t="s">
        <v>1522</v>
      </c>
      <c r="B42" s="134"/>
      <c r="C42" s="143"/>
      <c r="D42" s="143"/>
      <c r="E42" s="18" t="s">
        <v>1266</v>
      </c>
    </row>
    <row r="43">
      <c r="A43" s="148" t="s">
        <v>1267</v>
      </c>
      <c r="B43" s="134"/>
      <c r="C43" s="143"/>
      <c r="D43" s="143"/>
      <c r="E43" s="18" t="s">
        <v>1268</v>
      </c>
    </row>
    <row r="44">
      <c r="A44" s="148" t="s">
        <v>281</v>
      </c>
      <c r="B44" s="134"/>
      <c r="C44" s="143"/>
      <c r="D44" s="143"/>
      <c r="E44" s="77" t="s">
        <v>1269</v>
      </c>
    </row>
    <row r="45">
      <c r="A45" s="168" t="s">
        <v>1523</v>
      </c>
      <c r="B45" s="134"/>
      <c r="C45" s="143"/>
      <c r="D45" s="143"/>
      <c r="E45" s="160" t="s">
        <v>1270</v>
      </c>
      <c r="F45" s="161"/>
      <c r="G45" s="161"/>
      <c r="H45" s="161"/>
      <c r="I45" s="161"/>
      <c r="J45" s="161"/>
      <c r="K45" s="161"/>
      <c r="L45" s="161"/>
      <c r="M45" s="161"/>
      <c r="N45" s="161"/>
      <c r="O45" s="161"/>
      <c r="P45" s="161"/>
      <c r="Q45" s="161"/>
      <c r="R45" s="161"/>
      <c r="S45" s="161"/>
      <c r="T45" s="161"/>
      <c r="U45" s="161"/>
      <c r="V45" s="161"/>
      <c r="W45" s="161"/>
      <c r="X45" s="161"/>
      <c r="Y45" s="161"/>
    </row>
    <row r="46">
      <c r="A46" s="148" t="s">
        <v>1524</v>
      </c>
      <c r="B46" s="134"/>
      <c r="C46" s="143"/>
      <c r="D46" s="143"/>
      <c r="E46" s="18" t="s">
        <v>1525</v>
      </c>
    </row>
    <row r="47">
      <c r="A47" s="148" t="s">
        <v>1526</v>
      </c>
      <c r="B47" s="135"/>
      <c r="C47" s="174"/>
      <c r="D47" s="174"/>
      <c r="E47" s="18" t="s">
        <v>1527</v>
      </c>
    </row>
    <row r="48">
      <c r="A48" s="170" t="s">
        <v>1528</v>
      </c>
      <c r="B48" s="18" t="s">
        <v>473</v>
      </c>
      <c r="C48" s="18" t="s">
        <v>473</v>
      </c>
      <c r="D48" s="18" t="s">
        <v>473</v>
      </c>
      <c r="E48" s="18" t="s">
        <v>1529</v>
      </c>
    </row>
    <row r="49">
      <c r="A49" s="175" t="s">
        <v>1530</v>
      </c>
      <c r="B49" s="18" t="s">
        <v>778</v>
      </c>
      <c r="C49" s="18" t="s">
        <v>778</v>
      </c>
      <c r="D49" s="18" t="s">
        <v>778</v>
      </c>
      <c r="E49" s="77" t="s">
        <v>1272</v>
      </c>
    </row>
    <row r="50">
      <c r="A50" s="176" t="s">
        <v>1531</v>
      </c>
      <c r="B50" s="165" t="s">
        <v>883</v>
      </c>
      <c r="C50" s="165" t="s">
        <v>883</v>
      </c>
      <c r="D50" s="165" t="s">
        <v>883</v>
      </c>
      <c r="E50" s="77" t="s">
        <v>883</v>
      </c>
    </row>
    <row r="51">
      <c r="A51" s="176" t="s">
        <v>1532</v>
      </c>
      <c r="B51" s="177"/>
      <c r="C51" s="165" t="s">
        <v>1533</v>
      </c>
      <c r="D51" s="165" t="s">
        <v>1533</v>
      </c>
      <c r="E51" s="18"/>
    </row>
    <row r="52">
      <c r="A52" s="148" t="s">
        <v>1274</v>
      </c>
      <c r="B52" s="132" t="s">
        <v>149</v>
      </c>
      <c r="C52" s="18" t="s">
        <v>887</v>
      </c>
      <c r="D52" s="18" t="s">
        <v>887</v>
      </c>
      <c r="E52" s="18" t="s">
        <v>1276</v>
      </c>
    </row>
    <row r="53">
      <c r="A53" s="148" t="s">
        <v>1277</v>
      </c>
      <c r="B53" s="134"/>
      <c r="C53" s="18" t="s">
        <v>887</v>
      </c>
      <c r="D53" s="18" t="s">
        <v>887</v>
      </c>
      <c r="E53" s="77" t="s">
        <v>1278</v>
      </c>
    </row>
    <row r="54">
      <c r="A54" s="148" t="s">
        <v>1279</v>
      </c>
      <c r="B54" s="135"/>
      <c r="C54" s="18" t="s">
        <v>887</v>
      </c>
      <c r="D54" s="18" t="s">
        <v>887</v>
      </c>
      <c r="E54" s="77" t="s">
        <v>1280</v>
      </c>
    </row>
    <row r="55">
      <c r="A55" s="148" t="s">
        <v>1281</v>
      </c>
      <c r="B55" s="136" t="s">
        <v>1282</v>
      </c>
      <c r="C55" s="136" t="s">
        <v>1534</v>
      </c>
      <c r="D55" s="136" t="s">
        <v>1535</v>
      </c>
      <c r="E55" s="77" t="s">
        <v>1283</v>
      </c>
    </row>
    <row r="56">
      <c r="A56" s="148" t="s">
        <v>1284</v>
      </c>
      <c r="B56" s="134"/>
      <c r="C56" s="134"/>
      <c r="D56" s="134"/>
      <c r="E56" s="77" t="s">
        <v>1286</v>
      </c>
    </row>
    <row r="57">
      <c r="A57" s="148" t="s">
        <v>1287</v>
      </c>
      <c r="B57" s="134"/>
      <c r="C57" s="134"/>
      <c r="D57" s="134"/>
      <c r="E57" s="18" t="s">
        <v>1289</v>
      </c>
    </row>
    <row r="58">
      <c r="A58" s="170" t="s">
        <v>1536</v>
      </c>
      <c r="B58" s="134"/>
      <c r="C58" s="134"/>
      <c r="D58" s="134"/>
      <c r="E58" s="18" t="s">
        <v>1537</v>
      </c>
    </row>
    <row r="59">
      <c r="A59" s="148" t="s">
        <v>1290</v>
      </c>
      <c r="B59" s="134"/>
      <c r="C59" s="135"/>
      <c r="D59" s="135"/>
      <c r="E59" s="18" t="s">
        <v>1292</v>
      </c>
    </row>
    <row r="60">
      <c r="A60" s="178" t="s">
        <v>1538</v>
      </c>
      <c r="B60" s="134"/>
      <c r="C60" s="137" t="s">
        <v>1539</v>
      </c>
      <c r="D60" s="137" t="s">
        <v>1539</v>
      </c>
      <c r="E60" s="77" t="s">
        <v>1294</v>
      </c>
    </row>
    <row r="61">
      <c r="A61" s="168" t="s">
        <v>1295</v>
      </c>
      <c r="B61" s="135"/>
      <c r="C61" s="137" t="s">
        <v>1539</v>
      </c>
      <c r="D61" s="137" t="s">
        <v>1540</v>
      </c>
      <c r="E61" s="18" t="s">
        <v>1297</v>
      </c>
    </row>
    <row r="62">
      <c r="A62" s="148" t="s">
        <v>1298</v>
      </c>
      <c r="B62" s="136" t="s">
        <v>807</v>
      </c>
      <c r="C62" s="136" t="s">
        <v>807</v>
      </c>
      <c r="D62" s="138" t="s">
        <v>894</v>
      </c>
      <c r="E62" s="77" t="s">
        <v>894</v>
      </c>
    </row>
    <row r="63">
      <c r="A63" s="148" t="s">
        <v>1299</v>
      </c>
      <c r="B63" s="134"/>
      <c r="C63" s="134"/>
      <c r="D63" s="138" t="s">
        <v>1300</v>
      </c>
      <c r="E63" s="77" t="s">
        <v>1301</v>
      </c>
    </row>
    <row r="64">
      <c r="A64" s="148" t="s">
        <v>1302</v>
      </c>
      <c r="B64" s="134"/>
      <c r="C64" s="134"/>
      <c r="D64" s="138" t="s">
        <v>901</v>
      </c>
      <c r="E64" s="77" t="s">
        <v>901</v>
      </c>
    </row>
    <row r="65">
      <c r="A65" s="148" t="s">
        <v>1303</v>
      </c>
      <c r="B65" s="134"/>
      <c r="C65" s="134"/>
      <c r="D65" s="138" t="s">
        <v>1541</v>
      </c>
      <c r="E65" s="18" t="s">
        <v>1542</v>
      </c>
    </row>
    <row r="66">
      <c r="A66" s="148" t="s">
        <v>1307</v>
      </c>
      <c r="B66" s="134"/>
      <c r="C66" s="134"/>
      <c r="D66" s="138" t="s">
        <v>1300</v>
      </c>
      <c r="E66" s="18" t="s">
        <v>1309</v>
      </c>
    </row>
    <row r="67">
      <c r="A67" s="148" t="s">
        <v>125</v>
      </c>
      <c r="B67" s="134"/>
      <c r="C67" s="134"/>
      <c r="D67" s="138" t="s">
        <v>1300</v>
      </c>
      <c r="E67" s="77" t="s">
        <v>126</v>
      </c>
    </row>
    <row r="68">
      <c r="A68" s="148" t="s">
        <v>129</v>
      </c>
      <c r="B68" s="134"/>
      <c r="C68" s="134"/>
      <c r="D68" s="138" t="s">
        <v>1300</v>
      </c>
      <c r="E68" s="77" t="s">
        <v>130</v>
      </c>
    </row>
    <row r="69">
      <c r="A69" s="148" t="s">
        <v>1310</v>
      </c>
      <c r="B69" s="134"/>
      <c r="C69" s="134"/>
      <c r="D69" s="138" t="s">
        <v>910</v>
      </c>
      <c r="E69" s="77" t="s">
        <v>1311</v>
      </c>
    </row>
    <row r="70">
      <c r="A70" s="148" t="s">
        <v>1312</v>
      </c>
      <c r="B70" s="134"/>
      <c r="C70" s="134"/>
      <c r="D70" s="138" t="s">
        <v>1300</v>
      </c>
      <c r="E70" s="18" t="s">
        <v>1314</v>
      </c>
    </row>
    <row r="71">
      <c r="A71" s="148" t="s">
        <v>1315</v>
      </c>
      <c r="B71" s="134"/>
      <c r="C71" s="134"/>
      <c r="D71" s="138" t="s">
        <v>1300</v>
      </c>
      <c r="E71" s="77" t="s">
        <v>1316</v>
      </c>
    </row>
    <row r="72">
      <c r="A72" s="148" t="s">
        <v>1317</v>
      </c>
      <c r="B72" s="134"/>
      <c r="C72" s="134"/>
      <c r="D72" s="138" t="s">
        <v>914</v>
      </c>
      <c r="E72" s="77" t="s">
        <v>1318</v>
      </c>
    </row>
    <row r="73">
      <c r="A73" s="148" t="s">
        <v>1319</v>
      </c>
      <c r="B73" s="134"/>
      <c r="C73" s="134"/>
      <c r="D73" s="138" t="s">
        <v>1300</v>
      </c>
      <c r="E73" s="77" t="s">
        <v>1320</v>
      </c>
    </row>
    <row r="74">
      <c r="A74" s="148" t="s">
        <v>1321</v>
      </c>
      <c r="B74" s="134"/>
      <c r="C74" s="134"/>
      <c r="D74" s="138" t="s">
        <v>1300</v>
      </c>
      <c r="E74" s="77" t="s">
        <v>1322</v>
      </c>
    </row>
    <row r="75">
      <c r="A75" s="148" t="s">
        <v>1323</v>
      </c>
      <c r="B75" s="135"/>
      <c r="C75" s="135"/>
      <c r="D75" s="138" t="s">
        <v>1300</v>
      </c>
      <c r="E75" s="77" t="s">
        <v>1324</v>
      </c>
    </row>
    <row r="76">
      <c r="A76" s="148" t="s">
        <v>1325</v>
      </c>
      <c r="B76" s="137" t="s">
        <v>698</v>
      </c>
      <c r="C76" s="137" t="s">
        <v>698</v>
      </c>
      <c r="D76" s="137" t="s">
        <v>698</v>
      </c>
      <c r="E76" s="77" t="s">
        <v>1327</v>
      </c>
    </row>
    <row r="77">
      <c r="A77" s="148" t="s">
        <v>1328</v>
      </c>
      <c r="B77" s="137" t="s">
        <v>211</v>
      </c>
      <c r="C77" s="136" t="s">
        <v>211</v>
      </c>
      <c r="D77" s="136" t="s">
        <v>211</v>
      </c>
      <c r="E77" s="77" t="s">
        <v>1331</v>
      </c>
    </row>
    <row r="78">
      <c r="A78" s="148" t="s">
        <v>1332</v>
      </c>
      <c r="B78" s="137" t="s">
        <v>211</v>
      </c>
      <c r="C78" s="134"/>
      <c r="D78" s="134"/>
      <c r="E78" s="77" t="s">
        <v>1333</v>
      </c>
    </row>
    <row r="79">
      <c r="A79" s="148" t="s">
        <v>1334</v>
      </c>
      <c r="B79" s="137" t="s">
        <v>211</v>
      </c>
      <c r="C79" s="135"/>
      <c r="D79" s="135"/>
      <c r="E79" s="77" t="s">
        <v>1335</v>
      </c>
    </row>
    <row r="80">
      <c r="A80" s="168" t="s">
        <v>1543</v>
      </c>
      <c r="B80" s="169" t="s">
        <v>1337</v>
      </c>
      <c r="C80" s="169" t="s">
        <v>923</v>
      </c>
      <c r="D80" s="169" t="s">
        <v>923</v>
      </c>
      <c r="E80" s="167" t="s">
        <v>1338</v>
      </c>
      <c r="F80" s="161"/>
      <c r="G80" s="161"/>
      <c r="H80" s="161"/>
      <c r="I80" s="161"/>
      <c r="J80" s="161"/>
      <c r="K80" s="161"/>
      <c r="L80" s="161"/>
      <c r="M80" s="161"/>
      <c r="N80" s="161"/>
      <c r="O80" s="161"/>
      <c r="P80" s="161"/>
      <c r="Q80" s="161"/>
      <c r="R80" s="161"/>
      <c r="S80" s="161"/>
      <c r="T80" s="161"/>
      <c r="U80" s="161"/>
      <c r="V80" s="161"/>
      <c r="W80" s="161"/>
      <c r="X80" s="161"/>
      <c r="Y80" s="161"/>
    </row>
    <row r="81">
      <c r="A81" s="148" t="s">
        <v>1339</v>
      </c>
      <c r="B81" s="134"/>
      <c r="C81" s="134"/>
      <c r="D81" s="134"/>
      <c r="E81" s="77" t="s">
        <v>1340</v>
      </c>
    </row>
    <row r="82">
      <c r="A82" s="176" t="s">
        <v>1544</v>
      </c>
      <c r="B82" s="135"/>
      <c r="C82" s="135"/>
      <c r="D82" s="135"/>
      <c r="E82" s="77" t="s">
        <v>1341</v>
      </c>
    </row>
    <row r="83">
      <c r="A83" s="148" t="s">
        <v>1342</v>
      </c>
      <c r="B83" s="137" t="s">
        <v>927</v>
      </c>
      <c r="C83" s="137" t="s">
        <v>927</v>
      </c>
      <c r="D83" s="137" t="s">
        <v>927</v>
      </c>
      <c r="E83" s="18" t="s">
        <v>1344</v>
      </c>
    </row>
    <row r="84">
      <c r="A84" s="176" t="s">
        <v>1545</v>
      </c>
      <c r="B84" s="136" t="s">
        <v>1345</v>
      </c>
      <c r="C84" s="142" t="s">
        <v>176</v>
      </c>
      <c r="D84" s="179" t="s">
        <v>931</v>
      </c>
      <c r="E84" s="77" t="s">
        <v>1347</v>
      </c>
    </row>
    <row r="85">
      <c r="A85" s="178" t="s">
        <v>1546</v>
      </c>
      <c r="B85" s="134"/>
      <c r="C85" s="142" t="s">
        <v>176</v>
      </c>
      <c r="D85" s="179" t="s">
        <v>931</v>
      </c>
      <c r="E85" s="167" t="s">
        <v>1350</v>
      </c>
      <c r="F85" s="161"/>
      <c r="G85" s="161"/>
      <c r="H85" s="161"/>
      <c r="I85" s="161"/>
      <c r="J85" s="161"/>
      <c r="K85" s="161"/>
      <c r="L85" s="161"/>
      <c r="M85" s="161"/>
      <c r="N85" s="161"/>
      <c r="O85" s="161"/>
      <c r="P85" s="161"/>
      <c r="Q85" s="161"/>
      <c r="R85" s="161"/>
      <c r="S85" s="161"/>
      <c r="T85" s="161"/>
      <c r="U85" s="161"/>
      <c r="V85" s="161"/>
      <c r="W85" s="161"/>
      <c r="X85" s="161"/>
      <c r="Y85" s="161"/>
    </row>
    <row r="86">
      <c r="A86" s="176" t="s">
        <v>1547</v>
      </c>
      <c r="B86" s="134"/>
      <c r="C86" s="180" t="s">
        <v>1548</v>
      </c>
      <c r="D86" s="180" t="s">
        <v>1548</v>
      </c>
      <c r="E86" s="163"/>
      <c r="F86" s="181"/>
      <c r="G86" s="181"/>
      <c r="H86" s="181"/>
      <c r="I86" s="181"/>
      <c r="J86" s="181"/>
      <c r="K86" s="181"/>
      <c r="L86" s="181"/>
      <c r="M86" s="181"/>
      <c r="N86" s="181"/>
      <c r="O86" s="181"/>
      <c r="P86" s="181"/>
      <c r="Q86" s="181"/>
      <c r="R86" s="181"/>
      <c r="S86" s="181"/>
      <c r="T86" s="181"/>
      <c r="U86" s="181"/>
      <c r="V86" s="181"/>
      <c r="W86" s="181"/>
      <c r="X86" s="181"/>
      <c r="Y86" s="181"/>
    </row>
    <row r="87">
      <c r="A87" s="148" t="s">
        <v>427</v>
      </c>
      <c r="B87" s="134"/>
      <c r="C87" s="142" t="s">
        <v>176</v>
      </c>
      <c r="D87" s="18" t="s">
        <v>679</v>
      </c>
      <c r="E87" s="77" t="s">
        <v>426</v>
      </c>
    </row>
    <row r="88">
      <c r="A88" s="148" t="s">
        <v>429</v>
      </c>
      <c r="B88" s="134"/>
      <c r="C88" s="142" t="s">
        <v>176</v>
      </c>
      <c r="D88" s="18" t="s">
        <v>938</v>
      </c>
      <c r="E88" s="77" t="s">
        <v>428</v>
      </c>
    </row>
    <row r="89">
      <c r="A89" s="148" t="s">
        <v>431</v>
      </c>
      <c r="B89" s="134"/>
      <c r="C89" s="142" t="s">
        <v>176</v>
      </c>
      <c r="D89" s="18" t="s">
        <v>942</v>
      </c>
      <c r="E89" s="77" t="s">
        <v>430</v>
      </c>
    </row>
    <row r="90">
      <c r="A90" s="148" t="s">
        <v>1351</v>
      </c>
      <c r="B90" s="134"/>
      <c r="C90" s="142" t="s">
        <v>176</v>
      </c>
      <c r="D90" s="18"/>
      <c r="E90" s="77" t="s">
        <v>1352</v>
      </c>
    </row>
    <row r="91">
      <c r="A91" s="148" t="s">
        <v>433</v>
      </c>
      <c r="B91" s="134"/>
      <c r="C91" s="142" t="s">
        <v>176</v>
      </c>
      <c r="D91" s="18" t="s">
        <v>948</v>
      </c>
      <c r="E91" s="77" t="s">
        <v>432</v>
      </c>
    </row>
    <row r="92">
      <c r="A92" s="148" t="s">
        <v>435</v>
      </c>
      <c r="B92" s="134"/>
      <c r="C92" s="142" t="s">
        <v>176</v>
      </c>
      <c r="D92" s="18" t="s">
        <v>814</v>
      </c>
      <c r="E92" s="77" t="s">
        <v>434</v>
      </c>
    </row>
    <row r="93">
      <c r="A93" s="148" t="s">
        <v>437</v>
      </c>
      <c r="B93" s="134"/>
      <c r="C93" s="142" t="s">
        <v>176</v>
      </c>
      <c r="D93" s="18" t="s">
        <v>953</v>
      </c>
      <c r="E93" s="77" t="s">
        <v>436</v>
      </c>
    </row>
    <row r="94">
      <c r="A94" s="148" t="s">
        <v>439</v>
      </c>
      <c r="B94" s="134"/>
      <c r="C94" s="142" t="s">
        <v>176</v>
      </c>
      <c r="D94" s="18" t="s">
        <v>1353</v>
      </c>
      <c r="E94" s="77" t="s">
        <v>438</v>
      </c>
    </row>
    <row r="95">
      <c r="A95" s="148" t="s">
        <v>440</v>
      </c>
      <c r="B95" s="134"/>
      <c r="C95" s="142" t="s">
        <v>176</v>
      </c>
      <c r="D95" s="18" t="s">
        <v>1354</v>
      </c>
      <c r="E95" s="77" t="s">
        <v>1355</v>
      </c>
    </row>
    <row r="96">
      <c r="A96" s="148" t="s">
        <v>441</v>
      </c>
      <c r="B96" s="135"/>
      <c r="C96" s="142" t="s">
        <v>176</v>
      </c>
      <c r="D96" s="18" t="s">
        <v>1354</v>
      </c>
      <c r="E96" s="77" t="s">
        <v>1356</v>
      </c>
    </row>
    <row r="97">
      <c r="A97" s="168" t="s">
        <v>1549</v>
      </c>
      <c r="B97" s="169" t="s">
        <v>1357</v>
      </c>
      <c r="C97" s="160" t="s">
        <v>479</v>
      </c>
      <c r="D97" s="160" t="s">
        <v>965</v>
      </c>
      <c r="E97" s="160" t="s">
        <v>1359</v>
      </c>
      <c r="F97" s="161"/>
      <c r="G97" s="161"/>
      <c r="H97" s="161"/>
      <c r="I97" s="161"/>
      <c r="J97" s="161"/>
      <c r="K97" s="161"/>
      <c r="L97" s="161"/>
      <c r="M97" s="161"/>
      <c r="N97" s="161"/>
      <c r="O97" s="161"/>
      <c r="P97" s="161"/>
      <c r="Q97" s="161"/>
      <c r="R97" s="161"/>
      <c r="S97" s="161"/>
      <c r="T97" s="161"/>
      <c r="U97" s="161"/>
      <c r="V97" s="161"/>
      <c r="W97" s="161"/>
      <c r="X97" s="161"/>
      <c r="Y97" s="161"/>
    </row>
    <row r="98">
      <c r="A98" s="176" t="s">
        <v>1550</v>
      </c>
      <c r="B98" s="135"/>
      <c r="C98" s="182" t="s">
        <v>477</v>
      </c>
      <c r="D98" s="18" t="s">
        <v>477</v>
      </c>
      <c r="E98" s="18" t="s">
        <v>1361</v>
      </c>
    </row>
    <row r="99">
      <c r="A99" s="168" t="s">
        <v>1551</v>
      </c>
      <c r="B99" s="183"/>
      <c r="C99" s="160" t="s">
        <v>804</v>
      </c>
      <c r="D99" s="160" t="s">
        <v>804</v>
      </c>
      <c r="E99" s="167"/>
      <c r="F99" s="161"/>
      <c r="G99" s="161"/>
      <c r="H99" s="161"/>
      <c r="I99" s="161"/>
      <c r="J99" s="161"/>
      <c r="K99" s="161"/>
      <c r="L99" s="161"/>
      <c r="M99" s="161"/>
      <c r="N99" s="161"/>
      <c r="O99" s="161"/>
      <c r="P99" s="161"/>
      <c r="Q99" s="161"/>
      <c r="R99" s="161"/>
      <c r="S99" s="161"/>
      <c r="T99" s="161"/>
      <c r="U99" s="161"/>
      <c r="V99" s="161"/>
      <c r="W99" s="161"/>
      <c r="X99" s="161"/>
      <c r="Y99" s="161"/>
    </row>
    <row r="100" hidden="1">
      <c r="A100" s="148" t="s">
        <v>1552</v>
      </c>
      <c r="B100" s="184"/>
      <c r="C100" s="18"/>
      <c r="D100" s="18" t="s">
        <v>1553</v>
      </c>
      <c r="E100" s="77"/>
    </row>
    <row r="101" hidden="1">
      <c r="A101" s="148" t="s">
        <v>1554</v>
      </c>
      <c r="B101" s="184"/>
      <c r="C101" s="18"/>
      <c r="D101" s="18" t="s">
        <v>1555</v>
      </c>
      <c r="E101" s="77"/>
    </row>
    <row r="102" hidden="1">
      <c r="A102" s="148">
        <v>8506.0</v>
      </c>
      <c r="B102" s="184"/>
      <c r="C102" s="18"/>
      <c r="D102" s="18" t="s">
        <v>1556</v>
      </c>
      <c r="E102" s="77"/>
    </row>
    <row r="103" hidden="1">
      <c r="A103" s="148">
        <v>8508.0</v>
      </c>
      <c r="B103" s="184"/>
      <c r="C103" s="18"/>
      <c r="D103" s="18" t="s">
        <v>1557</v>
      </c>
      <c r="E103" s="77"/>
    </row>
    <row r="104" hidden="1">
      <c r="A104" s="148" t="s">
        <v>1558</v>
      </c>
      <c r="B104" s="184"/>
      <c r="C104" s="18"/>
      <c r="D104" s="18" t="s">
        <v>1559</v>
      </c>
      <c r="E104" s="77"/>
    </row>
    <row r="105" hidden="1">
      <c r="A105" s="148">
        <v>8511.0</v>
      </c>
      <c r="B105" s="184"/>
      <c r="C105" s="18"/>
      <c r="D105" s="18" t="s">
        <v>1560</v>
      </c>
      <c r="E105" s="77"/>
    </row>
    <row r="106" hidden="1">
      <c r="A106" s="148">
        <v>8512.0</v>
      </c>
      <c r="B106" s="184"/>
      <c r="C106" s="18"/>
      <c r="D106" s="18" t="s">
        <v>1561</v>
      </c>
      <c r="E106" s="77"/>
    </row>
    <row r="107" hidden="1">
      <c r="A107" s="148">
        <v>8513.0</v>
      </c>
      <c r="B107" s="184"/>
      <c r="C107" s="18"/>
      <c r="D107" s="18" t="s">
        <v>1562</v>
      </c>
      <c r="E107" s="77"/>
    </row>
    <row r="108" hidden="1">
      <c r="A108" s="148">
        <v>8514.0</v>
      </c>
      <c r="B108" s="184"/>
      <c r="C108" s="18"/>
      <c r="D108" s="18" t="s">
        <v>1563</v>
      </c>
      <c r="E108" s="77"/>
    </row>
    <row r="109" hidden="1">
      <c r="A109" s="148">
        <v>8515.0</v>
      </c>
      <c r="B109" s="184"/>
      <c r="C109" s="18"/>
      <c r="D109" s="18" t="s">
        <v>1564</v>
      </c>
      <c r="E109" s="77"/>
    </row>
    <row r="110" hidden="1">
      <c r="A110" s="148">
        <v>8516.0</v>
      </c>
      <c r="B110" s="184"/>
      <c r="C110" s="18"/>
      <c r="D110" s="18" t="s">
        <v>1565</v>
      </c>
      <c r="E110" s="77"/>
    </row>
    <row r="111" hidden="1">
      <c r="A111" s="148">
        <v>8517.0</v>
      </c>
      <c r="B111" s="184"/>
      <c r="C111" s="18"/>
      <c r="D111" s="18" t="s">
        <v>1566</v>
      </c>
      <c r="E111" s="77"/>
    </row>
    <row r="112" hidden="1">
      <c r="A112" s="148">
        <v>8518.0</v>
      </c>
      <c r="B112" s="184"/>
      <c r="C112" s="18"/>
      <c r="D112" s="18" t="s">
        <v>1567</v>
      </c>
      <c r="E112" s="77"/>
    </row>
    <row r="113" hidden="1">
      <c r="A113" s="148" t="s">
        <v>1568</v>
      </c>
      <c r="B113" s="184"/>
      <c r="C113" s="18"/>
      <c r="D113" s="18" t="s">
        <v>1569</v>
      </c>
      <c r="E113" s="77"/>
    </row>
    <row r="114" hidden="1">
      <c r="A114" s="148" t="s">
        <v>1570</v>
      </c>
      <c r="B114" s="184"/>
      <c r="C114" s="18"/>
      <c r="D114" s="23" t="s">
        <v>1571</v>
      </c>
      <c r="E114" s="77"/>
    </row>
    <row r="115" hidden="1">
      <c r="A115" s="148" t="s">
        <v>1572</v>
      </c>
      <c r="B115" s="184"/>
      <c r="C115" s="18"/>
      <c r="D115" s="18"/>
      <c r="E115" s="77"/>
    </row>
    <row r="116" hidden="1">
      <c r="A116" s="148" t="s">
        <v>1573</v>
      </c>
      <c r="B116" s="184"/>
      <c r="C116" s="18"/>
      <c r="D116" s="18" t="s">
        <v>1574</v>
      </c>
      <c r="E116" s="77"/>
    </row>
    <row r="117" hidden="1">
      <c r="A117" s="148" t="s">
        <v>1575</v>
      </c>
      <c r="B117" s="184"/>
      <c r="C117" s="18"/>
      <c r="D117" s="18"/>
      <c r="E117" s="77"/>
    </row>
    <row r="118" hidden="1">
      <c r="A118" s="148">
        <v>8544.0</v>
      </c>
      <c r="B118" s="184"/>
      <c r="C118" s="18"/>
      <c r="D118" s="18" t="s">
        <v>1576</v>
      </c>
      <c r="E118" s="77"/>
    </row>
    <row r="119" hidden="1">
      <c r="A119" s="148"/>
      <c r="B119" s="184"/>
      <c r="C119" s="18"/>
      <c r="D119" s="18"/>
      <c r="E119" s="77"/>
    </row>
    <row r="120" hidden="1">
      <c r="A120" s="148"/>
      <c r="B120" s="184"/>
      <c r="C120" s="18"/>
      <c r="D120" s="18"/>
      <c r="E120" s="77"/>
    </row>
    <row r="121" hidden="1">
      <c r="A121" s="148"/>
      <c r="B121" s="184"/>
      <c r="C121" s="18"/>
      <c r="D121" s="18"/>
      <c r="E121" s="77"/>
    </row>
    <row r="122" hidden="1">
      <c r="A122" s="148"/>
      <c r="B122" s="184"/>
      <c r="C122" s="18"/>
      <c r="D122" s="18"/>
      <c r="E122" s="77"/>
    </row>
    <row r="123" hidden="1">
      <c r="A123" s="148"/>
      <c r="B123" s="184"/>
      <c r="C123" s="18"/>
      <c r="D123" s="18"/>
      <c r="E123" s="77"/>
    </row>
    <row r="124">
      <c r="A124" s="178" t="s">
        <v>1577</v>
      </c>
      <c r="B124" s="145" t="s">
        <v>251</v>
      </c>
      <c r="C124" s="18" t="s">
        <v>479</v>
      </c>
      <c r="D124" s="18" t="s">
        <v>251</v>
      </c>
      <c r="E124" s="77" t="s">
        <v>1362</v>
      </c>
    </row>
    <row r="125">
      <c r="A125" s="168" t="s">
        <v>1578</v>
      </c>
      <c r="B125" s="134"/>
      <c r="C125" s="18" t="s">
        <v>200</v>
      </c>
      <c r="D125" s="18" t="s">
        <v>1363</v>
      </c>
      <c r="E125" s="77" t="s">
        <v>983</v>
      </c>
    </row>
    <row r="126">
      <c r="A126" s="168" t="s">
        <v>1579</v>
      </c>
      <c r="B126" s="134"/>
      <c r="C126" s="18" t="s">
        <v>1580</v>
      </c>
      <c r="D126" s="18" t="s">
        <v>1580</v>
      </c>
      <c r="E126" s="18" t="s">
        <v>1581</v>
      </c>
    </row>
    <row r="127">
      <c r="A127" s="170" t="s">
        <v>1582</v>
      </c>
      <c r="B127" s="134"/>
      <c r="C127" s="18" t="s">
        <v>479</v>
      </c>
      <c r="D127" s="18" t="s">
        <v>251</v>
      </c>
      <c r="E127" s="18" t="s">
        <v>1583</v>
      </c>
    </row>
    <row r="128">
      <c r="A128" s="170" t="s">
        <v>1584</v>
      </c>
      <c r="B128" s="134"/>
      <c r="C128" s="18" t="s">
        <v>479</v>
      </c>
      <c r="D128" s="18" t="s">
        <v>1585</v>
      </c>
      <c r="E128" s="18" t="s">
        <v>631</v>
      </c>
    </row>
    <row r="129">
      <c r="A129" s="148" t="s">
        <v>202</v>
      </c>
      <c r="B129" s="135"/>
      <c r="C129" s="18" t="s">
        <v>479</v>
      </c>
      <c r="D129" s="18" t="s">
        <v>251</v>
      </c>
      <c r="E129" s="77" t="s">
        <v>203</v>
      </c>
    </row>
    <row r="130">
      <c r="A130" s="168" t="s">
        <v>1586</v>
      </c>
      <c r="B130" s="169" t="s">
        <v>211</v>
      </c>
      <c r="C130" s="169" t="s">
        <v>211</v>
      </c>
      <c r="D130" s="169" t="s">
        <v>211</v>
      </c>
      <c r="E130" s="160" t="s">
        <v>1587</v>
      </c>
      <c r="F130" s="161"/>
      <c r="G130" s="161"/>
      <c r="H130" s="161"/>
      <c r="I130" s="161"/>
      <c r="J130" s="161"/>
      <c r="K130" s="161"/>
      <c r="L130" s="161"/>
      <c r="M130" s="161"/>
      <c r="N130" s="161"/>
      <c r="O130" s="161"/>
      <c r="P130" s="161"/>
      <c r="Q130" s="161"/>
      <c r="R130" s="161"/>
      <c r="S130" s="161"/>
      <c r="T130" s="161"/>
      <c r="U130" s="161"/>
      <c r="V130" s="161"/>
      <c r="W130" s="161"/>
      <c r="X130" s="161"/>
      <c r="Y130" s="161"/>
    </row>
    <row r="131">
      <c r="A131" s="168" t="s">
        <v>1588</v>
      </c>
      <c r="B131" s="134"/>
      <c r="C131" s="185" t="s">
        <v>744</v>
      </c>
      <c r="D131" s="185" t="s">
        <v>744</v>
      </c>
      <c r="E131" s="160" t="s">
        <v>1589</v>
      </c>
      <c r="F131" s="161"/>
      <c r="G131" s="161"/>
      <c r="H131" s="161"/>
      <c r="I131" s="161"/>
      <c r="J131" s="161"/>
      <c r="K131" s="161"/>
      <c r="L131" s="161"/>
      <c r="M131" s="161"/>
      <c r="N131" s="161"/>
      <c r="O131" s="161"/>
      <c r="P131" s="161"/>
      <c r="Q131" s="161"/>
      <c r="R131" s="161"/>
      <c r="S131" s="161"/>
      <c r="T131" s="161"/>
      <c r="U131" s="161"/>
      <c r="V131" s="161"/>
      <c r="W131" s="161"/>
      <c r="X131" s="161"/>
      <c r="Y131" s="161"/>
    </row>
    <row r="132">
      <c r="A132" s="168" t="s">
        <v>1368</v>
      </c>
      <c r="B132" s="134"/>
      <c r="C132" s="169" t="s">
        <v>1590</v>
      </c>
      <c r="D132" s="169" t="s">
        <v>211</v>
      </c>
      <c r="E132" s="167" t="s">
        <v>1370</v>
      </c>
      <c r="F132" s="161"/>
      <c r="G132" s="161"/>
      <c r="H132" s="161"/>
      <c r="I132" s="161"/>
      <c r="J132" s="161"/>
      <c r="K132" s="161"/>
      <c r="L132" s="161"/>
      <c r="M132" s="161"/>
      <c r="N132" s="161"/>
      <c r="O132" s="161"/>
      <c r="P132" s="161"/>
      <c r="Q132" s="161"/>
      <c r="R132" s="161"/>
      <c r="S132" s="161"/>
      <c r="T132" s="161"/>
      <c r="U132" s="161"/>
      <c r="V132" s="161"/>
      <c r="W132" s="161"/>
      <c r="X132" s="161"/>
      <c r="Y132" s="161"/>
    </row>
    <row r="133">
      <c r="A133" s="148" t="s">
        <v>1371</v>
      </c>
      <c r="B133" s="135"/>
      <c r="C133" s="136" t="s">
        <v>211</v>
      </c>
      <c r="D133" s="136" t="s">
        <v>211</v>
      </c>
      <c r="E133" s="77" t="s">
        <v>1373</v>
      </c>
    </row>
    <row r="134">
      <c r="A134" s="168" t="s">
        <v>1591</v>
      </c>
      <c r="B134" s="137" t="s">
        <v>1375</v>
      </c>
      <c r="C134" s="18" t="s">
        <v>479</v>
      </c>
      <c r="D134" s="77" t="s">
        <v>988</v>
      </c>
      <c r="E134" s="77" t="s">
        <v>988</v>
      </c>
    </row>
    <row r="135">
      <c r="A135" s="168" t="s">
        <v>1592</v>
      </c>
      <c r="B135" s="169" t="s">
        <v>211</v>
      </c>
      <c r="C135" s="169" t="s">
        <v>1593</v>
      </c>
      <c r="D135" s="169" t="s">
        <v>1593</v>
      </c>
      <c r="E135" s="167" t="s">
        <v>1378</v>
      </c>
      <c r="F135" s="161"/>
      <c r="G135" s="161"/>
      <c r="H135" s="161"/>
      <c r="I135" s="161"/>
      <c r="J135" s="161"/>
      <c r="K135" s="161"/>
      <c r="L135" s="161"/>
      <c r="M135" s="161"/>
      <c r="N135" s="161"/>
      <c r="O135" s="161"/>
      <c r="P135" s="161"/>
      <c r="Q135" s="161"/>
      <c r="R135" s="161"/>
      <c r="S135" s="161"/>
      <c r="T135" s="161"/>
      <c r="U135" s="161"/>
      <c r="V135" s="161"/>
      <c r="W135" s="161"/>
      <c r="X135" s="161"/>
      <c r="Y135" s="161"/>
    </row>
    <row r="136">
      <c r="A136" s="148" t="s">
        <v>1379</v>
      </c>
      <c r="B136" s="169" t="s">
        <v>1377</v>
      </c>
      <c r="C136" s="169" t="s">
        <v>211</v>
      </c>
      <c r="D136" s="169" t="s">
        <v>1377</v>
      </c>
      <c r="E136" s="77" t="s">
        <v>1380</v>
      </c>
    </row>
    <row r="137">
      <c r="A137" s="148" t="s">
        <v>1381</v>
      </c>
      <c r="B137" s="135"/>
      <c r="C137" s="135"/>
      <c r="D137" s="135"/>
      <c r="E137" s="18" t="s">
        <v>1383</v>
      </c>
    </row>
    <row r="138">
      <c r="A138" s="148" t="s">
        <v>375</v>
      </c>
      <c r="B138" s="145" t="s">
        <v>1384</v>
      </c>
      <c r="C138" s="137" t="s">
        <v>211</v>
      </c>
      <c r="D138" s="18" t="s">
        <v>995</v>
      </c>
      <c r="E138" s="77" t="s">
        <v>1385</v>
      </c>
    </row>
    <row r="139">
      <c r="A139" s="168" t="s">
        <v>1594</v>
      </c>
      <c r="B139" s="135"/>
      <c r="C139" s="186" t="s">
        <v>211</v>
      </c>
      <c r="D139" s="160" t="s">
        <v>211</v>
      </c>
      <c r="E139" s="160" t="s">
        <v>1595</v>
      </c>
      <c r="F139" s="161"/>
      <c r="G139" s="161"/>
      <c r="H139" s="161"/>
      <c r="I139" s="161"/>
      <c r="J139" s="161"/>
      <c r="K139" s="161"/>
      <c r="L139" s="161"/>
      <c r="M139" s="161"/>
      <c r="N139" s="161"/>
      <c r="O139" s="161"/>
      <c r="P139" s="161"/>
      <c r="Q139" s="161"/>
      <c r="R139" s="161"/>
      <c r="S139" s="161"/>
      <c r="T139" s="161"/>
      <c r="U139" s="161"/>
      <c r="V139" s="161"/>
      <c r="W139" s="161"/>
      <c r="X139" s="161"/>
      <c r="Y139" s="161"/>
    </row>
    <row r="140">
      <c r="A140" s="187"/>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row>
    <row r="141">
      <c r="B141" s="18"/>
      <c r="C141" s="18"/>
      <c r="D141" s="18"/>
      <c r="E141" s="77"/>
    </row>
    <row r="142">
      <c r="B142" s="18"/>
      <c r="C142" s="15" t="s">
        <v>816</v>
      </c>
      <c r="D142" s="15" t="s">
        <v>1596</v>
      </c>
      <c r="E142" s="77"/>
    </row>
    <row r="143">
      <c r="B143" s="18"/>
      <c r="E143" s="77"/>
    </row>
    <row r="144">
      <c r="B144" s="18"/>
      <c r="C144" s="78" t="s">
        <v>449</v>
      </c>
      <c r="D144" s="18" t="s">
        <v>450</v>
      </c>
      <c r="E144" s="77"/>
    </row>
    <row r="145">
      <c r="B145" s="18"/>
      <c r="C145" s="78" t="s">
        <v>449</v>
      </c>
      <c r="D145" s="79" t="s">
        <v>451</v>
      </c>
      <c r="E145" s="77"/>
    </row>
    <row r="146">
      <c r="B146" s="18"/>
      <c r="C146" s="78" t="s">
        <v>449</v>
      </c>
      <c r="D146" s="80" t="s">
        <v>452</v>
      </c>
      <c r="E146" s="77"/>
    </row>
    <row r="147">
      <c r="B147" s="18"/>
      <c r="C147" s="78" t="s">
        <v>449</v>
      </c>
      <c r="D147" s="78" t="s">
        <v>453</v>
      </c>
      <c r="E147" s="77"/>
    </row>
    <row r="148">
      <c r="B148" s="18"/>
      <c r="C148" s="78" t="s">
        <v>114</v>
      </c>
      <c r="D148" s="81" t="s">
        <v>1597</v>
      </c>
      <c r="E148" s="18" t="s">
        <v>455</v>
      </c>
    </row>
    <row r="149">
      <c r="B149" s="18"/>
      <c r="C149" s="78" t="s">
        <v>114</v>
      </c>
      <c r="D149" s="82" t="s">
        <v>1598</v>
      </c>
      <c r="E149" s="18" t="s">
        <v>455</v>
      </c>
    </row>
    <row r="150">
      <c r="B150" s="18"/>
      <c r="C150" s="78" t="s">
        <v>114</v>
      </c>
      <c r="D150" s="83" t="s">
        <v>1599</v>
      </c>
      <c r="E150" s="18" t="s">
        <v>455</v>
      </c>
    </row>
    <row r="151">
      <c r="B151" s="18"/>
      <c r="C151" s="78" t="s">
        <v>114</v>
      </c>
      <c r="D151" s="82" t="s">
        <v>1600</v>
      </c>
      <c r="E151" s="18" t="s">
        <v>455</v>
      </c>
    </row>
    <row r="152">
      <c r="B152" s="18"/>
      <c r="C152" s="78" t="s">
        <v>114</v>
      </c>
      <c r="D152" s="18" t="s">
        <v>459</v>
      </c>
      <c r="E152" s="18" t="s">
        <v>455</v>
      </c>
    </row>
    <row r="153">
      <c r="B153" s="18"/>
      <c r="C153" s="18" t="s">
        <v>460</v>
      </c>
      <c r="D153" s="84" t="s">
        <v>461</v>
      </c>
      <c r="E153" s="18" t="s">
        <v>462</v>
      </c>
    </row>
    <row r="154">
      <c r="B154" s="18"/>
      <c r="C154" s="78" t="s">
        <v>463</v>
      </c>
      <c r="D154" s="18" t="s">
        <v>464</v>
      </c>
      <c r="E154" s="77"/>
    </row>
    <row r="155">
      <c r="B155" s="18"/>
      <c r="C155" s="78" t="s">
        <v>465</v>
      </c>
      <c r="D155" s="18" t="s">
        <v>466</v>
      </c>
      <c r="E155" s="77"/>
    </row>
    <row r="156">
      <c r="B156" s="18"/>
      <c r="C156" s="78" t="s">
        <v>468</v>
      </c>
      <c r="D156" s="18" t="s">
        <v>469</v>
      </c>
      <c r="E156" s="77"/>
    </row>
    <row r="157">
      <c r="B157" s="18"/>
      <c r="C157" s="78" t="s">
        <v>471</v>
      </c>
      <c r="D157" s="78" t="s">
        <v>472</v>
      </c>
      <c r="E157" s="18" t="s">
        <v>455</v>
      </c>
    </row>
    <row r="158">
      <c r="B158" s="18"/>
      <c r="C158" s="78" t="s">
        <v>473</v>
      </c>
      <c r="D158" s="78" t="s">
        <v>474</v>
      </c>
      <c r="E158" s="77"/>
    </row>
    <row r="159">
      <c r="B159" s="18"/>
      <c r="C159" s="85" t="s">
        <v>176</v>
      </c>
      <c r="D159" s="84" t="s">
        <v>1601</v>
      </c>
      <c r="E159" s="77"/>
    </row>
    <row r="160">
      <c r="B160" s="18"/>
      <c r="C160" s="78" t="s">
        <v>463</v>
      </c>
      <c r="D160" s="18" t="s">
        <v>476</v>
      </c>
      <c r="E160" s="77"/>
    </row>
    <row r="161">
      <c r="B161" s="18"/>
      <c r="C161" s="18" t="s">
        <v>477</v>
      </c>
      <c r="D161" s="85" t="s">
        <v>478</v>
      </c>
      <c r="E161" s="77"/>
    </row>
    <row r="162">
      <c r="B162" s="18"/>
      <c r="C162" s="78" t="s">
        <v>479</v>
      </c>
      <c r="D162" s="18" t="s">
        <v>1602</v>
      </c>
      <c r="E162" s="77"/>
    </row>
    <row r="163">
      <c r="B163" s="18"/>
      <c r="C163" s="85" t="s">
        <v>200</v>
      </c>
      <c r="D163" s="85" t="s">
        <v>481</v>
      </c>
      <c r="E163" s="77"/>
    </row>
    <row r="164">
      <c r="B164" s="18"/>
      <c r="C164" s="85" t="s">
        <v>463</v>
      </c>
      <c r="D164" s="85" t="s">
        <v>482</v>
      </c>
      <c r="E164" s="77"/>
    </row>
    <row r="165">
      <c r="B165" s="18"/>
      <c r="C165" s="78" t="s">
        <v>463</v>
      </c>
      <c r="D165" s="78" t="s">
        <v>483</v>
      </c>
      <c r="E165" s="77"/>
    </row>
    <row r="166">
      <c r="B166" s="18"/>
      <c r="C166" s="78" t="s">
        <v>217</v>
      </c>
      <c r="D166" s="78" t="s">
        <v>485</v>
      </c>
      <c r="E166" s="18" t="s">
        <v>455</v>
      </c>
    </row>
    <row r="167">
      <c r="B167" s="18"/>
      <c r="C167" s="85" t="s">
        <v>486</v>
      </c>
      <c r="D167" s="18" t="s">
        <v>487</v>
      </c>
      <c r="E167" s="18" t="s">
        <v>455</v>
      </c>
    </row>
    <row r="168">
      <c r="B168" s="18"/>
      <c r="C168" s="78" t="s">
        <v>488</v>
      </c>
      <c r="D168" s="18" t="s">
        <v>489</v>
      </c>
      <c r="E168" s="18" t="s">
        <v>455</v>
      </c>
    </row>
    <row r="169">
      <c r="B169" s="18"/>
      <c r="C169" s="88" t="s">
        <v>490</v>
      </c>
      <c r="D169" s="78" t="s">
        <v>491</v>
      </c>
      <c r="E169" s="18" t="s">
        <v>455</v>
      </c>
    </row>
    <row r="170">
      <c r="B170" s="18"/>
      <c r="C170" s="88" t="s">
        <v>490</v>
      </c>
      <c r="D170" s="18" t="s">
        <v>492</v>
      </c>
      <c r="E170" s="18"/>
    </row>
    <row r="171">
      <c r="B171" s="18"/>
      <c r="C171" s="88" t="s">
        <v>490</v>
      </c>
      <c r="D171" s="78" t="s">
        <v>493</v>
      </c>
      <c r="E171" s="77"/>
    </row>
    <row r="172">
      <c r="B172" s="18"/>
      <c r="C172" s="78" t="s">
        <v>494</v>
      </c>
      <c r="D172" s="78" t="s">
        <v>495</v>
      </c>
      <c r="E172" s="18" t="s">
        <v>455</v>
      </c>
    </row>
    <row r="173">
      <c r="B173" s="18"/>
      <c r="C173" s="78" t="s">
        <v>496</v>
      </c>
      <c r="D173" s="78" t="s">
        <v>497</v>
      </c>
      <c r="E173" s="18" t="s">
        <v>455</v>
      </c>
    </row>
    <row r="174">
      <c r="B174" s="18"/>
      <c r="C174" s="84" t="s">
        <v>498</v>
      </c>
      <c r="D174" s="78" t="s">
        <v>499</v>
      </c>
      <c r="E174" s="18" t="s">
        <v>455</v>
      </c>
    </row>
    <row r="175">
      <c r="B175" s="18"/>
      <c r="C175" s="85" t="s">
        <v>1603</v>
      </c>
      <c r="D175" s="18" t="s">
        <v>500</v>
      </c>
      <c r="E175" s="77"/>
    </row>
    <row r="176">
      <c r="B176" s="18"/>
      <c r="C176" s="85" t="s">
        <v>1603</v>
      </c>
      <c r="D176" s="18" t="s">
        <v>501</v>
      </c>
      <c r="E176" s="77"/>
    </row>
    <row r="177">
      <c r="B177" s="18"/>
      <c r="C177" s="89" t="s">
        <v>502</v>
      </c>
      <c r="D177" s="90" t="s">
        <v>1604</v>
      </c>
      <c r="E177" s="18" t="s">
        <v>455</v>
      </c>
    </row>
    <row r="178">
      <c r="B178" s="18"/>
      <c r="C178" s="89" t="s">
        <v>1605</v>
      </c>
      <c r="D178" s="82" t="s">
        <v>1606</v>
      </c>
      <c r="E178" s="18" t="s">
        <v>455</v>
      </c>
    </row>
    <row r="179">
      <c r="B179" s="18"/>
      <c r="C179" s="89" t="s">
        <v>1607</v>
      </c>
      <c r="D179" s="82" t="s">
        <v>1608</v>
      </c>
      <c r="E179" s="18" t="s">
        <v>455</v>
      </c>
    </row>
    <row r="180">
      <c r="B180" s="18"/>
      <c r="C180" s="89" t="s">
        <v>1609</v>
      </c>
      <c r="D180" s="82" t="s">
        <v>1610</v>
      </c>
      <c r="E180" s="18" t="s">
        <v>455</v>
      </c>
    </row>
    <row r="181">
      <c r="B181" s="18"/>
      <c r="C181" s="89" t="s">
        <v>463</v>
      </c>
      <c r="D181" s="82" t="s">
        <v>1611</v>
      </c>
      <c r="E181" s="77"/>
    </row>
    <row r="182">
      <c r="B182" s="18"/>
      <c r="C182" s="89" t="s">
        <v>511</v>
      </c>
      <c r="D182" s="82" t="s">
        <v>1612</v>
      </c>
      <c r="E182" s="18" t="s">
        <v>455</v>
      </c>
    </row>
    <row r="183">
      <c r="B183" s="18"/>
      <c r="C183" s="89" t="s">
        <v>513</v>
      </c>
      <c r="D183" s="82" t="s">
        <v>1613</v>
      </c>
      <c r="E183" s="77"/>
    </row>
    <row r="184">
      <c r="B184" s="18"/>
      <c r="C184" s="78" t="s">
        <v>515</v>
      </c>
      <c r="D184" s="81" t="s">
        <v>1614</v>
      </c>
      <c r="E184" s="18" t="s">
        <v>455</v>
      </c>
    </row>
    <row r="185">
      <c r="B185" s="18"/>
      <c r="C185" s="78" t="s">
        <v>517</v>
      </c>
      <c r="D185" s="83" t="s">
        <v>1615</v>
      </c>
      <c r="E185" s="18" t="s">
        <v>455</v>
      </c>
    </row>
    <row r="186">
      <c r="B186" s="18"/>
      <c r="C186" s="78" t="s">
        <v>519</v>
      </c>
      <c r="D186" s="90" t="s">
        <v>1616</v>
      </c>
      <c r="E186" s="18" t="s">
        <v>455</v>
      </c>
    </row>
    <row r="187">
      <c r="B187" s="18"/>
      <c r="C187" s="85" t="s">
        <v>463</v>
      </c>
      <c r="D187" s="82" t="s">
        <v>1617</v>
      </c>
      <c r="E187" s="77"/>
    </row>
    <row r="188">
      <c r="B188" s="18"/>
      <c r="C188" s="78" t="s">
        <v>522</v>
      </c>
      <c r="D188" s="82" t="s">
        <v>1618</v>
      </c>
      <c r="E188" s="18" t="s">
        <v>455</v>
      </c>
    </row>
    <row r="189">
      <c r="B189" s="18"/>
      <c r="C189" s="78" t="s">
        <v>524</v>
      </c>
      <c r="D189" s="82" t="s">
        <v>1619</v>
      </c>
      <c r="E189" s="18" t="s">
        <v>455</v>
      </c>
    </row>
    <row r="190">
      <c r="B190" s="18"/>
      <c r="C190" s="40" t="s">
        <v>1620</v>
      </c>
      <c r="D190" s="82" t="s">
        <v>1621</v>
      </c>
      <c r="E190" s="18" t="s">
        <v>455</v>
      </c>
    </row>
    <row r="191">
      <c r="B191" s="18"/>
      <c r="C191" s="78" t="s">
        <v>463</v>
      </c>
      <c r="D191" s="83" t="s">
        <v>1622</v>
      </c>
      <c r="E191" s="77"/>
    </row>
    <row r="192">
      <c r="B192" s="18"/>
      <c r="C192" s="78" t="s">
        <v>463</v>
      </c>
      <c r="D192" s="82" t="s">
        <v>1623</v>
      </c>
      <c r="E192" s="77"/>
    </row>
    <row r="193">
      <c r="B193" s="18"/>
      <c r="C193" s="78" t="s">
        <v>463</v>
      </c>
      <c r="D193" s="82" t="s">
        <v>1624</v>
      </c>
      <c r="E193" s="77"/>
    </row>
    <row r="194">
      <c r="B194" s="18"/>
      <c r="C194" s="78" t="s">
        <v>531</v>
      </c>
      <c r="D194" s="81" t="s">
        <v>1625</v>
      </c>
      <c r="E194" s="18" t="s">
        <v>455</v>
      </c>
    </row>
    <row r="195">
      <c r="B195" s="18"/>
      <c r="C195" s="78" t="s">
        <v>533</v>
      </c>
      <c r="D195" s="82" t="s">
        <v>1626</v>
      </c>
      <c r="E195" s="18" t="s">
        <v>455</v>
      </c>
    </row>
    <row r="196">
      <c r="B196" s="18"/>
      <c r="C196" s="78" t="s">
        <v>535</v>
      </c>
      <c r="D196" s="82" t="s">
        <v>1627</v>
      </c>
      <c r="E196" s="18" t="s">
        <v>455</v>
      </c>
    </row>
    <row r="197">
      <c r="B197" s="18"/>
      <c r="C197" s="78" t="s">
        <v>537</v>
      </c>
      <c r="D197" s="82" t="s">
        <v>1628</v>
      </c>
      <c r="E197" s="18" t="s">
        <v>455</v>
      </c>
    </row>
    <row r="198">
      <c r="B198" s="18"/>
      <c r="C198" s="78" t="s">
        <v>539</v>
      </c>
      <c r="D198" s="82" t="s">
        <v>1629</v>
      </c>
      <c r="E198" s="18" t="s">
        <v>455</v>
      </c>
    </row>
    <row r="199">
      <c r="B199" s="18"/>
      <c r="C199" s="78" t="s">
        <v>541</v>
      </c>
      <c r="D199" s="82" t="s">
        <v>1630</v>
      </c>
      <c r="E199" s="18" t="s">
        <v>455</v>
      </c>
    </row>
    <row r="200">
      <c r="B200" s="18"/>
      <c r="C200" s="78" t="s">
        <v>543</v>
      </c>
      <c r="D200" s="82" t="s">
        <v>1631</v>
      </c>
      <c r="E200" s="18" t="s">
        <v>455</v>
      </c>
    </row>
    <row r="201">
      <c r="B201" s="18"/>
      <c r="C201" s="78" t="s">
        <v>545</v>
      </c>
      <c r="D201" s="82" t="s">
        <v>1632</v>
      </c>
      <c r="E201" s="18" t="s">
        <v>455</v>
      </c>
    </row>
    <row r="202">
      <c r="B202" s="18"/>
      <c r="C202" s="78" t="s">
        <v>318</v>
      </c>
      <c r="D202" s="81" t="s">
        <v>1633</v>
      </c>
      <c r="E202" s="18" t="s">
        <v>455</v>
      </c>
    </row>
    <row r="203">
      <c r="B203" s="18"/>
      <c r="C203" s="78" t="s">
        <v>318</v>
      </c>
      <c r="D203" s="82" t="s">
        <v>1634</v>
      </c>
      <c r="E203" s="18" t="s">
        <v>455</v>
      </c>
    </row>
    <row r="204">
      <c r="B204" s="18"/>
      <c r="C204" s="78" t="s">
        <v>549</v>
      </c>
      <c r="D204" s="81" t="s">
        <v>1635</v>
      </c>
      <c r="E204" s="18" t="s">
        <v>455</v>
      </c>
    </row>
    <row r="205">
      <c r="B205" s="18"/>
      <c r="C205" s="78" t="s">
        <v>551</v>
      </c>
      <c r="D205" s="82" t="s">
        <v>1636</v>
      </c>
      <c r="E205" s="18" t="s">
        <v>455</v>
      </c>
    </row>
    <row r="206">
      <c r="B206" s="18"/>
      <c r="C206" s="78" t="s">
        <v>553</v>
      </c>
      <c r="D206" s="82" t="s">
        <v>1637</v>
      </c>
      <c r="E206" s="18" t="s">
        <v>455</v>
      </c>
    </row>
    <row r="207">
      <c r="B207" s="18"/>
      <c r="C207" s="78" t="s">
        <v>555</v>
      </c>
      <c r="D207" s="82" t="s">
        <v>1638</v>
      </c>
      <c r="E207" s="18" t="s">
        <v>455</v>
      </c>
    </row>
    <row r="208">
      <c r="B208" s="18"/>
      <c r="C208" s="78" t="s">
        <v>557</v>
      </c>
      <c r="D208" s="82" t="s">
        <v>1639</v>
      </c>
      <c r="E208" s="18" t="s">
        <v>455</v>
      </c>
    </row>
    <row r="209">
      <c r="B209" s="18"/>
      <c r="C209" s="78" t="s">
        <v>559</v>
      </c>
      <c r="D209" s="82" t="s">
        <v>1640</v>
      </c>
      <c r="E209" s="18" t="s">
        <v>455</v>
      </c>
    </row>
    <row r="210">
      <c r="B210" s="18"/>
      <c r="C210" s="78" t="s">
        <v>561</v>
      </c>
      <c r="D210" s="82" t="s">
        <v>1641</v>
      </c>
      <c r="E210" s="18" t="s">
        <v>455</v>
      </c>
    </row>
    <row r="211">
      <c r="B211" s="18"/>
      <c r="C211" s="78" t="s">
        <v>563</v>
      </c>
      <c r="D211" s="82" t="s">
        <v>1642</v>
      </c>
      <c r="E211" s="18" t="s">
        <v>455</v>
      </c>
    </row>
    <row r="212">
      <c r="B212" s="18"/>
      <c r="C212" s="78" t="s">
        <v>561</v>
      </c>
      <c r="D212" s="82" t="s">
        <v>1643</v>
      </c>
      <c r="E212" s="18" t="s">
        <v>455</v>
      </c>
    </row>
    <row r="213">
      <c r="B213" s="18"/>
      <c r="C213" s="78" t="s">
        <v>566</v>
      </c>
      <c r="D213" s="81" t="s">
        <v>1644</v>
      </c>
      <c r="E213" s="18" t="s">
        <v>455</v>
      </c>
    </row>
    <row r="214">
      <c r="B214" s="18"/>
      <c r="C214" s="78" t="s">
        <v>568</v>
      </c>
      <c r="D214" s="82" t="s">
        <v>1645</v>
      </c>
      <c r="E214" s="18" t="s">
        <v>455</v>
      </c>
    </row>
    <row r="215">
      <c r="B215" s="18"/>
      <c r="C215" s="78" t="s">
        <v>570</v>
      </c>
      <c r="D215" s="82" t="s">
        <v>1646</v>
      </c>
      <c r="E215" s="18" t="s">
        <v>455</v>
      </c>
    </row>
    <row r="216">
      <c r="B216" s="18"/>
      <c r="C216" s="78" t="s">
        <v>572</v>
      </c>
      <c r="D216" s="82" t="s">
        <v>1647</v>
      </c>
      <c r="E216" s="18" t="s">
        <v>455</v>
      </c>
    </row>
    <row r="217">
      <c r="B217" s="18"/>
      <c r="C217" s="78" t="s">
        <v>574</v>
      </c>
      <c r="D217" s="82" t="s">
        <v>1648</v>
      </c>
      <c r="E217" s="18" t="s">
        <v>455</v>
      </c>
    </row>
    <row r="218">
      <c r="B218" s="18"/>
      <c r="C218" s="78" t="s">
        <v>576</v>
      </c>
      <c r="D218" s="82" t="s">
        <v>1649</v>
      </c>
      <c r="E218" s="18" t="s">
        <v>455</v>
      </c>
    </row>
    <row r="219">
      <c r="B219" s="18"/>
      <c r="C219" s="78" t="s">
        <v>578</v>
      </c>
      <c r="D219" s="82" t="s">
        <v>1650</v>
      </c>
      <c r="E219" s="18" t="s">
        <v>455</v>
      </c>
    </row>
    <row r="220">
      <c r="B220" s="18"/>
      <c r="C220" s="78" t="s">
        <v>463</v>
      </c>
      <c r="D220" s="82" t="s">
        <v>1651</v>
      </c>
      <c r="E220" s="18"/>
    </row>
    <row r="221">
      <c r="B221" s="18"/>
      <c r="C221" s="78" t="s">
        <v>463</v>
      </c>
      <c r="D221" s="82" t="s">
        <v>1652</v>
      </c>
      <c r="E221" s="18"/>
    </row>
    <row r="222">
      <c r="B222" s="18"/>
      <c r="C222" s="78" t="s">
        <v>463</v>
      </c>
      <c r="D222" s="82" t="s">
        <v>1653</v>
      </c>
      <c r="E222" s="18"/>
    </row>
    <row r="223">
      <c r="B223" s="18"/>
      <c r="C223" s="78" t="s">
        <v>370</v>
      </c>
      <c r="D223" s="82" t="s">
        <v>1654</v>
      </c>
      <c r="E223" s="18" t="s">
        <v>455</v>
      </c>
    </row>
    <row r="224">
      <c r="B224" s="18"/>
      <c r="C224" s="78" t="s">
        <v>370</v>
      </c>
      <c r="D224" s="82" t="s">
        <v>1655</v>
      </c>
      <c r="E224" s="18" t="s">
        <v>455</v>
      </c>
    </row>
    <row r="225">
      <c r="B225" s="18"/>
      <c r="C225" s="78" t="s">
        <v>370</v>
      </c>
      <c r="D225" s="82" t="s">
        <v>1656</v>
      </c>
      <c r="E225" s="18" t="s">
        <v>455</v>
      </c>
    </row>
    <row r="226">
      <c r="B226" s="18"/>
      <c r="C226" s="78" t="s">
        <v>370</v>
      </c>
      <c r="D226" s="82" t="s">
        <v>1657</v>
      </c>
      <c r="E226" s="18" t="s">
        <v>455</v>
      </c>
    </row>
    <row r="227">
      <c r="B227" s="18"/>
      <c r="C227" s="78" t="s">
        <v>587</v>
      </c>
      <c r="D227" s="82" t="s">
        <v>1658</v>
      </c>
      <c r="E227" s="18" t="s">
        <v>455</v>
      </c>
    </row>
    <row r="228">
      <c r="B228" s="18"/>
      <c r="C228" s="89" t="s">
        <v>589</v>
      </c>
      <c r="D228" s="82" t="s">
        <v>1659</v>
      </c>
      <c r="E228" s="18" t="s">
        <v>455</v>
      </c>
    </row>
    <row r="229">
      <c r="B229" s="18"/>
      <c r="C229" s="89" t="s">
        <v>589</v>
      </c>
      <c r="D229" s="82" t="s">
        <v>1660</v>
      </c>
      <c r="E229" s="18" t="s">
        <v>455</v>
      </c>
    </row>
    <row r="230">
      <c r="B230" s="18"/>
      <c r="C230" s="89" t="s">
        <v>589</v>
      </c>
      <c r="D230" s="82" t="s">
        <v>1661</v>
      </c>
      <c r="E230" s="18" t="s">
        <v>455</v>
      </c>
    </row>
    <row r="231">
      <c r="B231" s="18"/>
      <c r="C231" s="89" t="s">
        <v>589</v>
      </c>
      <c r="D231" s="82" t="s">
        <v>1662</v>
      </c>
      <c r="E231" s="18" t="s">
        <v>455</v>
      </c>
    </row>
    <row r="232">
      <c r="B232" s="18"/>
      <c r="C232" s="89" t="s">
        <v>589</v>
      </c>
      <c r="D232" s="82" t="s">
        <v>1663</v>
      </c>
      <c r="E232" s="18" t="s">
        <v>455</v>
      </c>
    </row>
    <row r="233">
      <c r="B233" s="18"/>
      <c r="C233" s="78" t="s">
        <v>463</v>
      </c>
      <c r="D233" s="82" t="s">
        <v>1664</v>
      </c>
      <c r="E233" s="77"/>
    </row>
    <row r="234">
      <c r="B234" s="18"/>
      <c r="C234" s="78" t="s">
        <v>596</v>
      </c>
      <c r="D234" s="82" t="s">
        <v>1665</v>
      </c>
      <c r="E234" s="18" t="s">
        <v>455</v>
      </c>
    </row>
    <row r="235">
      <c r="B235" s="18"/>
      <c r="C235" s="78" t="s">
        <v>401</v>
      </c>
      <c r="D235" s="83" t="s">
        <v>1666</v>
      </c>
      <c r="E235" s="18" t="s">
        <v>455</v>
      </c>
    </row>
    <row r="236">
      <c r="B236" s="18"/>
      <c r="C236" s="78" t="s">
        <v>599</v>
      </c>
      <c r="D236" s="82" t="s">
        <v>1667</v>
      </c>
      <c r="E236" s="18" t="s">
        <v>455</v>
      </c>
    </row>
    <row r="237">
      <c r="B237" s="18"/>
      <c r="C237" s="63" t="s">
        <v>1668</v>
      </c>
      <c r="D237" s="82" t="s">
        <v>1669</v>
      </c>
      <c r="E237" s="18" t="s">
        <v>455</v>
      </c>
    </row>
    <row r="238">
      <c r="B238" s="18"/>
      <c r="C238" s="63" t="s">
        <v>1670</v>
      </c>
      <c r="D238" s="83" t="s">
        <v>1671</v>
      </c>
      <c r="E238" s="18" t="s">
        <v>455</v>
      </c>
    </row>
    <row r="239">
      <c r="B239" s="18"/>
      <c r="C239" s="63" t="s">
        <v>1672</v>
      </c>
      <c r="D239" s="82" t="s">
        <v>1673</v>
      </c>
      <c r="E239" s="18" t="s">
        <v>455</v>
      </c>
    </row>
    <row r="240">
      <c r="B240" s="18"/>
      <c r="C240" s="63" t="s">
        <v>1674</v>
      </c>
      <c r="D240" s="82" t="s">
        <v>1675</v>
      </c>
      <c r="E240" s="18" t="s">
        <v>455</v>
      </c>
    </row>
    <row r="241">
      <c r="B241" s="18"/>
      <c r="C241" s="78" t="s">
        <v>463</v>
      </c>
      <c r="D241" s="82" t="s">
        <v>1676</v>
      </c>
      <c r="E241" s="77"/>
    </row>
    <row r="242">
      <c r="B242" s="18"/>
      <c r="C242" s="85" t="s">
        <v>463</v>
      </c>
      <c r="D242" s="82" t="s">
        <v>1677</v>
      </c>
      <c r="E242" s="77"/>
    </row>
    <row r="243">
      <c r="B243" s="18"/>
      <c r="C243" s="78" t="s">
        <v>463</v>
      </c>
      <c r="D243" s="83" t="s">
        <v>1678</v>
      </c>
      <c r="E243" s="77"/>
    </row>
    <row r="244">
      <c r="B244" s="18"/>
      <c r="C244" s="78"/>
      <c r="D244" s="78"/>
      <c r="E244" s="77"/>
    </row>
    <row r="245">
      <c r="B245" s="18"/>
      <c r="C245" s="78"/>
      <c r="D245" s="77"/>
      <c r="E245" s="77"/>
    </row>
    <row r="246">
      <c r="B246" s="18"/>
      <c r="C246" s="18"/>
      <c r="D246" s="85"/>
      <c r="E246" s="77"/>
    </row>
    <row r="247">
      <c r="B247" s="18"/>
      <c r="C247" s="188"/>
      <c r="D247" s="188"/>
      <c r="E247" s="77"/>
    </row>
    <row r="248">
      <c r="B248" s="18"/>
      <c r="C248" s="78">
        <f>700*75</f>
        <v>52500</v>
      </c>
      <c r="D248" s="77"/>
      <c r="E248" s="77"/>
    </row>
    <row r="249">
      <c r="B249" s="18"/>
      <c r="C249" s="78"/>
      <c r="D249" s="77"/>
      <c r="E249" s="77"/>
    </row>
    <row r="250">
      <c r="B250" s="18"/>
      <c r="C250" s="78"/>
      <c r="D250" s="77"/>
      <c r="E250" s="77"/>
    </row>
    <row r="251">
      <c r="B251" s="18"/>
      <c r="C251" s="78"/>
      <c r="D251" s="77"/>
      <c r="E251" s="77"/>
    </row>
    <row r="252">
      <c r="B252" s="18"/>
      <c r="C252" s="78"/>
      <c r="D252" s="188"/>
      <c r="E252" s="77"/>
    </row>
    <row r="253">
      <c r="B253" s="18"/>
      <c r="C253" s="78"/>
      <c r="D253" s="77"/>
      <c r="E253" s="77"/>
    </row>
    <row r="254">
      <c r="B254" s="18"/>
      <c r="C254" s="18"/>
      <c r="D254" s="189"/>
      <c r="E254" s="77"/>
    </row>
    <row r="255">
      <c r="B255" s="18"/>
      <c r="C255" s="18"/>
      <c r="D255" s="189"/>
      <c r="E255" s="77"/>
    </row>
    <row r="256">
      <c r="B256" s="18"/>
      <c r="C256" s="18"/>
      <c r="D256" s="85"/>
      <c r="E256" s="77"/>
    </row>
    <row r="257">
      <c r="B257" s="18"/>
      <c r="C257" s="78"/>
      <c r="D257" s="188"/>
      <c r="E257" s="77"/>
    </row>
    <row r="258">
      <c r="B258" s="18"/>
      <c r="C258" s="78"/>
      <c r="D258" s="188"/>
      <c r="E258" s="77"/>
    </row>
    <row r="259">
      <c r="B259" s="18"/>
      <c r="C259" s="78"/>
      <c r="D259" s="78"/>
      <c r="E259" s="77"/>
    </row>
    <row r="260">
      <c r="B260" s="18"/>
      <c r="C260" s="78"/>
      <c r="D260" s="77"/>
      <c r="E260" s="77"/>
    </row>
    <row r="261">
      <c r="B261" s="18"/>
      <c r="C261" s="78"/>
      <c r="D261" s="77"/>
      <c r="E261" s="77"/>
    </row>
    <row r="262">
      <c r="B262" s="18"/>
      <c r="C262" s="78"/>
      <c r="D262" s="78"/>
      <c r="E262" s="77"/>
    </row>
    <row r="263">
      <c r="B263" s="18"/>
      <c r="C263" s="78"/>
      <c r="D263" s="77"/>
      <c r="E263" s="77"/>
    </row>
    <row r="264">
      <c r="B264" s="18"/>
      <c r="C264" s="78"/>
      <c r="D264" s="78"/>
      <c r="E264" s="77"/>
    </row>
    <row r="265">
      <c r="B265" s="18"/>
      <c r="C265" s="18"/>
      <c r="D265" s="85"/>
      <c r="E265" s="77"/>
    </row>
    <row r="266">
      <c r="B266" s="18"/>
      <c r="C266" s="78"/>
      <c r="D266" s="77"/>
      <c r="E266" s="77"/>
    </row>
    <row r="267">
      <c r="B267" s="18"/>
      <c r="C267" s="189"/>
      <c r="D267" s="85"/>
      <c r="E267" s="77"/>
    </row>
    <row r="268">
      <c r="B268" s="18"/>
      <c r="C268" s="18"/>
      <c r="D268" s="189"/>
      <c r="E268" s="77"/>
    </row>
    <row r="269">
      <c r="B269" s="18"/>
      <c r="C269" s="78"/>
      <c r="D269" s="78"/>
      <c r="E269" s="77"/>
    </row>
    <row r="270">
      <c r="B270" s="18"/>
      <c r="C270" s="78"/>
      <c r="D270" s="78"/>
      <c r="E270" s="77"/>
    </row>
    <row r="271">
      <c r="B271" s="18"/>
      <c r="C271" s="78"/>
      <c r="D271" s="78"/>
      <c r="E271" s="77"/>
    </row>
    <row r="272">
      <c r="B272" s="18"/>
      <c r="C272" s="78"/>
      <c r="D272" s="78"/>
      <c r="E272" s="77"/>
    </row>
    <row r="273">
      <c r="B273" s="18"/>
      <c r="C273" s="78"/>
      <c r="D273" s="77"/>
      <c r="E273" s="77"/>
    </row>
    <row r="274">
      <c r="B274" s="18"/>
      <c r="C274" s="78">
        <v>10.0</v>
      </c>
      <c r="D274" s="78" t="s">
        <v>1679</v>
      </c>
      <c r="E274" s="18">
        <v>6.0</v>
      </c>
      <c r="F274" s="23">
        <v>4.0</v>
      </c>
    </row>
    <row r="275">
      <c r="B275" s="18"/>
      <c r="C275" s="78">
        <v>1000.0</v>
      </c>
      <c r="D275" s="78" t="s">
        <v>1680</v>
      </c>
      <c r="E275" s="77"/>
    </row>
    <row r="276">
      <c r="B276" s="18"/>
      <c r="C276" s="78"/>
      <c r="D276" s="78"/>
      <c r="E276" s="77"/>
    </row>
    <row r="277">
      <c r="B277" s="18"/>
      <c r="C277" s="78"/>
      <c r="D277" s="78"/>
      <c r="E277" s="77"/>
    </row>
    <row r="278">
      <c r="B278" s="18"/>
      <c r="C278" s="78"/>
      <c r="D278" s="78"/>
      <c r="E278" s="77"/>
    </row>
    <row r="279">
      <c r="B279" s="18"/>
      <c r="C279" s="78"/>
      <c r="D279" s="77"/>
      <c r="E279" s="77"/>
    </row>
    <row r="280">
      <c r="B280" s="18"/>
      <c r="C280" s="78"/>
      <c r="D280" s="188"/>
      <c r="E280" s="77"/>
    </row>
    <row r="281">
      <c r="B281" s="18"/>
      <c r="C281" s="189"/>
      <c r="D281" s="189"/>
      <c r="E281" s="77"/>
    </row>
    <row r="282">
      <c r="B282" s="18"/>
      <c r="C282" s="78"/>
      <c r="D282" s="78"/>
      <c r="E282" s="77"/>
    </row>
    <row r="283">
      <c r="B283" s="18"/>
      <c r="C283" s="78"/>
      <c r="D283" s="78"/>
      <c r="E283" s="77"/>
    </row>
    <row r="284">
      <c r="B284" s="18"/>
      <c r="C284" s="78"/>
      <c r="D284" s="78"/>
      <c r="E284" s="77"/>
    </row>
    <row r="285">
      <c r="B285" s="18"/>
      <c r="C285" s="78"/>
      <c r="D285" s="78"/>
      <c r="E285" s="77"/>
    </row>
    <row r="286">
      <c r="B286" s="18"/>
      <c r="C286" s="78"/>
      <c r="D286" s="78"/>
      <c r="E286" s="77"/>
    </row>
    <row r="287">
      <c r="B287" s="18"/>
      <c r="C287" s="78"/>
      <c r="D287" s="77"/>
      <c r="E287" s="77"/>
    </row>
    <row r="288">
      <c r="B288" s="18"/>
      <c r="C288" s="78"/>
      <c r="D288" s="77"/>
      <c r="E288" s="77"/>
    </row>
    <row r="289">
      <c r="B289" s="18"/>
      <c r="C289" s="78"/>
      <c r="D289" s="77"/>
      <c r="E289" s="77"/>
    </row>
    <row r="290">
      <c r="B290" s="18"/>
      <c r="C290" s="189"/>
      <c r="D290" s="189"/>
      <c r="E290" s="77"/>
    </row>
    <row r="291">
      <c r="B291" s="18"/>
      <c r="C291" s="189"/>
      <c r="D291" s="18"/>
      <c r="E291" s="77"/>
    </row>
    <row r="292">
      <c r="B292" s="18"/>
      <c r="C292" s="189"/>
      <c r="D292" s="85"/>
      <c r="E292" s="77"/>
    </row>
    <row r="293">
      <c r="B293" s="18"/>
      <c r="C293" s="189"/>
      <c r="D293" s="85"/>
      <c r="E293" s="77"/>
    </row>
    <row r="294">
      <c r="B294" s="18"/>
      <c r="C294" s="189"/>
      <c r="D294" s="85"/>
      <c r="E294" s="77"/>
    </row>
    <row r="295">
      <c r="B295" s="18"/>
      <c r="C295" s="189"/>
      <c r="D295" s="85"/>
      <c r="E295" s="77"/>
    </row>
    <row r="296">
      <c r="B296" s="18"/>
      <c r="C296" s="189"/>
      <c r="D296" s="85"/>
      <c r="E296" s="77"/>
    </row>
    <row r="297">
      <c r="B297" s="18"/>
      <c r="C297" s="189"/>
      <c r="D297" s="85"/>
      <c r="E297" s="77"/>
    </row>
    <row r="298">
      <c r="B298" s="18"/>
      <c r="C298" s="189"/>
      <c r="D298" s="85"/>
      <c r="E298" s="77"/>
    </row>
    <row r="299">
      <c r="B299" s="18"/>
      <c r="C299" s="78"/>
      <c r="D299" s="77"/>
      <c r="E299" s="77"/>
    </row>
    <row r="300">
      <c r="B300" s="18"/>
      <c r="C300" s="78"/>
      <c r="D300" s="78"/>
      <c r="E300" s="77"/>
    </row>
    <row r="301">
      <c r="B301" s="18"/>
      <c r="C301" s="78"/>
      <c r="D301" s="78"/>
      <c r="E301" s="77"/>
    </row>
    <row r="310">
      <c r="C310" s="190"/>
    </row>
    <row r="311">
      <c r="C311" s="191"/>
    </row>
    <row r="312">
      <c r="C312" s="191"/>
    </row>
    <row r="313">
      <c r="C313" s="191"/>
    </row>
    <row r="314">
      <c r="C314" s="192"/>
    </row>
    <row r="315">
      <c r="C315" s="191"/>
    </row>
    <row r="316">
      <c r="C316" s="191"/>
    </row>
    <row r="317">
      <c r="C317" s="191"/>
    </row>
    <row r="318">
      <c r="C318" s="192"/>
    </row>
    <row r="319">
      <c r="C319" s="192"/>
    </row>
    <row r="320">
      <c r="C320" s="191"/>
    </row>
    <row r="321">
      <c r="C321" s="192"/>
    </row>
    <row r="322">
      <c r="C322" s="192"/>
    </row>
    <row r="323">
      <c r="C323" s="191"/>
    </row>
    <row r="324">
      <c r="C324" s="192"/>
    </row>
    <row r="325">
      <c r="C325" s="191"/>
    </row>
    <row r="326">
      <c r="C326" s="191"/>
    </row>
    <row r="327">
      <c r="C327" s="191"/>
    </row>
    <row r="328">
      <c r="C328" s="191"/>
    </row>
    <row r="329">
      <c r="C329" s="191"/>
    </row>
    <row r="330">
      <c r="C330" s="191"/>
    </row>
    <row r="331">
      <c r="C331" s="191"/>
    </row>
    <row r="332">
      <c r="C332" s="191"/>
    </row>
    <row r="333">
      <c r="C333" s="191"/>
    </row>
    <row r="334">
      <c r="C334" s="191"/>
    </row>
    <row r="335">
      <c r="C335" s="191"/>
    </row>
    <row r="336">
      <c r="C336" s="191"/>
    </row>
    <row r="337">
      <c r="C337" s="191"/>
    </row>
    <row r="338">
      <c r="C338" s="193"/>
    </row>
    <row r="339">
      <c r="C339" s="193"/>
    </row>
    <row r="340">
      <c r="C340" s="193"/>
    </row>
    <row r="341">
      <c r="C341" s="193"/>
    </row>
    <row r="342">
      <c r="C342" s="193"/>
    </row>
    <row r="343">
      <c r="C343" s="193"/>
    </row>
    <row r="344">
      <c r="C344" s="193"/>
    </row>
    <row r="345">
      <c r="C345" s="193"/>
    </row>
    <row r="346">
      <c r="C346" s="193"/>
    </row>
  </sheetData>
  <mergeCells count="25">
    <mergeCell ref="B1:Y1"/>
    <mergeCell ref="B4:B8"/>
    <mergeCell ref="B9:B19"/>
    <mergeCell ref="B21:B29"/>
    <mergeCell ref="B30:B32"/>
    <mergeCell ref="B34:B47"/>
    <mergeCell ref="B52:B54"/>
    <mergeCell ref="B55:B61"/>
    <mergeCell ref="C55:C59"/>
    <mergeCell ref="D55:D59"/>
    <mergeCell ref="B62:B75"/>
    <mergeCell ref="C62:C75"/>
    <mergeCell ref="C77:C79"/>
    <mergeCell ref="D77:D79"/>
    <mergeCell ref="B136:B137"/>
    <mergeCell ref="C136:C137"/>
    <mergeCell ref="D136:D137"/>
    <mergeCell ref="B138:B139"/>
    <mergeCell ref="B80:B82"/>
    <mergeCell ref="C80:C82"/>
    <mergeCell ref="D80:D82"/>
    <mergeCell ref="B84:B96"/>
    <mergeCell ref="B97:B98"/>
    <mergeCell ref="B124:B129"/>
    <mergeCell ref="B130:B13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43"/>
  </cols>
  <sheetData>
    <row r="1">
      <c r="A1" s="194" t="s">
        <v>1681</v>
      </c>
      <c r="B1" s="194" t="s">
        <v>1682</v>
      </c>
      <c r="C1" s="195"/>
      <c r="D1" s="196"/>
      <c r="E1" s="196"/>
    </row>
    <row r="2">
      <c r="A2" s="194" t="s">
        <v>1683</v>
      </c>
      <c r="B2" s="194" t="s">
        <v>24</v>
      </c>
      <c r="C2" s="194" t="s">
        <v>1684</v>
      </c>
      <c r="D2" s="196"/>
      <c r="E2" s="196"/>
    </row>
    <row r="3">
      <c r="A3" s="197" t="s">
        <v>1685</v>
      </c>
      <c r="B3" s="198">
        <v>4.0</v>
      </c>
      <c r="C3" s="198">
        <v>4.0</v>
      </c>
      <c r="D3" s="196"/>
      <c r="E3" s="103" t="s">
        <v>1686</v>
      </c>
    </row>
    <row r="4">
      <c r="A4" s="197" t="s">
        <v>1687</v>
      </c>
      <c r="B4" s="198">
        <v>1.0</v>
      </c>
      <c r="C4" s="198">
        <v>1.0</v>
      </c>
      <c r="D4" s="196"/>
      <c r="E4" s="103" t="s">
        <v>1688</v>
      </c>
    </row>
    <row r="5">
      <c r="A5" s="197" t="s">
        <v>1689</v>
      </c>
      <c r="B5" s="198">
        <v>1.0</v>
      </c>
      <c r="C5" s="198">
        <v>1.0</v>
      </c>
      <c r="D5" s="196"/>
      <c r="E5" s="103" t="s">
        <v>1690</v>
      </c>
    </row>
    <row r="6">
      <c r="A6" s="197" t="s">
        <v>1691</v>
      </c>
      <c r="B6" s="198">
        <v>3.0</v>
      </c>
      <c r="C6" s="198">
        <v>3.0</v>
      </c>
      <c r="D6" s="196"/>
      <c r="E6" s="103" t="s">
        <v>1690</v>
      </c>
    </row>
    <row r="7">
      <c r="A7" s="197" t="s">
        <v>1692</v>
      </c>
      <c r="B7" s="198">
        <v>2.0</v>
      </c>
      <c r="C7" s="198">
        <v>2.0</v>
      </c>
      <c r="D7" s="196"/>
      <c r="E7" s="103" t="s">
        <v>1690</v>
      </c>
    </row>
    <row r="8">
      <c r="A8" s="197" t="s">
        <v>1693</v>
      </c>
      <c r="B8" s="198">
        <v>1.0</v>
      </c>
      <c r="C8" s="198">
        <v>1.0</v>
      </c>
      <c r="D8" s="196"/>
      <c r="E8" s="103" t="s">
        <v>1690</v>
      </c>
    </row>
    <row r="9">
      <c r="A9" s="197" t="s">
        <v>1694</v>
      </c>
      <c r="B9" s="198">
        <v>1.0</v>
      </c>
      <c r="C9" s="198">
        <v>1.0</v>
      </c>
      <c r="D9" s="196"/>
      <c r="E9" s="103" t="s">
        <v>1695</v>
      </c>
    </row>
    <row r="10">
      <c r="A10" s="197" t="s">
        <v>1696</v>
      </c>
      <c r="B10" s="198">
        <v>1.0</v>
      </c>
      <c r="C10" s="198">
        <v>1.0</v>
      </c>
      <c r="D10" s="196"/>
      <c r="E10" s="103" t="s">
        <v>1695</v>
      </c>
    </row>
    <row r="11">
      <c r="A11" s="197" t="s">
        <v>1697</v>
      </c>
      <c r="B11" s="198">
        <v>1.0</v>
      </c>
      <c r="C11" s="198">
        <v>1.0</v>
      </c>
      <c r="D11" s="196"/>
      <c r="E11" s="103" t="s">
        <v>1688</v>
      </c>
    </row>
    <row r="12">
      <c r="A12" s="197" t="s">
        <v>1698</v>
      </c>
      <c r="B12" s="198">
        <v>1.0</v>
      </c>
      <c r="C12" s="198">
        <v>1.0</v>
      </c>
      <c r="D12" s="196"/>
      <c r="E12" s="103" t="s">
        <v>1699</v>
      </c>
    </row>
    <row r="13">
      <c r="A13" s="197" t="s">
        <v>1700</v>
      </c>
      <c r="B13" s="198">
        <v>1.0</v>
      </c>
      <c r="C13" s="198">
        <v>1.0</v>
      </c>
      <c r="D13" s="196"/>
      <c r="E13" s="199" t="s">
        <v>923</v>
      </c>
    </row>
    <row r="14">
      <c r="A14" s="197" t="s">
        <v>1701</v>
      </c>
      <c r="B14" s="198">
        <v>1.0</v>
      </c>
      <c r="C14" s="198">
        <v>1.0</v>
      </c>
      <c r="D14" s="196"/>
      <c r="E14" s="103" t="s">
        <v>1686</v>
      </c>
    </row>
    <row r="15">
      <c r="A15" s="197" t="s">
        <v>1702</v>
      </c>
      <c r="B15" s="198">
        <v>1.0</v>
      </c>
      <c r="C15" s="198">
        <v>1.0</v>
      </c>
      <c r="D15" s="196"/>
      <c r="E15" s="103" t="s">
        <v>1686</v>
      </c>
    </row>
    <row r="16">
      <c r="A16" s="197" t="s">
        <v>1703</v>
      </c>
      <c r="B16" s="198">
        <v>3.0</v>
      </c>
      <c r="C16" s="198">
        <v>3.0</v>
      </c>
      <c r="D16" s="196"/>
      <c r="E16" s="103" t="s">
        <v>1686</v>
      </c>
    </row>
    <row r="17">
      <c r="A17" s="197" t="s">
        <v>1704</v>
      </c>
      <c r="B17" s="198">
        <v>1.0</v>
      </c>
      <c r="C17" s="198">
        <v>1.0</v>
      </c>
      <c r="D17" s="196"/>
      <c r="E17" s="103" t="s">
        <v>1686</v>
      </c>
    </row>
    <row r="18">
      <c r="A18" s="197" t="s">
        <v>1705</v>
      </c>
      <c r="B18" s="198">
        <v>1.0</v>
      </c>
      <c r="C18" s="198">
        <v>1.0</v>
      </c>
      <c r="D18" s="196"/>
      <c r="E18" s="103" t="s">
        <v>1695</v>
      </c>
    </row>
    <row r="19">
      <c r="A19" s="197" t="s">
        <v>1706</v>
      </c>
      <c r="B19" s="198">
        <v>2.0</v>
      </c>
      <c r="C19" s="198">
        <v>2.0</v>
      </c>
      <c r="D19" s="196"/>
      <c r="E19" s="103" t="s">
        <v>1707</v>
      </c>
    </row>
    <row r="20">
      <c r="A20" s="197" t="s">
        <v>1708</v>
      </c>
      <c r="B20" s="198">
        <v>1.0</v>
      </c>
      <c r="C20" s="198">
        <v>1.0</v>
      </c>
      <c r="D20" s="196"/>
      <c r="E20" s="103" t="s">
        <v>1709</v>
      </c>
    </row>
    <row r="21">
      <c r="A21" s="197" t="s">
        <v>1710</v>
      </c>
      <c r="B21" s="198">
        <v>1.0</v>
      </c>
      <c r="C21" s="198">
        <v>1.0</v>
      </c>
      <c r="D21" s="196"/>
      <c r="E21" s="103" t="s">
        <v>1711</v>
      </c>
    </row>
    <row r="22">
      <c r="A22" s="197" t="s">
        <v>1712</v>
      </c>
      <c r="B22" s="198">
        <v>3.0</v>
      </c>
      <c r="C22" s="198">
        <v>3.0</v>
      </c>
      <c r="D22" s="196"/>
      <c r="E22" s="103" t="s">
        <v>1690</v>
      </c>
    </row>
    <row r="23">
      <c r="A23" s="197" t="s">
        <v>1713</v>
      </c>
      <c r="B23" s="198">
        <v>1.0</v>
      </c>
      <c r="C23" s="198">
        <v>1.0</v>
      </c>
      <c r="D23" s="196"/>
      <c r="E23" s="103" t="s">
        <v>1714</v>
      </c>
    </row>
    <row r="24">
      <c r="A24" s="197" t="s">
        <v>1715</v>
      </c>
      <c r="B24" s="198">
        <v>3.0</v>
      </c>
      <c r="C24" s="198">
        <v>3.0</v>
      </c>
      <c r="D24" s="196"/>
      <c r="E24" s="103" t="s">
        <v>1716</v>
      </c>
    </row>
    <row r="25">
      <c r="A25" s="197" t="s">
        <v>1717</v>
      </c>
      <c r="B25" s="198">
        <v>1.0</v>
      </c>
      <c r="C25" s="198">
        <v>1.0</v>
      </c>
      <c r="D25" s="196"/>
      <c r="E25" s="103" t="s">
        <v>1718</v>
      </c>
    </row>
    <row r="26">
      <c r="A26" s="197" t="s">
        <v>1719</v>
      </c>
      <c r="B26" s="198">
        <v>1.0</v>
      </c>
      <c r="C26" s="198">
        <v>1.0</v>
      </c>
      <c r="D26" s="196"/>
      <c r="E26" s="103" t="s">
        <v>1716</v>
      </c>
    </row>
    <row r="27">
      <c r="A27" s="197" t="s">
        <v>1720</v>
      </c>
      <c r="B27" s="198">
        <v>3.0</v>
      </c>
      <c r="C27" s="198">
        <v>3.0</v>
      </c>
      <c r="D27" s="196"/>
      <c r="E27" s="103" t="s">
        <v>1721</v>
      </c>
    </row>
    <row r="28">
      <c r="A28" s="197" t="s">
        <v>1722</v>
      </c>
      <c r="B28" s="198">
        <v>1.0</v>
      </c>
      <c r="C28" s="198">
        <v>1.0</v>
      </c>
      <c r="D28" s="196"/>
      <c r="E28" s="103" t="s">
        <v>1716</v>
      </c>
    </row>
    <row r="29">
      <c r="A29" s="197" t="s">
        <v>1723</v>
      </c>
      <c r="B29" s="198">
        <v>1.0</v>
      </c>
      <c r="C29" s="198">
        <v>1.0</v>
      </c>
      <c r="D29" s="196"/>
      <c r="E29" s="103" t="s">
        <v>460</v>
      </c>
    </row>
    <row r="30">
      <c r="A30" s="197" t="s">
        <v>1724</v>
      </c>
      <c r="B30" s="198">
        <v>2.0</v>
      </c>
      <c r="C30" s="198">
        <v>2.0</v>
      </c>
      <c r="D30" s="196"/>
      <c r="E30" s="103" t="s">
        <v>1686</v>
      </c>
    </row>
    <row r="31">
      <c r="A31" s="197" t="s">
        <v>1725</v>
      </c>
      <c r="B31" s="198">
        <v>1.0</v>
      </c>
      <c r="C31" s="198">
        <v>1.0</v>
      </c>
      <c r="D31" s="196"/>
      <c r="E31" s="103" t="s">
        <v>698</v>
      </c>
    </row>
    <row r="32">
      <c r="A32" s="197" t="s">
        <v>1726</v>
      </c>
      <c r="B32" s="198">
        <v>1.0</v>
      </c>
      <c r="C32" s="198">
        <v>1.0</v>
      </c>
      <c r="D32" s="196"/>
      <c r="E32" s="103" t="s">
        <v>1686</v>
      </c>
    </row>
    <row r="33">
      <c r="A33" s="197" t="s">
        <v>1727</v>
      </c>
      <c r="B33" s="198">
        <v>1.0</v>
      </c>
      <c r="C33" s="198">
        <v>1.0</v>
      </c>
      <c r="D33" s="196"/>
      <c r="E33" s="103" t="s">
        <v>1728</v>
      </c>
    </row>
    <row r="34">
      <c r="A34" s="197" t="s">
        <v>1729</v>
      </c>
      <c r="B34" s="198">
        <v>2.0</v>
      </c>
      <c r="C34" s="198">
        <v>2.0</v>
      </c>
      <c r="D34" s="196"/>
      <c r="E34" s="103" t="s">
        <v>1690</v>
      </c>
    </row>
    <row r="35">
      <c r="A35" s="197" t="s">
        <v>1730</v>
      </c>
      <c r="B35" s="198">
        <v>1.0</v>
      </c>
      <c r="C35" s="198">
        <v>1.0</v>
      </c>
      <c r="D35" s="196"/>
      <c r="E35" s="103" t="s">
        <v>1731</v>
      </c>
    </row>
    <row r="36">
      <c r="A36" s="197" t="s">
        <v>1732</v>
      </c>
      <c r="B36" s="198">
        <v>1.0</v>
      </c>
      <c r="C36" s="198">
        <v>1.0</v>
      </c>
      <c r="D36" s="196"/>
      <c r="E36" s="103" t="s">
        <v>176</v>
      </c>
    </row>
    <row r="37">
      <c r="A37" s="197" t="s">
        <v>1733</v>
      </c>
      <c r="B37" s="198">
        <v>1.0</v>
      </c>
      <c r="C37" s="198">
        <v>1.0</v>
      </c>
      <c r="D37" s="196"/>
      <c r="E37" s="103" t="s">
        <v>1734</v>
      </c>
    </row>
    <row r="38">
      <c r="A38" s="197" t="s">
        <v>1735</v>
      </c>
      <c r="B38" s="198">
        <v>1.0</v>
      </c>
      <c r="C38" s="198">
        <v>1.0</v>
      </c>
      <c r="D38" s="196"/>
      <c r="E38" s="103" t="s">
        <v>1736</v>
      </c>
    </row>
    <row r="39">
      <c r="A39" s="197" t="s">
        <v>1737</v>
      </c>
      <c r="B39" s="198">
        <v>1.0</v>
      </c>
      <c r="C39" s="198">
        <v>1.0</v>
      </c>
      <c r="D39" s="196"/>
      <c r="E39" s="103" t="s">
        <v>176</v>
      </c>
    </row>
    <row r="40">
      <c r="A40" s="197" t="s">
        <v>1738</v>
      </c>
      <c r="B40" s="198">
        <v>1.0</v>
      </c>
      <c r="C40" s="198">
        <v>1.0</v>
      </c>
      <c r="D40" s="196"/>
      <c r="E40" s="103" t="s">
        <v>1739</v>
      </c>
    </row>
    <row r="41">
      <c r="A41" s="197" t="s">
        <v>1740</v>
      </c>
      <c r="B41" s="198">
        <v>1.0</v>
      </c>
      <c r="C41" s="198">
        <v>1.0</v>
      </c>
      <c r="D41" s="196"/>
      <c r="E41" s="103" t="s">
        <v>1739</v>
      </c>
    </row>
    <row r="42">
      <c r="A42" s="197" t="s">
        <v>1741</v>
      </c>
      <c r="B42" s="198">
        <v>1.0</v>
      </c>
      <c r="C42" s="198">
        <v>1.0</v>
      </c>
      <c r="D42" s="196"/>
      <c r="E42" s="103" t="s">
        <v>1742</v>
      </c>
    </row>
    <row r="43">
      <c r="A43" s="197" t="s">
        <v>1743</v>
      </c>
      <c r="B43" s="198">
        <v>1.0</v>
      </c>
      <c r="C43" s="198">
        <v>1.0</v>
      </c>
      <c r="D43" s="196"/>
      <c r="E43" s="103" t="s">
        <v>1744</v>
      </c>
    </row>
    <row r="44">
      <c r="A44" s="197" t="s">
        <v>1745</v>
      </c>
      <c r="B44" s="198">
        <v>1.0</v>
      </c>
      <c r="C44" s="198">
        <v>1.0</v>
      </c>
      <c r="D44" s="196"/>
      <c r="E44" s="103" t="s">
        <v>1746</v>
      </c>
    </row>
    <row r="45">
      <c r="A45" s="197" t="s">
        <v>1747</v>
      </c>
      <c r="B45" s="198">
        <v>1.0</v>
      </c>
      <c r="C45" s="198">
        <v>1.0</v>
      </c>
      <c r="D45" s="196"/>
      <c r="E45" s="103" t="s">
        <v>1742</v>
      </c>
    </row>
    <row r="46">
      <c r="A46" s="197" t="s">
        <v>1748</v>
      </c>
      <c r="B46" s="198">
        <v>3.0</v>
      </c>
      <c r="C46" s="198">
        <v>3.0</v>
      </c>
      <c r="D46" s="196"/>
      <c r="E46" s="103" t="s">
        <v>1749</v>
      </c>
    </row>
    <row r="47">
      <c r="A47" s="197" t="s">
        <v>1750</v>
      </c>
      <c r="B47" s="198">
        <v>1.0</v>
      </c>
      <c r="C47" s="198">
        <v>1.0</v>
      </c>
      <c r="D47" s="196"/>
      <c r="E47" s="103" t="s">
        <v>1751</v>
      </c>
    </row>
    <row r="48">
      <c r="A48" s="197" t="s">
        <v>1752</v>
      </c>
      <c r="B48" s="198">
        <v>1.0</v>
      </c>
      <c r="C48" s="198">
        <v>1.0</v>
      </c>
      <c r="D48" s="196"/>
      <c r="E48" s="103" t="s">
        <v>778</v>
      </c>
    </row>
    <row r="49">
      <c r="A49" s="197" t="s">
        <v>1753</v>
      </c>
      <c r="B49" s="198">
        <v>3.0</v>
      </c>
      <c r="C49" s="198">
        <v>3.0</v>
      </c>
      <c r="D49" s="196"/>
      <c r="E49" s="103" t="s">
        <v>1754</v>
      </c>
    </row>
    <row r="50">
      <c r="A50" s="197" t="s">
        <v>1755</v>
      </c>
      <c r="B50" s="198">
        <v>1.0</v>
      </c>
      <c r="C50" s="198">
        <v>1.0</v>
      </c>
      <c r="D50" s="196"/>
      <c r="E50" s="103" t="s">
        <v>1754</v>
      </c>
    </row>
    <row r="51">
      <c r="A51" s="197" t="s">
        <v>1756</v>
      </c>
      <c r="B51" s="198">
        <v>2.0</v>
      </c>
      <c r="C51" s="198">
        <v>2.0</v>
      </c>
      <c r="D51" s="196"/>
      <c r="E51" s="103" t="s">
        <v>1754</v>
      </c>
    </row>
    <row r="52">
      <c r="A52" s="197" t="s">
        <v>1757</v>
      </c>
      <c r="B52" s="198">
        <v>1.0</v>
      </c>
      <c r="C52" s="198">
        <v>1.0</v>
      </c>
      <c r="D52" s="196"/>
      <c r="E52" s="103" t="s">
        <v>1754</v>
      </c>
    </row>
    <row r="53">
      <c r="A53" s="197" t="s">
        <v>1758</v>
      </c>
      <c r="B53" s="198">
        <v>1.0</v>
      </c>
      <c r="C53" s="198">
        <v>1.0</v>
      </c>
      <c r="D53" s="196"/>
      <c r="E53" s="103" t="s">
        <v>1744</v>
      </c>
    </row>
    <row r="54">
      <c r="A54" s="200" t="s">
        <v>1684</v>
      </c>
      <c r="B54" s="201">
        <v>73.0</v>
      </c>
      <c r="C54" s="201">
        <v>73.0</v>
      </c>
      <c r="D54" s="196"/>
      <c r="E54" s="196"/>
    </row>
    <row r="65">
      <c r="A65" s="97">
        <f>1.8/4</f>
        <v>0.45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71"/>
    <col customWidth="1" min="2" max="2" width="23.71"/>
    <col customWidth="1" min="3" max="3" width="21.14"/>
    <col customWidth="1" min="4" max="4" width="87.14"/>
  </cols>
  <sheetData>
    <row r="1">
      <c r="C1" s="202"/>
      <c r="D1" s="203" t="s">
        <v>1759</v>
      </c>
    </row>
    <row r="2">
      <c r="C2" s="203" t="s">
        <v>1760</v>
      </c>
      <c r="D2" s="202"/>
    </row>
    <row r="3">
      <c r="A3" s="204" t="s">
        <v>1761</v>
      </c>
      <c r="B3" s="23" t="s">
        <v>1762</v>
      </c>
      <c r="C3" s="23" t="s">
        <v>176</v>
      </c>
      <c r="D3" s="23" t="s">
        <v>1763</v>
      </c>
    </row>
    <row r="4">
      <c r="A4" s="23" t="s">
        <v>1764</v>
      </c>
      <c r="B4" s="23" t="s">
        <v>1765</v>
      </c>
      <c r="C4" s="23" t="s">
        <v>176</v>
      </c>
      <c r="D4" s="23" t="s">
        <v>176</v>
      </c>
    </row>
    <row r="5">
      <c r="A5" s="204" t="s">
        <v>1766</v>
      </c>
      <c r="B5" s="23" t="s">
        <v>1767</v>
      </c>
      <c r="C5" s="23" t="s">
        <v>176</v>
      </c>
      <c r="D5" s="23" t="s">
        <v>176</v>
      </c>
    </row>
    <row r="6">
      <c r="A6" s="23" t="s">
        <v>1768</v>
      </c>
      <c r="B6" s="23" t="s">
        <v>1769</v>
      </c>
      <c r="C6" s="23" t="s">
        <v>176</v>
      </c>
      <c r="D6" s="23" t="s">
        <v>1770</v>
      </c>
    </row>
    <row r="7">
      <c r="A7" s="23" t="s">
        <v>1771</v>
      </c>
      <c r="B7" s="23" t="s">
        <v>1772</v>
      </c>
      <c r="C7" s="23" t="s">
        <v>176</v>
      </c>
      <c r="D7" s="203" t="s">
        <v>1773</v>
      </c>
    </row>
    <row r="8">
      <c r="A8" s="204" t="s">
        <v>1774</v>
      </c>
      <c r="B8" s="23" t="s">
        <v>1775</v>
      </c>
      <c r="C8" s="23" t="s">
        <v>176</v>
      </c>
      <c r="D8" s="203" t="s">
        <v>1773</v>
      </c>
    </row>
    <row r="9">
      <c r="A9" s="23" t="s">
        <v>1776</v>
      </c>
      <c r="B9" s="23" t="s">
        <v>1777</v>
      </c>
      <c r="C9" s="23" t="s">
        <v>176</v>
      </c>
      <c r="D9" s="23" t="s">
        <v>176</v>
      </c>
    </row>
    <row r="10">
      <c r="A10" s="23" t="s">
        <v>1778</v>
      </c>
      <c r="B10" s="23" t="s">
        <v>1779</v>
      </c>
      <c r="C10" s="23" t="s">
        <v>176</v>
      </c>
      <c r="D10" s="23" t="s">
        <v>176</v>
      </c>
    </row>
    <row r="11">
      <c r="A11" s="204" t="s">
        <v>1780</v>
      </c>
      <c r="B11" s="23" t="s">
        <v>1781</v>
      </c>
      <c r="C11" s="23" t="s">
        <v>176</v>
      </c>
      <c r="D11" s="23" t="s">
        <v>1782</v>
      </c>
    </row>
    <row r="12">
      <c r="A12" s="23" t="s">
        <v>1783</v>
      </c>
      <c r="B12" s="23" t="s">
        <v>1784</v>
      </c>
      <c r="C12" s="23" t="s">
        <v>176</v>
      </c>
      <c r="D12" s="23" t="s">
        <v>193</v>
      </c>
    </row>
    <row r="13">
      <c r="A13" s="204" t="s">
        <v>1785</v>
      </c>
      <c r="B13" s="23" t="s">
        <v>1786</v>
      </c>
      <c r="C13" s="23" t="s">
        <v>176</v>
      </c>
      <c r="D13" s="23" t="s">
        <v>176</v>
      </c>
    </row>
    <row r="14">
      <c r="A14" s="23" t="s">
        <v>1787</v>
      </c>
      <c r="B14" s="23" t="s">
        <v>1788</v>
      </c>
      <c r="C14" s="23" t="s">
        <v>176</v>
      </c>
      <c r="D14" s="23" t="s">
        <v>193</v>
      </c>
    </row>
    <row r="15">
      <c r="A15" s="23" t="s">
        <v>1789</v>
      </c>
      <c r="B15" s="23" t="s">
        <v>1790</v>
      </c>
      <c r="C15" s="23" t="s">
        <v>176</v>
      </c>
      <c r="D15" s="203" t="s">
        <v>1773</v>
      </c>
    </row>
    <row r="16">
      <c r="A16" s="23" t="s">
        <v>1791</v>
      </c>
      <c r="B16" s="23" t="s">
        <v>1792</v>
      </c>
      <c r="C16" s="23" t="s">
        <v>176</v>
      </c>
      <c r="D16" s="203" t="s">
        <v>1773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0.86"/>
    <col customWidth="1" min="5" max="6" width="30.43"/>
    <col customWidth="1" min="7" max="7" width="29.71"/>
  </cols>
  <sheetData>
    <row r="1">
      <c r="A1" s="205" t="s">
        <v>1793</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row>
    <row r="2">
      <c r="A2" s="205">
        <v>1.0</v>
      </c>
      <c r="B2" s="205" t="s">
        <v>1794</v>
      </c>
      <c r="C2" s="206"/>
      <c r="D2" s="206"/>
      <c r="E2" s="206"/>
      <c r="F2" s="206"/>
      <c r="G2" s="205" t="s">
        <v>1795</v>
      </c>
      <c r="H2" s="206"/>
      <c r="I2" s="206"/>
      <c r="J2" s="206"/>
      <c r="K2" s="206"/>
      <c r="L2" s="206"/>
      <c r="M2" s="206"/>
      <c r="N2" s="206"/>
      <c r="O2" s="206"/>
      <c r="P2" s="206"/>
      <c r="Q2" s="206"/>
      <c r="R2" s="206"/>
      <c r="S2" s="206"/>
      <c r="T2" s="206"/>
      <c r="U2" s="206"/>
      <c r="V2" s="206"/>
      <c r="W2" s="206"/>
      <c r="X2" s="206"/>
      <c r="Y2" s="206"/>
      <c r="Z2" s="206"/>
      <c r="AA2" s="206"/>
    </row>
    <row r="3">
      <c r="A3" s="205">
        <v>2.0</v>
      </c>
      <c r="B3" s="205" t="s">
        <v>1796</v>
      </c>
      <c r="C3" s="205">
        <v>20.0</v>
      </c>
      <c r="D3" s="205" t="s">
        <v>1797</v>
      </c>
      <c r="E3" s="206"/>
      <c r="F3" s="206"/>
      <c r="G3" s="205" t="s">
        <v>14</v>
      </c>
      <c r="H3" s="206"/>
      <c r="I3" s="206"/>
      <c r="J3" s="206"/>
      <c r="K3" s="206"/>
      <c r="L3" s="206"/>
      <c r="M3" s="206"/>
      <c r="N3" s="206"/>
      <c r="O3" s="206"/>
      <c r="P3" s="206"/>
      <c r="Q3" s="206"/>
      <c r="R3" s="206"/>
      <c r="S3" s="206"/>
      <c r="T3" s="206"/>
      <c r="U3" s="206"/>
      <c r="V3" s="206"/>
      <c r="W3" s="206"/>
      <c r="X3" s="206"/>
      <c r="Y3" s="206"/>
      <c r="Z3" s="206"/>
      <c r="AA3" s="206"/>
    </row>
    <row r="4">
      <c r="A4" s="205">
        <v>3.0</v>
      </c>
      <c r="B4" s="205" t="s">
        <v>1798</v>
      </c>
      <c r="C4" s="206"/>
      <c r="D4" s="206"/>
      <c r="E4" s="206"/>
      <c r="F4" s="206"/>
      <c r="G4" s="206"/>
      <c r="H4" s="206"/>
      <c r="I4" s="206"/>
      <c r="J4" s="206"/>
      <c r="K4" s="206"/>
      <c r="L4" s="206"/>
      <c r="M4" s="206"/>
      <c r="N4" s="206"/>
      <c r="O4" s="206"/>
      <c r="P4" s="206"/>
      <c r="Q4" s="206"/>
      <c r="R4" s="206"/>
      <c r="S4" s="206"/>
      <c r="T4" s="206"/>
      <c r="U4" s="206"/>
      <c r="V4" s="206"/>
      <c r="W4" s="206"/>
      <c r="X4" s="206"/>
      <c r="Y4" s="206"/>
      <c r="Z4" s="206"/>
      <c r="AA4" s="206"/>
    </row>
    <row r="5">
      <c r="A5" s="207" t="s">
        <v>1799</v>
      </c>
      <c r="B5" s="207" t="s">
        <v>1800</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row>
    <row r="6">
      <c r="A6" s="208"/>
      <c r="B6" s="207" t="s">
        <v>1801</v>
      </c>
      <c r="C6" s="206"/>
      <c r="D6" s="206"/>
      <c r="E6" s="206"/>
      <c r="F6" s="206"/>
      <c r="G6" s="206"/>
      <c r="H6" s="206"/>
      <c r="I6" s="206"/>
      <c r="J6" s="206"/>
      <c r="K6" s="206"/>
      <c r="L6" s="206"/>
      <c r="M6" s="206"/>
      <c r="N6" s="206"/>
      <c r="O6" s="206"/>
      <c r="P6" s="206"/>
      <c r="Q6" s="206"/>
      <c r="R6" s="206"/>
      <c r="S6" s="206"/>
      <c r="T6" s="206"/>
      <c r="U6" s="206"/>
      <c r="V6" s="206"/>
      <c r="W6" s="206"/>
      <c r="X6" s="206"/>
      <c r="Y6" s="206"/>
      <c r="Z6" s="206"/>
      <c r="AA6" s="206"/>
    </row>
    <row r="7">
      <c r="A7" s="205">
        <v>4.0</v>
      </c>
      <c r="B7" s="205" t="s">
        <v>1802</v>
      </c>
      <c r="C7" s="206"/>
      <c r="D7" s="206"/>
      <c r="E7" s="209"/>
      <c r="F7" s="209" t="s">
        <v>1803</v>
      </c>
      <c r="G7" s="206"/>
      <c r="H7" s="206"/>
      <c r="I7" s="206"/>
      <c r="J7" s="206"/>
      <c r="K7" s="206"/>
      <c r="L7" s="206"/>
      <c r="M7" s="206"/>
      <c r="N7" s="206"/>
      <c r="O7" s="206"/>
      <c r="P7" s="206"/>
      <c r="Q7" s="206"/>
      <c r="R7" s="206"/>
      <c r="S7" s="206"/>
      <c r="T7" s="206"/>
      <c r="U7" s="206"/>
      <c r="V7" s="206"/>
      <c r="W7" s="206"/>
      <c r="X7" s="206"/>
      <c r="Y7" s="206"/>
      <c r="Z7" s="206"/>
      <c r="AA7" s="206"/>
    </row>
    <row r="8">
      <c r="A8" s="205">
        <v>5.0</v>
      </c>
      <c r="B8" s="205" t="s">
        <v>1804</v>
      </c>
      <c r="C8" s="206"/>
      <c r="D8" s="206"/>
      <c r="E8" s="209"/>
      <c r="F8" s="209" t="s">
        <v>1805</v>
      </c>
      <c r="G8" s="206"/>
      <c r="H8" s="206"/>
      <c r="I8" s="206"/>
      <c r="J8" s="206"/>
      <c r="K8" s="206"/>
      <c r="L8" s="206"/>
      <c r="M8" s="206"/>
      <c r="N8" s="206"/>
      <c r="O8" s="206"/>
      <c r="P8" s="206"/>
      <c r="Q8" s="206"/>
      <c r="R8" s="206"/>
      <c r="S8" s="206"/>
      <c r="T8" s="206"/>
      <c r="U8" s="206"/>
      <c r="V8" s="206"/>
      <c r="W8" s="206"/>
      <c r="X8" s="206"/>
      <c r="Y8" s="206"/>
      <c r="Z8" s="206"/>
      <c r="AA8" s="206"/>
    </row>
    <row r="9">
      <c r="A9" s="210">
        <v>6.0</v>
      </c>
      <c r="B9" s="210" t="s">
        <v>1806</v>
      </c>
      <c r="C9" s="206"/>
      <c r="D9" s="206"/>
      <c r="E9" s="209"/>
      <c r="F9" s="209" t="s">
        <v>1807</v>
      </c>
      <c r="G9" s="206"/>
      <c r="H9" s="206"/>
      <c r="I9" s="206"/>
      <c r="J9" s="206"/>
      <c r="K9" s="206"/>
      <c r="L9" s="206"/>
      <c r="M9" s="206"/>
      <c r="N9" s="206"/>
      <c r="O9" s="206"/>
      <c r="P9" s="206"/>
      <c r="Q9" s="206"/>
      <c r="R9" s="206"/>
      <c r="S9" s="206"/>
      <c r="T9" s="206"/>
      <c r="U9" s="206"/>
      <c r="V9" s="206"/>
      <c r="W9" s="206"/>
      <c r="X9" s="206"/>
      <c r="Y9" s="206"/>
      <c r="Z9" s="206"/>
      <c r="AA9" s="206"/>
    </row>
    <row r="10">
      <c r="A10" s="205">
        <v>7.0</v>
      </c>
      <c r="B10" s="205" t="s">
        <v>1808</v>
      </c>
      <c r="C10" s="206"/>
      <c r="D10" s="206"/>
      <c r="E10" s="209"/>
      <c r="F10" s="209" t="s">
        <v>1809</v>
      </c>
      <c r="G10" s="206"/>
      <c r="H10" s="206"/>
      <c r="I10" s="206"/>
      <c r="J10" s="206"/>
      <c r="K10" s="206"/>
      <c r="L10" s="206"/>
      <c r="M10" s="206"/>
      <c r="N10" s="206"/>
      <c r="O10" s="206"/>
      <c r="P10" s="206"/>
      <c r="Q10" s="206"/>
      <c r="R10" s="206"/>
      <c r="S10" s="206"/>
      <c r="T10" s="206"/>
      <c r="U10" s="206"/>
      <c r="V10" s="206"/>
      <c r="W10" s="206"/>
      <c r="X10" s="206"/>
      <c r="Y10" s="206"/>
      <c r="Z10" s="206"/>
      <c r="AA10" s="206"/>
    </row>
    <row r="11">
      <c r="A11" s="205">
        <v>8.0</v>
      </c>
      <c r="B11" s="205" t="s">
        <v>1810</v>
      </c>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6"/>
      <c r="AA11" s="206"/>
    </row>
    <row r="12">
      <c r="A12" s="205">
        <v>9.0</v>
      </c>
      <c r="B12" s="205" t="s">
        <v>1811</v>
      </c>
      <c r="C12" s="206"/>
      <c r="D12" s="206"/>
      <c r="E12" s="206"/>
      <c r="F12" s="206"/>
      <c r="G12" s="206"/>
      <c r="H12" s="206"/>
      <c r="I12" s="206"/>
      <c r="J12" s="206"/>
      <c r="K12" s="206"/>
      <c r="L12" s="206"/>
      <c r="M12" s="206"/>
      <c r="N12" s="206"/>
      <c r="O12" s="206"/>
      <c r="P12" s="206"/>
      <c r="Q12" s="206"/>
      <c r="R12" s="206"/>
      <c r="S12" s="206"/>
      <c r="T12" s="206"/>
      <c r="U12" s="206"/>
      <c r="V12" s="206"/>
      <c r="W12" s="206"/>
      <c r="X12" s="206"/>
      <c r="Y12" s="206"/>
      <c r="Z12" s="206"/>
      <c r="AA12" s="206"/>
    </row>
    <row r="13">
      <c r="A13" s="205">
        <v>10.0</v>
      </c>
      <c r="B13" s="205" t="s">
        <v>1812</v>
      </c>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row>
    <row r="14">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row>
    <row r="15">
      <c r="A15" s="206"/>
      <c r="B15" s="206"/>
      <c r="C15" s="206"/>
      <c r="D15" s="205" t="s">
        <v>1813</v>
      </c>
      <c r="E15" s="206"/>
      <c r="F15" s="206"/>
      <c r="G15" s="206"/>
      <c r="H15" s="206"/>
      <c r="I15" s="206"/>
      <c r="J15" s="206"/>
      <c r="K15" s="206"/>
      <c r="L15" s="206"/>
      <c r="M15" s="206"/>
      <c r="N15" s="206"/>
      <c r="O15" s="206"/>
      <c r="P15" s="206"/>
      <c r="Q15" s="206"/>
      <c r="R15" s="206"/>
      <c r="S15" s="206"/>
      <c r="T15" s="206"/>
      <c r="U15" s="206"/>
      <c r="V15" s="206"/>
      <c r="W15" s="206"/>
      <c r="X15" s="206"/>
      <c r="Y15" s="206"/>
      <c r="Z15" s="206"/>
      <c r="AA15" s="206"/>
    </row>
    <row r="16">
      <c r="A16" s="206"/>
      <c r="B16" s="206"/>
      <c r="C16" s="206"/>
      <c r="D16" s="206"/>
      <c r="E16" s="206"/>
      <c r="F16" s="206"/>
      <c r="G16" s="206"/>
      <c r="H16" s="206"/>
      <c r="I16" s="206"/>
      <c r="J16" s="206"/>
      <c r="K16" s="206"/>
      <c r="L16" s="206"/>
      <c r="M16" s="206"/>
      <c r="N16" s="206"/>
      <c r="O16" s="206"/>
      <c r="P16" s="206"/>
      <c r="Q16" s="206"/>
      <c r="R16" s="206"/>
      <c r="S16" s="206"/>
      <c r="T16" s="206"/>
      <c r="U16" s="206"/>
      <c r="V16" s="206"/>
      <c r="W16" s="206"/>
      <c r="X16" s="206"/>
      <c r="Y16" s="206"/>
      <c r="Z16" s="206"/>
      <c r="AA16" s="206"/>
    </row>
    <row r="17">
      <c r="A17" s="206"/>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c r="AA17" s="206"/>
    </row>
    <row r="18">
      <c r="A18" s="206"/>
      <c r="B18" s="206"/>
      <c r="C18" s="206"/>
      <c r="D18" s="206"/>
      <c r="E18" s="206"/>
      <c r="F18" s="206"/>
      <c r="G18" s="206"/>
      <c r="H18" s="206"/>
      <c r="I18" s="206"/>
      <c r="J18" s="206"/>
      <c r="K18" s="206"/>
      <c r="L18" s="206"/>
      <c r="M18" s="206"/>
      <c r="N18" s="206"/>
      <c r="O18" s="206"/>
      <c r="P18" s="206"/>
      <c r="Q18" s="206"/>
      <c r="R18" s="206"/>
      <c r="S18" s="206"/>
      <c r="T18" s="206"/>
      <c r="U18" s="206"/>
      <c r="V18" s="206"/>
      <c r="W18" s="206"/>
      <c r="X18" s="206"/>
      <c r="Y18" s="206"/>
      <c r="Z18" s="206"/>
      <c r="AA18" s="206"/>
    </row>
    <row r="19">
      <c r="A19" s="206"/>
      <c r="B19" s="206"/>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c r="AA19" s="206"/>
    </row>
    <row r="20">
      <c r="A20" s="206"/>
      <c r="B20" s="205" t="s">
        <v>1814</v>
      </c>
      <c r="C20" s="206"/>
      <c r="D20" s="206"/>
      <c r="E20" s="205" t="s">
        <v>1815</v>
      </c>
      <c r="F20" s="206"/>
      <c r="G20" s="206"/>
      <c r="H20" s="206"/>
      <c r="I20" s="206"/>
      <c r="J20" s="206"/>
      <c r="K20" s="206"/>
      <c r="L20" s="206"/>
      <c r="M20" s="206"/>
      <c r="N20" s="206"/>
      <c r="O20" s="206"/>
      <c r="P20" s="206"/>
      <c r="Q20" s="206"/>
      <c r="R20" s="206"/>
      <c r="S20" s="206"/>
      <c r="T20" s="206"/>
      <c r="U20" s="206"/>
      <c r="V20" s="206"/>
      <c r="W20" s="206"/>
      <c r="X20" s="206"/>
      <c r="Y20" s="206"/>
      <c r="Z20" s="206"/>
      <c r="AA20" s="206"/>
    </row>
    <row r="21">
      <c r="A21" s="206"/>
      <c r="B21" s="205" t="s">
        <v>1816</v>
      </c>
      <c r="C21" s="205" t="s">
        <v>1817</v>
      </c>
      <c r="D21" s="205" t="s">
        <v>23</v>
      </c>
      <c r="E21" s="205" t="s">
        <v>23</v>
      </c>
      <c r="F21" s="205" t="s">
        <v>1818</v>
      </c>
      <c r="G21" s="205" t="s">
        <v>1819</v>
      </c>
      <c r="H21" s="205"/>
      <c r="I21" s="206"/>
      <c r="J21" s="206"/>
      <c r="K21" s="206"/>
      <c r="L21" s="206"/>
      <c r="M21" s="206"/>
      <c r="N21" s="206"/>
      <c r="O21" s="206"/>
      <c r="P21" s="206"/>
      <c r="Q21" s="206"/>
      <c r="R21" s="206"/>
      <c r="S21" s="206"/>
      <c r="T21" s="206"/>
      <c r="U21" s="206"/>
      <c r="V21" s="206"/>
      <c r="W21" s="206"/>
      <c r="X21" s="206"/>
      <c r="Y21" s="206"/>
      <c r="Z21" s="206"/>
      <c r="AA21" s="206"/>
    </row>
    <row r="22">
      <c r="A22" s="206"/>
      <c r="B22" s="205" t="s">
        <v>1820</v>
      </c>
      <c r="C22" s="205" t="s">
        <v>1821</v>
      </c>
      <c r="D22" s="205" t="s">
        <v>23</v>
      </c>
      <c r="E22" s="205"/>
      <c r="F22" s="205" t="s">
        <v>1822</v>
      </c>
      <c r="G22" s="205" t="s">
        <v>1823</v>
      </c>
      <c r="H22" s="205"/>
      <c r="I22" s="206"/>
      <c r="J22" s="206"/>
      <c r="K22" s="206"/>
      <c r="L22" s="206"/>
      <c r="M22" s="206"/>
      <c r="N22" s="206"/>
      <c r="O22" s="206"/>
      <c r="P22" s="206"/>
      <c r="Q22" s="206"/>
      <c r="R22" s="206"/>
      <c r="S22" s="206"/>
      <c r="T22" s="206"/>
      <c r="U22" s="206"/>
      <c r="V22" s="206"/>
      <c r="W22" s="206"/>
      <c r="X22" s="206"/>
      <c r="Y22" s="206"/>
      <c r="Z22" s="206"/>
      <c r="AA22" s="206"/>
    </row>
    <row r="23">
      <c r="A23" s="206"/>
      <c r="B23" s="206"/>
      <c r="C23" s="205" t="s">
        <v>1824</v>
      </c>
      <c r="D23" s="205" t="s">
        <v>24</v>
      </c>
      <c r="E23" s="205"/>
      <c r="F23" s="205" t="s">
        <v>1825</v>
      </c>
      <c r="G23" s="206"/>
      <c r="H23" s="206"/>
      <c r="I23" s="206"/>
      <c r="J23" s="206"/>
      <c r="K23" s="206"/>
      <c r="L23" s="206"/>
      <c r="M23" s="206"/>
      <c r="N23" s="206"/>
      <c r="O23" s="206"/>
      <c r="P23" s="206"/>
      <c r="Q23" s="206"/>
      <c r="R23" s="206"/>
      <c r="S23" s="206"/>
      <c r="T23" s="206"/>
      <c r="U23" s="206"/>
      <c r="V23" s="206"/>
      <c r="W23" s="206"/>
      <c r="X23" s="206"/>
      <c r="Y23" s="206"/>
      <c r="Z23" s="206"/>
      <c r="AA23" s="206"/>
    </row>
    <row r="24">
      <c r="A24" s="206"/>
      <c r="B24" s="206"/>
      <c r="C24" s="206"/>
      <c r="D24" s="206"/>
      <c r="E24" s="206"/>
      <c r="F24" s="206"/>
      <c r="G24" s="205" t="s">
        <v>1826</v>
      </c>
      <c r="H24" s="206"/>
      <c r="I24" s="205" t="s">
        <v>1827</v>
      </c>
      <c r="J24" s="206"/>
      <c r="K24" s="206"/>
      <c r="L24" s="206"/>
      <c r="M24" s="206"/>
      <c r="N24" s="206"/>
      <c r="O24" s="206"/>
      <c r="P24" s="206"/>
      <c r="Q24" s="206"/>
      <c r="R24" s="206"/>
      <c r="S24" s="206"/>
      <c r="T24" s="206"/>
      <c r="U24" s="206"/>
      <c r="V24" s="206"/>
      <c r="W24" s="206"/>
      <c r="X24" s="206"/>
      <c r="Y24" s="206"/>
      <c r="Z24" s="206"/>
      <c r="AA24" s="206"/>
    </row>
    <row r="25">
      <c r="A25" s="206"/>
      <c r="B25" s="206"/>
      <c r="C25" s="206"/>
      <c r="D25" s="206"/>
      <c r="E25" s="206"/>
      <c r="F25" s="206"/>
      <c r="G25" s="205" t="s">
        <v>890</v>
      </c>
      <c r="H25" s="205">
        <v>2.0</v>
      </c>
      <c r="I25" s="205" t="s">
        <v>890</v>
      </c>
      <c r="J25" s="206"/>
      <c r="K25" s="206"/>
      <c r="L25" s="206"/>
      <c r="M25" s="206"/>
      <c r="N25" s="206"/>
      <c r="O25" s="206"/>
      <c r="P25" s="206"/>
      <c r="Q25" s="206"/>
      <c r="R25" s="206"/>
      <c r="S25" s="206"/>
      <c r="T25" s="206"/>
      <c r="U25" s="206"/>
      <c r="V25" s="206"/>
      <c r="W25" s="206"/>
      <c r="X25" s="206"/>
      <c r="Y25" s="206"/>
      <c r="Z25" s="206"/>
      <c r="AA25" s="206"/>
    </row>
    <row r="26">
      <c r="A26" s="206"/>
      <c r="B26" s="206"/>
      <c r="C26" s="206"/>
      <c r="D26" s="206"/>
      <c r="E26" s="206"/>
      <c r="F26" s="206"/>
      <c r="G26" s="205" t="s">
        <v>1828</v>
      </c>
      <c r="H26" s="205">
        <v>0.0</v>
      </c>
      <c r="I26" s="206"/>
      <c r="J26" s="206"/>
      <c r="K26" s="206"/>
      <c r="L26" s="206"/>
      <c r="M26" s="206"/>
      <c r="N26" s="206"/>
      <c r="O26" s="206"/>
      <c r="P26" s="206"/>
      <c r="Q26" s="206"/>
      <c r="R26" s="206"/>
      <c r="S26" s="206"/>
      <c r="T26" s="206"/>
      <c r="U26" s="206"/>
      <c r="V26" s="206"/>
      <c r="W26" s="206"/>
      <c r="X26" s="206"/>
      <c r="Y26" s="206"/>
      <c r="Z26" s="206"/>
      <c r="AA26" s="206"/>
    </row>
    <row r="27">
      <c r="A27" s="206"/>
      <c r="B27" s="206"/>
      <c r="C27" s="206"/>
      <c r="D27" s="206"/>
      <c r="E27" s="206"/>
      <c r="F27" s="206"/>
      <c r="G27" s="206"/>
      <c r="H27" s="206"/>
      <c r="I27" s="206"/>
      <c r="J27" s="206"/>
      <c r="K27" s="206"/>
      <c r="L27" s="206"/>
      <c r="M27" s="206"/>
      <c r="N27" s="206"/>
      <c r="O27" s="206"/>
      <c r="P27" s="206"/>
      <c r="Q27" s="206"/>
      <c r="R27" s="206"/>
      <c r="S27" s="206"/>
      <c r="T27" s="206"/>
      <c r="U27" s="206"/>
      <c r="V27" s="206"/>
      <c r="W27" s="206"/>
      <c r="X27" s="206"/>
      <c r="Y27" s="206"/>
      <c r="Z27" s="206"/>
      <c r="AA27" s="206"/>
    </row>
    <row r="28">
      <c r="A28" s="206"/>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6"/>
      <c r="Z28" s="206"/>
      <c r="AA28" s="206"/>
    </row>
    <row r="29">
      <c r="A29" s="206"/>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c r="AA29" s="206"/>
    </row>
    <row r="30">
      <c r="A30" s="206"/>
      <c r="B30" s="206"/>
      <c r="C30" s="206"/>
      <c r="D30" s="206"/>
      <c r="E30" s="206"/>
      <c r="F30" s="206"/>
      <c r="G30" s="206"/>
      <c r="H30" s="206"/>
      <c r="I30" s="206"/>
      <c r="J30" s="206"/>
      <c r="K30" s="206"/>
      <c r="L30" s="206"/>
      <c r="M30" s="206"/>
      <c r="N30" s="206"/>
      <c r="O30" s="206"/>
      <c r="P30" s="206"/>
      <c r="Q30" s="206"/>
      <c r="R30" s="206"/>
      <c r="S30" s="206"/>
      <c r="T30" s="206"/>
      <c r="U30" s="206"/>
      <c r="V30" s="206"/>
      <c r="W30" s="206"/>
      <c r="X30" s="206"/>
      <c r="Y30" s="206"/>
      <c r="Z30" s="206"/>
      <c r="AA30" s="206"/>
    </row>
    <row r="31">
      <c r="A31" s="206"/>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6"/>
      <c r="Z31" s="206"/>
      <c r="AA31" s="206"/>
    </row>
    <row r="32">
      <c r="A32" s="206"/>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c r="AA32" s="206"/>
    </row>
    <row r="33">
      <c r="A33" s="206"/>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s="206"/>
      <c r="Z33" s="206"/>
      <c r="AA33" s="206"/>
    </row>
    <row r="34">
      <c r="A34" s="206"/>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06"/>
      <c r="Z34" s="206"/>
      <c r="AA34" s="206"/>
    </row>
    <row r="35">
      <c r="A35" s="206"/>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c r="AA35" s="206"/>
    </row>
    <row r="36">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c r="AA36" s="206"/>
    </row>
    <row r="37">
      <c r="A37" s="206"/>
      <c r="B37" s="206"/>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c r="AA37" s="206"/>
    </row>
    <row r="38">
      <c r="A38" s="206"/>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6"/>
      <c r="Z38" s="206"/>
      <c r="AA38" s="206"/>
    </row>
    <row r="39">
      <c r="A39" s="206"/>
      <c r="B39" s="206"/>
      <c r="C39" s="206"/>
      <c r="D39" s="206"/>
      <c r="E39" s="206"/>
      <c r="F39" s="206"/>
      <c r="G39" s="206"/>
      <c r="H39" s="206"/>
      <c r="I39" s="206"/>
      <c r="J39" s="206"/>
      <c r="K39" s="206"/>
      <c r="L39" s="206"/>
      <c r="M39" s="206"/>
      <c r="N39" s="206"/>
      <c r="O39" s="206"/>
      <c r="P39" s="206"/>
      <c r="Q39" s="206"/>
      <c r="R39" s="206"/>
      <c r="S39" s="206"/>
      <c r="T39" s="206"/>
      <c r="U39" s="206"/>
      <c r="V39" s="206"/>
      <c r="W39" s="206"/>
      <c r="X39" s="206"/>
      <c r="Y39" s="206"/>
      <c r="Z39" s="206"/>
      <c r="AA39" s="206"/>
    </row>
    <row r="40">
      <c r="A40" s="206"/>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06"/>
      <c r="Z40" s="206"/>
      <c r="AA40" s="206"/>
    </row>
    <row r="41">
      <c r="A41" s="206"/>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c r="AA41" s="206"/>
    </row>
    <row r="42">
      <c r="A42" s="206"/>
      <c r="B42" s="206"/>
      <c r="C42" s="206"/>
      <c r="D42" s="206"/>
      <c r="E42" s="206"/>
      <c r="F42" s="206"/>
      <c r="G42" s="206"/>
      <c r="H42" s="206"/>
      <c r="I42" s="206"/>
      <c r="J42" s="206"/>
      <c r="K42" s="206"/>
      <c r="L42" s="206"/>
      <c r="M42" s="206"/>
      <c r="N42" s="206"/>
      <c r="O42" s="206"/>
      <c r="P42" s="206"/>
      <c r="Q42" s="206"/>
      <c r="R42" s="206"/>
      <c r="S42" s="206"/>
      <c r="T42" s="206"/>
      <c r="U42" s="206"/>
      <c r="V42" s="206"/>
      <c r="W42" s="206"/>
      <c r="X42" s="206"/>
      <c r="Y42" s="206"/>
      <c r="Z42" s="206"/>
      <c r="AA42" s="206"/>
    </row>
    <row r="43">
      <c r="A43" s="206"/>
      <c r="B43" s="206"/>
      <c r="C43" s="206"/>
      <c r="D43" s="206"/>
      <c r="E43" s="206"/>
      <c r="F43" s="206"/>
      <c r="G43" s="206"/>
      <c r="H43" s="206"/>
      <c r="I43" s="206"/>
      <c r="J43" s="206"/>
      <c r="K43" s="206"/>
      <c r="L43" s="206"/>
      <c r="M43" s="206"/>
      <c r="N43" s="206"/>
      <c r="O43" s="206"/>
      <c r="P43" s="206"/>
      <c r="Q43" s="206"/>
      <c r="R43" s="206"/>
      <c r="S43" s="206"/>
      <c r="T43" s="206"/>
      <c r="U43" s="206"/>
      <c r="V43" s="206"/>
      <c r="W43" s="206"/>
      <c r="X43" s="206"/>
      <c r="Y43" s="206"/>
      <c r="Z43" s="206"/>
      <c r="AA43" s="206"/>
    </row>
    <row r="44">
      <c r="A44" s="206"/>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6"/>
      <c r="Z44" s="206"/>
      <c r="AA44" s="206"/>
    </row>
    <row r="45">
      <c r="A45" s="206"/>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6"/>
      <c r="Z45" s="206"/>
      <c r="AA45" s="206"/>
    </row>
    <row r="46">
      <c r="A46" s="206"/>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c r="AA46" s="206"/>
    </row>
    <row r="47">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c r="AA47" s="206"/>
    </row>
    <row r="48">
      <c r="A48" s="206"/>
      <c r="B48" s="206"/>
      <c r="C48" s="206"/>
      <c r="D48" s="206"/>
      <c r="E48" s="206"/>
      <c r="F48" s="206"/>
      <c r="G48" s="206"/>
      <c r="H48" s="206"/>
      <c r="I48" s="206"/>
      <c r="J48" s="206"/>
      <c r="K48" s="206"/>
      <c r="L48" s="206"/>
      <c r="M48" s="206"/>
      <c r="N48" s="206"/>
      <c r="O48" s="206"/>
      <c r="P48" s="206"/>
      <c r="Q48" s="206"/>
      <c r="R48" s="206"/>
      <c r="S48" s="206"/>
      <c r="T48" s="206"/>
      <c r="U48" s="206"/>
      <c r="V48" s="206"/>
      <c r="W48" s="206"/>
      <c r="X48" s="206"/>
      <c r="Y48" s="206"/>
      <c r="Z48" s="206"/>
      <c r="AA48" s="206"/>
    </row>
    <row r="49">
      <c r="A49" s="206"/>
      <c r="B49" s="206"/>
      <c r="C49" s="206"/>
      <c r="D49" s="206"/>
      <c r="E49" s="206"/>
      <c r="F49" s="206"/>
      <c r="G49" s="206"/>
      <c r="H49" s="206"/>
      <c r="I49" s="206"/>
      <c r="J49" s="206"/>
      <c r="K49" s="206"/>
      <c r="L49" s="206"/>
      <c r="M49" s="206"/>
      <c r="N49" s="206"/>
      <c r="O49" s="206"/>
      <c r="P49" s="206"/>
      <c r="Q49" s="206"/>
      <c r="R49" s="206"/>
      <c r="S49" s="206"/>
      <c r="T49" s="206"/>
      <c r="U49" s="206"/>
      <c r="V49" s="206"/>
      <c r="W49" s="206"/>
      <c r="X49" s="206"/>
      <c r="Y49" s="206"/>
      <c r="Z49" s="206"/>
      <c r="AA49" s="206"/>
    </row>
    <row r="50">
      <c r="A50" s="206"/>
      <c r="B50" s="206"/>
      <c r="C50" s="206"/>
      <c r="D50" s="206"/>
      <c r="E50" s="206"/>
      <c r="F50" s="206"/>
      <c r="G50" s="206"/>
      <c r="H50" s="206"/>
      <c r="I50" s="206"/>
      <c r="J50" s="206"/>
      <c r="K50" s="206"/>
      <c r="L50" s="206"/>
      <c r="M50" s="206"/>
      <c r="N50" s="206"/>
      <c r="O50" s="206"/>
      <c r="P50" s="206"/>
      <c r="Q50" s="206"/>
      <c r="R50" s="206"/>
      <c r="S50" s="206"/>
      <c r="T50" s="206"/>
      <c r="U50" s="206"/>
      <c r="V50" s="206"/>
      <c r="W50" s="206"/>
      <c r="X50" s="206"/>
      <c r="Y50" s="206"/>
      <c r="Z50" s="206"/>
      <c r="AA50" s="206"/>
    </row>
    <row r="51">
      <c r="A51" s="206"/>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c r="AA51" s="206"/>
    </row>
    <row r="52">
      <c r="A52" s="206"/>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c r="AA52" s="206"/>
    </row>
    <row r="53">
      <c r="A53" s="206"/>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c r="AA53" s="206"/>
    </row>
    <row r="54">
      <c r="A54" s="206"/>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c r="AA54" s="206"/>
    </row>
    <row r="55">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c r="AA55" s="206"/>
    </row>
    <row r="56">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c r="AA56" s="206"/>
    </row>
    <row r="57">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c r="AA57" s="206"/>
    </row>
    <row r="58">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c r="AA58" s="206"/>
    </row>
    <row r="59">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row>
    <row r="60">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c r="AA60" s="206"/>
    </row>
    <row r="6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c r="AA61" s="206"/>
    </row>
    <row r="62">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row>
    <row r="63">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c r="AA63" s="206"/>
    </row>
    <row r="64">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c r="AA64" s="206"/>
    </row>
    <row r="65">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c r="AA65" s="206"/>
    </row>
    <row r="66">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c r="AA66" s="206"/>
    </row>
    <row r="67">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c r="AA67" s="206"/>
    </row>
    <row r="68">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c r="AA68" s="206"/>
    </row>
    <row r="69">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c r="AA69" s="206"/>
    </row>
    <row r="70">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c r="AA70" s="206"/>
    </row>
    <row r="7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c r="AA71" s="206"/>
    </row>
    <row r="72">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c r="AA72" s="206"/>
    </row>
    <row r="73">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row>
    <row r="74">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c r="AA74" s="206"/>
    </row>
    <row r="75">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c r="AA75" s="206"/>
    </row>
    <row r="76">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c r="AA76" s="206"/>
    </row>
    <row r="77">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c r="AA77" s="206"/>
    </row>
    <row r="78">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c r="AA78" s="206"/>
    </row>
    <row r="79">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row>
    <row r="80">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row>
    <row r="8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row>
    <row r="8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row>
    <row r="83">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row>
    <row r="84">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row>
    <row r="85">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c r="AA85" s="206"/>
    </row>
    <row r="86">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row>
    <row r="87">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row>
    <row r="88">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row>
    <row r="89">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row>
    <row r="90">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row>
    <row r="9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row>
    <row r="9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row>
    <row r="93">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row>
    <row r="94">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row>
    <row r="95">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row>
    <row r="96">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row>
    <row r="97">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row>
    <row r="98">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row>
    <row r="99">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row>
    <row r="100">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row>
    <row r="10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row>
    <row r="1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row>
    <row r="103">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row>
    <row r="104">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row>
    <row r="105">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row>
    <row r="106">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row>
    <row r="107">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row>
    <row r="108">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row>
    <row r="109">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row>
    <row r="110">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row>
    <row r="11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row>
    <row r="11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row>
    <row r="113">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row>
    <row r="114">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row>
    <row r="115">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row>
    <row r="116">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row>
    <row r="117">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row>
    <row r="118">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row>
    <row r="119">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row>
    <row r="120">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row>
    <row r="12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row>
    <row r="12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row>
    <row r="123">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row>
    <row r="124">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row>
    <row r="125">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row>
    <row r="126">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row>
    <row r="127">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row>
    <row r="128">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row>
    <row r="129">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row>
    <row r="130">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row>
    <row r="13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row>
    <row r="13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row>
    <row r="133">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row>
    <row r="134">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row>
    <row r="135">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row>
    <row r="136">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row>
    <row r="137">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row>
    <row r="138">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row>
    <row r="139">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row>
    <row r="140">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row>
    <row r="14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row>
    <row r="14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row>
    <row r="143">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row>
    <row r="144">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row>
    <row r="145">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row>
    <row r="146">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row>
    <row r="147">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row>
    <row r="148">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row>
    <row r="149">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row>
    <row r="150">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row>
    <row r="15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row>
    <row r="15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row>
    <row r="153">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row>
    <row r="154">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row>
    <row r="155">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row>
    <row r="156">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row>
    <row r="157">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row>
    <row r="158">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row>
    <row r="159">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row>
    <row r="160">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row>
    <row r="16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row>
    <row r="16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row>
    <row r="163">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row>
    <row r="164">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row>
    <row r="165">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row>
    <row r="166">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row>
    <row r="167">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row>
    <row r="168">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row>
    <row r="169">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row>
    <row r="170">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row>
    <row r="17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row>
    <row r="17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row>
    <row r="173">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row>
    <row r="174">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row>
    <row r="175">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row>
    <row r="176">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row>
    <row r="177">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row>
    <row r="178">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row>
    <row r="179">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row>
    <row r="180">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row>
    <row r="18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row>
    <row r="18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row>
    <row r="183">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row>
    <row r="184">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row>
    <row r="185">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row>
    <row r="186">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row>
    <row r="187">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row>
    <row r="188">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row>
    <row r="189">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row>
    <row r="190">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row>
    <row r="19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row>
    <row r="19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row>
    <row r="193">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row>
    <row r="194">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row>
    <row r="195">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row>
    <row r="196">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row>
    <row r="197">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row>
    <row r="198">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row>
    <row r="199">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row>
    <row r="200">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row>
    <row r="20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row>
    <row r="2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row>
    <row r="203">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row>
    <row r="204">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row>
    <row r="205">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row>
    <row r="206">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row>
    <row r="207">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row>
    <row r="208">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row>
    <row r="209">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row>
    <row r="210">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row>
    <row r="21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row>
    <row r="21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row>
    <row r="213">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row>
    <row r="214">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row>
    <row r="215">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row>
    <row r="216">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row>
    <row r="217">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row>
    <row r="218">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row>
    <row r="219">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row>
    <row r="220">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row>
    <row r="22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row>
    <row r="22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row>
    <row r="223">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row>
    <row r="224">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row>
    <row r="225">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row>
    <row r="226">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row>
    <row r="227">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c r="AA227" s="206"/>
    </row>
    <row r="228">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c r="AA228" s="206"/>
    </row>
    <row r="229">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row>
    <row r="230">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c r="AA230" s="206"/>
    </row>
    <row r="23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row>
    <row r="232">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c r="AA232" s="206"/>
    </row>
    <row r="233">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c r="AA233" s="206"/>
    </row>
    <row r="234">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c r="AA234" s="206"/>
    </row>
    <row r="235">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c r="AA235" s="206"/>
    </row>
    <row r="236">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c r="AA236" s="206"/>
    </row>
    <row r="237">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c r="AA237" s="206"/>
    </row>
    <row r="238">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c r="AA238" s="206"/>
    </row>
    <row r="239">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c r="AA239" s="206"/>
    </row>
    <row r="240">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c r="AA240" s="206"/>
    </row>
    <row r="24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c r="AA241" s="206"/>
    </row>
    <row r="242">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c r="AA242" s="206"/>
    </row>
    <row r="243">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c r="AA243" s="206"/>
    </row>
    <row r="244">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c r="AA244" s="206"/>
    </row>
    <row r="245">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row>
    <row r="246">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c r="AA246" s="206"/>
    </row>
    <row r="247">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c r="AA247" s="206"/>
    </row>
    <row r="248">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c r="AA248" s="206"/>
    </row>
    <row r="249">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c r="AA249" s="206"/>
    </row>
    <row r="250">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c r="AA250" s="206"/>
    </row>
    <row r="25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c r="AA251" s="206"/>
    </row>
    <row r="252">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c r="AA252" s="206"/>
    </row>
    <row r="253">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c r="AA253" s="206"/>
    </row>
    <row r="254">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c r="AA254" s="206"/>
    </row>
    <row r="255">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c r="AA255" s="206"/>
    </row>
    <row r="256">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c r="AA256" s="206"/>
    </row>
    <row r="257">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c r="AA257" s="206"/>
    </row>
    <row r="258">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c r="AA258" s="206"/>
    </row>
    <row r="259">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c r="AA259" s="206"/>
    </row>
    <row r="260">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c r="AA260" s="206"/>
    </row>
    <row r="26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c r="AA261" s="206"/>
    </row>
    <row r="262">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c r="AA262" s="206"/>
    </row>
    <row r="263">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c r="AA263" s="206"/>
    </row>
    <row r="264">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c r="AA264" s="206"/>
    </row>
    <row r="265">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c r="AA265" s="206"/>
    </row>
    <row r="266">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c r="AA266" s="206"/>
    </row>
    <row r="267">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c r="AA267" s="206"/>
    </row>
    <row r="268">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c r="AA268" s="206"/>
    </row>
    <row r="269">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c r="AA269" s="206"/>
    </row>
    <row r="270">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c r="AA270" s="206"/>
    </row>
    <row r="27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c r="AA271" s="206"/>
    </row>
    <row r="272">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c r="AA272" s="206"/>
    </row>
    <row r="273">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c r="AA273" s="206"/>
    </row>
    <row r="274">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row>
    <row r="275">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c r="AA275" s="206"/>
    </row>
    <row r="276">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c r="AA276" s="206"/>
    </row>
    <row r="277">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row>
    <row r="278">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c r="AA278" s="206"/>
    </row>
    <row r="279">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c r="AA279" s="206"/>
    </row>
    <row r="280">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c r="AA280" s="206"/>
    </row>
    <row r="28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c r="AA281" s="206"/>
    </row>
    <row r="282">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c r="AA282" s="206"/>
    </row>
    <row r="283">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c r="AA283" s="206"/>
    </row>
    <row r="284">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c r="AA284" s="206"/>
    </row>
    <row r="285">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c r="AA285" s="206"/>
    </row>
    <row r="286">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c r="AA286" s="206"/>
    </row>
    <row r="287">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c r="AA287" s="206"/>
    </row>
    <row r="288">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c r="AA288" s="206"/>
    </row>
    <row r="289">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c r="AA289" s="206"/>
    </row>
    <row r="290">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c r="AA290" s="206"/>
    </row>
    <row r="29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c r="AA291" s="206"/>
    </row>
    <row r="292">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c r="AA292" s="206"/>
    </row>
    <row r="293">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c r="AA293" s="206"/>
    </row>
    <row r="294">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c r="AA294" s="206"/>
    </row>
    <row r="295">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c r="AA295" s="206"/>
    </row>
    <row r="296">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c r="AA296" s="206"/>
    </row>
    <row r="297">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c r="AA297" s="206"/>
    </row>
    <row r="298">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c r="AA298" s="206"/>
    </row>
    <row r="299">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c r="AA299" s="206"/>
    </row>
    <row r="300">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c r="AA300" s="206"/>
    </row>
    <row r="30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c r="AA301" s="206"/>
    </row>
    <row r="302">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c r="AA302" s="206"/>
    </row>
    <row r="303">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c r="AA303" s="206"/>
    </row>
    <row r="304">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c r="AA304" s="206"/>
    </row>
    <row r="305">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c r="AA305" s="206"/>
    </row>
    <row r="306">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c r="AA306" s="206"/>
    </row>
    <row r="307">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c r="AA307" s="206"/>
    </row>
    <row r="308">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c r="AA308" s="206"/>
    </row>
    <row r="309">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c r="AA309" s="206"/>
    </row>
    <row r="310">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c r="AA310" s="206"/>
    </row>
    <row r="31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c r="AA311" s="206"/>
    </row>
    <row r="312">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c r="AA312" s="206"/>
    </row>
    <row r="313">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c r="AA313" s="206"/>
    </row>
    <row r="314">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c r="AA314" s="206"/>
    </row>
    <row r="315">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c r="AA315" s="206"/>
    </row>
    <row r="316">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c r="AA316" s="206"/>
    </row>
    <row r="317">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c r="AA317" s="206"/>
    </row>
    <row r="318">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c r="AA318" s="206"/>
    </row>
    <row r="319">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c r="AA319" s="206"/>
    </row>
    <row r="320">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c r="AA320" s="206"/>
    </row>
    <row r="32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c r="AA321" s="206"/>
    </row>
    <row r="322">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c r="AA322" s="206"/>
    </row>
    <row r="323">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c r="AA323" s="206"/>
    </row>
    <row r="324">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c r="AA324" s="206"/>
    </row>
    <row r="325">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c r="AA325" s="206"/>
    </row>
    <row r="326">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c r="AA326" s="206"/>
    </row>
    <row r="327">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c r="AA327" s="206"/>
    </row>
    <row r="328">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c r="AA328" s="206"/>
    </row>
    <row r="329">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c r="AA329" s="206"/>
    </row>
    <row r="330">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c r="AA330" s="206"/>
    </row>
    <row r="33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c r="AA331" s="206"/>
    </row>
    <row r="332">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row>
    <row r="333">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c r="AA333" s="206"/>
    </row>
    <row r="334">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c r="AA334" s="206"/>
    </row>
    <row r="335">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c r="AA335" s="206"/>
    </row>
    <row r="336">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c r="AA336" s="206"/>
    </row>
    <row r="337">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c r="AA337" s="206"/>
    </row>
    <row r="338">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c r="AA338" s="206"/>
    </row>
    <row r="339">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row>
    <row r="340">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c r="AA340" s="206"/>
    </row>
    <row r="34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c r="AA341" s="206"/>
    </row>
    <row r="342">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c r="AA342" s="206"/>
    </row>
    <row r="343">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c r="AA343" s="206"/>
    </row>
    <row r="344">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row>
    <row r="345">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row>
    <row r="346">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c r="AA346" s="206"/>
    </row>
    <row r="347">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c r="AA347" s="206"/>
    </row>
    <row r="348">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c r="AA348" s="206"/>
    </row>
    <row r="349">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row>
    <row r="350">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c r="AA350" s="206"/>
    </row>
    <row r="35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c r="AA351" s="206"/>
    </row>
    <row r="352">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c r="AA352" s="206"/>
    </row>
    <row r="353">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row>
    <row r="354">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c r="AA354" s="206"/>
    </row>
    <row r="355">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c r="AA355" s="206"/>
    </row>
    <row r="356">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c r="AA356" s="206"/>
    </row>
    <row r="357">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c r="AA357" s="206"/>
    </row>
    <row r="358">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c r="AA358" s="206"/>
    </row>
    <row r="359">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c r="AA359" s="206"/>
    </row>
    <row r="360">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c r="AA360" s="206"/>
    </row>
    <row r="36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c r="AA361" s="206"/>
    </row>
    <row r="362">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c r="AA362" s="206"/>
    </row>
    <row r="363">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c r="AA363" s="206"/>
    </row>
    <row r="364">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c r="AA364" s="206"/>
    </row>
    <row r="365">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c r="AA365" s="206"/>
    </row>
    <row r="366">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c r="AA366" s="206"/>
    </row>
    <row r="367">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c r="AA367" s="206"/>
    </row>
    <row r="368">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c r="AA368" s="206"/>
    </row>
    <row r="369">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c r="AA369" s="206"/>
    </row>
    <row r="370">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c r="AA370" s="206"/>
    </row>
    <row r="37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row>
    <row r="372">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c r="AA372" s="206"/>
    </row>
    <row r="373">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c r="AA373" s="206"/>
    </row>
    <row r="374">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c r="AA374" s="206"/>
    </row>
    <row r="375">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c r="AA375" s="206"/>
    </row>
    <row r="376">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row>
    <row r="377">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row>
    <row r="378">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c r="AA378" s="206"/>
    </row>
    <row r="379">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c r="AA379" s="206"/>
    </row>
    <row r="380">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c r="AA380" s="206"/>
    </row>
    <row r="38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c r="AA381" s="206"/>
    </row>
    <row r="382">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c r="AA382" s="206"/>
    </row>
    <row r="383">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c r="AA383" s="206"/>
    </row>
    <row r="384">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c r="AA384" s="206"/>
    </row>
    <row r="385">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c r="AA385" s="206"/>
    </row>
    <row r="386">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c r="AA386" s="206"/>
    </row>
    <row r="387">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row>
    <row r="388">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c r="AA388" s="206"/>
    </row>
    <row r="389">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c r="AA389" s="206"/>
    </row>
    <row r="390">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c r="AA390" s="206"/>
    </row>
    <row r="39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c r="AA391" s="206"/>
    </row>
    <row r="392">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c r="AA392" s="206"/>
    </row>
    <row r="393">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c r="AA393" s="206"/>
    </row>
    <row r="394">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c r="AA394" s="206"/>
    </row>
    <row r="395">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c r="AA395" s="206"/>
    </row>
    <row r="396">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c r="AA396" s="206"/>
    </row>
    <row r="397">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c r="AA397" s="206"/>
    </row>
    <row r="398">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c r="AA398" s="206"/>
    </row>
    <row r="399">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c r="AA399" s="206"/>
    </row>
    <row r="400">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c r="AA400" s="206"/>
    </row>
    <row r="40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c r="AA401" s="206"/>
    </row>
    <row r="402">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c r="AA402" s="206"/>
    </row>
    <row r="403">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row>
    <row r="404">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c r="AA404" s="206"/>
    </row>
    <row r="405">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c r="AA405" s="206"/>
    </row>
    <row r="406">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c r="AA406" s="206"/>
    </row>
    <row r="407">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row>
    <row r="408">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row>
    <row r="409">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c r="AA409" s="206"/>
    </row>
    <row r="410">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c r="AA410" s="206"/>
    </row>
    <row r="41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c r="AA411" s="206"/>
    </row>
    <row r="412">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c r="AA412" s="206"/>
    </row>
    <row r="413">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c r="AA413" s="206"/>
    </row>
    <row r="414">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c r="AA414" s="206"/>
    </row>
    <row r="415">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c r="AA415" s="206"/>
    </row>
    <row r="416">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row>
    <row r="417">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row>
    <row r="418">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c r="AA418" s="206"/>
    </row>
    <row r="419">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row>
    <row r="420">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c r="AA420" s="206"/>
    </row>
    <row r="42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c r="AA421" s="206"/>
    </row>
    <row r="422">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c r="AA422" s="206"/>
    </row>
    <row r="423">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c r="AA423" s="206"/>
    </row>
    <row r="424">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row>
    <row r="425">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row>
    <row r="426">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row>
    <row r="427">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row>
    <row r="428">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row>
    <row r="429">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row>
    <row r="430">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c r="AA430" s="206"/>
    </row>
    <row r="43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c r="AA431" s="206"/>
    </row>
    <row r="432">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c r="AA432" s="206"/>
    </row>
    <row r="433">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c r="AA433" s="206"/>
    </row>
    <row r="434">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c r="AA434" s="206"/>
    </row>
    <row r="435">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row>
    <row r="436">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c r="AA436" s="206"/>
    </row>
    <row r="437">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c r="AA437" s="206"/>
    </row>
    <row r="438">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c r="AA438" s="206"/>
    </row>
    <row r="439">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row>
    <row r="440">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row>
    <row r="44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row>
    <row r="442">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row>
    <row r="443">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row>
    <row r="444">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row>
    <row r="445">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c r="AA445" s="206"/>
    </row>
    <row r="446">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row>
    <row r="447">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row>
    <row r="448">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row>
    <row r="449">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row>
    <row r="450">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c r="AA450" s="206"/>
    </row>
    <row r="45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row>
    <row r="452">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c r="AA452" s="206"/>
    </row>
    <row r="453">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c r="AA453" s="206"/>
    </row>
    <row r="454">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c r="AA454" s="206"/>
    </row>
    <row r="455">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c r="AA455" s="206"/>
    </row>
    <row r="456">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c r="AA456" s="206"/>
    </row>
    <row r="457">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c r="AA457" s="206"/>
    </row>
    <row r="458">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c r="AA458" s="206"/>
    </row>
    <row r="459">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c r="AA459" s="206"/>
    </row>
    <row r="460">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c r="AA460" s="206"/>
    </row>
    <row r="46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c r="AA461" s="206"/>
    </row>
    <row r="462">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c r="AA462" s="206"/>
    </row>
    <row r="463">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c r="AA463" s="206"/>
    </row>
    <row r="464">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c r="AA464" s="206"/>
    </row>
    <row r="465">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c r="AA465" s="206"/>
    </row>
    <row r="466">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c r="AA466" s="206"/>
    </row>
    <row r="467">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c r="AA467" s="206"/>
    </row>
    <row r="468">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c r="AA468" s="206"/>
    </row>
    <row r="469">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c r="AA469" s="206"/>
    </row>
    <row r="470">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c r="AA470" s="206"/>
    </row>
    <row r="47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c r="AA471" s="206"/>
    </row>
    <row r="472">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c r="AA472" s="206"/>
    </row>
    <row r="473">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c r="AA473" s="206"/>
    </row>
    <row r="474">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c r="AA474" s="206"/>
    </row>
    <row r="475">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c r="AA475" s="206"/>
    </row>
    <row r="476">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c r="AA476" s="206"/>
    </row>
    <row r="477">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c r="AA477" s="206"/>
    </row>
    <row r="478">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c r="AA478" s="206"/>
    </row>
    <row r="479">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c r="AA479" s="206"/>
    </row>
    <row r="480">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c r="AA480" s="206"/>
    </row>
    <row r="48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c r="AA481" s="206"/>
    </row>
    <row r="482">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c r="AA482" s="206"/>
    </row>
    <row r="483">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row>
    <row r="484">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row>
    <row r="485">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c r="AA485" s="206"/>
    </row>
    <row r="486">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c r="AA486" s="206"/>
    </row>
    <row r="487">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c r="AA487" s="206"/>
    </row>
    <row r="488">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c r="AA488" s="206"/>
    </row>
    <row r="489">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c r="AA489" s="206"/>
    </row>
    <row r="490">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c r="AA490" s="206"/>
    </row>
    <row r="49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c r="AA491" s="206"/>
    </row>
    <row r="492">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c r="AA492" s="206"/>
    </row>
    <row r="493">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c r="AA493" s="206"/>
    </row>
    <row r="494">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c r="AA494" s="206"/>
    </row>
    <row r="495">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c r="AA495" s="206"/>
    </row>
    <row r="496">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c r="AA496" s="206"/>
    </row>
    <row r="497">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c r="AA497" s="206"/>
    </row>
    <row r="498">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c r="AA498" s="206"/>
    </row>
    <row r="499">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c r="AA499" s="206"/>
    </row>
    <row r="500">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c r="AA500" s="206"/>
    </row>
    <row r="50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c r="AA501" s="206"/>
    </row>
    <row r="502">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c r="AA502" s="206"/>
    </row>
    <row r="503">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c r="AA503" s="206"/>
    </row>
    <row r="504">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c r="AA504" s="206"/>
    </row>
    <row r="505">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c r="AA505" s="206"/>
    </row>
    <row r="506">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c r="AA506" s="206"/>
    </row>
    <row r="507">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c r="AA507" s="206"/>
    </row>
    <row r="508">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c r="AA508" s="206"/>
    </row>
    <row r="509">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c r="AA509" s="206"/>
    </row>
    <row r="510">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c r="AA510" s="206"/>
    </row>
    <row r="51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c r="AA511" s="206"/>
    </row>
    <row r="512">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c r="AA512" s="206"/>
    </row>
    <row r="513">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c r="AA513" s="206"/>
    </row>
    <row r="514">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c r="AA514" s="206"/>
    </row>
    <row r="515">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c r="AA515" s="206"/>
    </row>
    <row r="516">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c r="AA516" s="206"/>
    </row>
    <row r="517">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c r="AA517" s="206"/>
    </row>
    <row r="518">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c r="AA518" s="206"/>
    </row>
    <row r="519">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c r="AA519" s="206"/>
    </row>
    <row r="520">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c r="AA520" s="206"/>
    </row>
    <row r="52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c r="AA521" s="206"/>
    </row>
    <row r="522">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c r="AA522" s="206"/>
    </row>
    <row r="523">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c r="AA523" s="206"/>
    </row>
    <row r="524">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c r="AA524" s="206"/>
    </row>
    <row r="525">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c r="AA525" s="206"/>
    </row>
    <row r="526">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c r="AA526" s="206"/>
    </row>
    <row r="527">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c r="AA527" s="206"/>
    </row>
    <row r="528">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c r="AA528" s="206"/>
    </row>
    <row r="529">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c r="AA529" s="206"/>
    </row>
    <row r="530">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c r="AA530" s="206"/>
    </row>
    <row r="53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c r="AA531" s="206"/>
    </row>
    <row r="532">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c r="AA532" s="206"/>
    </row>
    <row r="533">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c r="AA533" s="206"/>
    </row>
    <row r="534">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c r="AA534" s="206"/>
    </row>
    <row r="535">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c r="AA535" s="206"/>
    </row>
    <row r="536">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c r="AA536" s="206"/>
    </row>
    <row r="537">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c r="AA537" s="206"/>
    </row>
    <row r="538">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c r="AA538" s="206"/>
    </row>
    <row r="539">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c r="AA539" s="206"/>
    </row>
    <row r="540">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c r="AA540" s="206"/>
    </row>
    <row r="54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c r="AA541" s="206"/>
    </row>
    <row r="542">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c r="AA542" s="206"/>
    </row>
    <row r="543">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c r="AA543" s="206"/>
    </row>
    <row r="544">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c r="AA544" s="206"/>
    </row>
    <row r="545">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c r="AA545" s="206"/>
    </row>
    <row r="546">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c r="AA546" s="206"/>
    </row>
    <row r="547">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c r="AA547" s="206"/>
    </row>
    <row r="548">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c r="AA548" s="206"/>
    </row>
    <row r="549">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c r="AA549" s="206"/>
    </row>
    <row r="550">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c r="AA550" s="206"/>
    </row>
    <row r="55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c r="AA551" s="206"/>
    </row>
    <row r="552">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c r="AA552" s="206"/>
    </row>
    <row r="553">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c r="AA553" s="206"/>
    </row>
    <row r="554">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c r="AA554" s="206"/>
    </row>
    <row r="555">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c r="AA555" s="206"/>
    </row>
    <row r="556">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c r="AA556" s="206"/>
    </row>
    <row r="557">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c r="AA557" s="206"/>
    </row>
    <row r="558">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c r="AA558" s="206"/>
    </row>
    <row r="559">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c r="AA559" s="206"/>
    </row>
    <row r="560">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c r="AA560" s="206"/>
    </row>
    <row r="56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c r="AA561" s="206"/>
    </row>
    <row r="562">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c r="AA562" s="206"/>
    </row>
    <row r="563">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c r="AA563" s="206"/>
    </row>
    <row r="564">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c r="AA564" s="206"/>
    </row>
    <row r="565">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c r="AA565" s="206"/>
    </row>
    <row r="566">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c r="AA566" s="206"/>
    </row>
    <row r="567">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c r="AA567" s="206"/>
    </row>
    <row r="568">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c r="AA568" s="206"/>
    </row>
    <row r="569">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c r="AA569" s="206"/>
    </row>
    <row r="570">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c r="AA570" s="206"/>
    </row>
    <row r="57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c r="AA571" s="206"/>
    </row>
    <row r="572">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c r="AA572" s="206"/>
    </row>
    <row r="573">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c r="AA573" s="206"/>
    </row>
    <row r="574">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c r="AA574" s="206"/>
    </row>
    <row r="575">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c r="AA575" s="206"/>
    </row>
    <row r="576">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c r="AA576" s="206"/>
    </row>
    <row r="577">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c r="AA577" s="206"/>
    </row>
    <row r="578">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c r="AA578" s="206"/>
    </row>
    <row r="579">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c r="AA579" s="206"/>
    </row>
    <row r="580">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c r="AA580" s="206"/>
    </row>
    <row r="58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c r="AA581" s="206"/>
    </row>
    <row r="582">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c r="AA582" s="206"/>
    </row>
    <row r="583">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c r="AA583" s="206"/>
    </row>
    <row r="584">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c r="AA584" s="206"/>
    </row>
    <row r="585">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c r="AA585" s="206"/>
    </row>
    <row r="586">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c r="AA586" s="206"/>
    </row>
    <row r="587">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c r="AA587" s="206"/>
    </row>
    <row r="588">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c r="AA588" s="206"/>
    </row>
    <row r="589">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c r="AA589" s="206"/>
    </row>
    <row r="590">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c r="AA590" s="206"/>
    </row>
    <row r="59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c r="AA591" s="206"/>
    </row>
    <row r="592">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c r="AA592" s="206"/>
    </row>
    <row r="593">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c r="AA593" s="206"/>
    </row>
    <row r="594">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c r="AA594" s="206"/>
    </row>
    <row r="595">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c r="AA595" s="206"/>
    </row>
    <row r="596">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c r="AA596" s="206"/>
    </row>
    <row r="597">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c r="AA597" s="206"/>
    </row>
    <row r="598">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c r="AA598" s="206"/>
    </row>
    <row r="599">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c r="AA599" s="206"/>
    </row>
    <row r="600">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c r="AA600" s="206"/>
    </row>
    <row r="60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c r="AA601" s="206"/>
    </row>
    <row r="602">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c r="AA602" s="206"/>
    </row>
    <row r="603">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c r="AA603" s="206"/>
    </row>
    <row r="604">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c r="AA604" s="206"/>
    </row>
    <row r="605">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c r="AA605" s="206"/>
    </row>
    <row r="606">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c r="AA606" s="206"/>
    </row>
    <row r="607">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c r="AA607" s="206"/>
    </row>
    <row r="608">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c r="AA608" s="206"/>
    </row>
    <row r="609">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c r="AA609" s="206"/>
    </row>
    <row r="610">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c r="AA610" s="206"/>
    </row>
    <row r="61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c r="AA611" s="206"/>
    </row>
    <row r="612">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c r="AA612" s="206"/>
    </row>
    <row r="613">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c r="AA613" s="206"/>
    </row>
    <row r="614">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c r="AA614" s="206"/>
    </row>
    <row r="615">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c r="AA615" s="206"/>
    </row>
    <row r="616">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c r="AA616" s="206"/>
    </row>
    <row r="617">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c r="AA617" s="206"/>
    </row>
    <row r="618">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c r="AA618" s="206"/>
    </row>
    <row r="619">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c r="AA619" s="206"/>
    </row>
    <row r="620">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c r="AA620" s="206"/>
    </row>
    <row r="62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c r="AA621" s="206"/>
    </row>
    <row r="622">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c r="AA622" s="206"/>
    </row>
    <row r="623">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c r="AA623" s="206"/>
    </row>
    <row r="624">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c r="AA624" s="206"/>
    </row>
    <row r="625">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c r="AA625" s="206"/>
    </row>
    <row r="626">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c r="AA626" s="206"/>
    </row>
    <row r="627">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c r="AA627" s="206"/>
    </row>
    <row r="628">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c r="AA628" s="206"/>
    </row>
    <row r="629">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c r="AA629" s="206"/>
    </row>
    <row r="630">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c r="AA630" s="206"/>
    </row>
    <row r="63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c r="AA631" s="206"/>
    </row>
    <row r="632">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c r="AA632" s="206"/>
    </row>
    <row r="633">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c r="AA633" s="206"/>
    </row>
    <row r="634">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c r="AA634" s="206"/>
    </row>
    <row r="635">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c r="AA635" s="206"/>
    </row>
    <row r="636">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c r="AA636" s="206"/>
    </row>
    <row r="637">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c r="AA637" s="206"/>
    </row>
    <row r="638">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c r="AA638" s="206"/>
    </row>
    <row r="639">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c r="AA639" s="206"/>
    </row>
    <row r="640">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c r="AA640" s="206"/>
    </row>
    <row r="64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c r="AA641" s="206"/>
    </row>
    <row r="642">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c r="AA642" s="206"/>
    </row>
    <row r="643">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c r="AA643" s="206"/>
    </row>
    <row r="644">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c r="AA644" s="206"/>
    </row>
    <row r="645">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c r="AA645" s="206"/>
    </row>
    <row r="646">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c r="AA646" s="206"/>
    </row>
    <row r="647">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c r="AA647" s="206"/>
    </row>
    <row r="648">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c r="AA648" s="206"/>
    </row>
    <row r="649">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c r="AA649" s="206"/>
    </row>
    <row r="650">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c r="AA650" s="206"/>
    </row>
    <row r="65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c r="AA651" s="206"/>
    </row>
    <row r="652">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c r="AA652" s="206"/>
    </row>
    <row r="653">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c r="AA653" s="206"/>
    </row>
    <row r="654">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c r="AA654" s="206"/>
    </row>
    <row r="655">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c r="AA655" s="206"/>
    </row>
    <row r="656">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c r="AA656" s="206"/>
    </row>
    <row r="657">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c r="AA657" s="206"/>
    </row>
    <row r="658">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c r="AA658" s="206"/>
    </row>
    <row r="659">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c r="AA659" s="206"/>
    </row>
    <row r="660">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c r="AA660" s="206"/>
    </row>
    <row r="66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c r="AA661" s="206"/>
    </row>
    <row r="662">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c r="AA662" s="206"/>
    </row>
    <row r="663">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c r="AA663" s="206"/>
    </row>
    <row r="664">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c r="AA664" s="206"/>
    </row>
    <row r="665">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c r="AA665" s="206"/>
    </row>
    <row r="666">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c r="AA666" s="206"/>
    </row>
    <row r="667">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c r="AA667" s="206"/>
    </row>
    <row r="668">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c r="AA668" s="206"/>
    </row>
    <row r="669">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c r="AA669" s="206"/>
    </row>
    <row r="670">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c r="AA670" s="206"/>
    </row>
    <row r="67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c r="AA671" s="206"/>
    </row>
    <row r="672">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c r="AA672" s="206"/>
    </row>
    <row r="673">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c r="AA673" s="206"/>
    </row>
    <row r="674">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c r="AA674" s="206"/>
    </row>
    <row r="675">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c r="AA675" s="206"/>
    </row>
    <row r="676">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c r="AA676" s="206"/>
    </row>
    <row r="677">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c r="AA677" s="206"/>
    </row>
    <row r="678">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c r="AA678" s="206"/>
    </row>
    <row r="679">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c r="AA679" s="206"/>
    </row>
    <row r="680">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c r="AA680" s="206"/>
    </row>
    <row r="68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c r="AA681" s="206"/>
    </row>
    <row r="682">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c r="AA682" s="206"/>
    </row>
    <row r="683">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c r="AA683" s="206"/>
    </row>
    <row r="684">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c r="AA684" s="206"/>
    </row>
    <row r="685">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c r="AA685" s="206"/>
    </row>
    <row r="686">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c r="AA686" s="206"/>
    </row>
    <row r="687">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c r="AA687" s="206"/>
    </row>
    <row r="688">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c r="AA688" s="206"/>
    </row>
    <row r="689">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c r="AA689" s="206"/>
    </row>
    <row r="690">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c r="AA690" s="206"/>
    </row>
    <row r="69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c r="AA691" s="206"/>
    </row>
    <row r="692">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c r="AA692" s="206"/>
    </row>
    <row r="693">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c r="AA693" s="206"/>
    </row>
    <row r="694">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c r="AA694" s="206"/>
    </row>
    <row r="695">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c r="AA695" s="206"/>
    </row>
    <row r="696">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c r="AA696" s="206"/>
    </row>
    <row r="697">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c r="AA697" s="206"/>
    </row>
    <row r="698">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c r="AA698" s="206"/>
    </row>
    <row r="699">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c r="AA699" s="206"/>
    </row>
    <row r="700">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c r="AA700" s="206"/>
    </row>
    <row r="70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c r="AA701" s="206"/>
    </row>
    <row r="702">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c r="AA702" s="206"/>
    </row>
    <row r="703">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c r="AA703" s="206"/>
    </row>
    <row r="704">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c r="AA704" s="206"/>
    </row>
    <row r="705">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c r="AA705" s="206"/>
    </row>
    <row r="706">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c r="AA706" s="206"/>
    </row>
    <row r="707">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c r="AA707" s="206"/>
    </row>
    <row r="708">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c r="AA708" s="206"/>
    </row>
    <row r="709">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c r="AA709" s="206"/>
    </row>
    <row r="710">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c r="AA710" s="206"/>
    </row>
    <row r="71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c r="AA711" s="206"/>
    </row>
    <row r="712">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c r="AA712" s="206"/>
    </row>
    <row r="713">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c r="AA713" s="206"/>
    </row>
    <row r="714">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c r="AA714" s="206"/>
    </row>
    <row r="715">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c r="AA715" s="206"/>
    </row>
    <row r="716">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c r="AA716" s="206"/>
    </row>
    <row r="717">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c r="AA717" s="206"/>
    </row>
    <row r="718">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c r="AA718" s="206"/>
    </row>
    <row r="719">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c r="AA719" s="206"/>
    </row>
    <row r="720">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c r="AA720" s="206"/>
    </row>
    <row r="72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c r="AA721" s="206"/>
    </row>
    <row r="722">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c r="AA722" s="206"/>
    </row>
    <row r="723">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c r="AA723" s="206"/>
    </row>
    <row r="724">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c r="AA724" s="206"/>
    </row>
    <row r="725">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c r="AA725" s="206"/>
    </row>
    <row r="726">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c r="AA726" s="206"/>
    </row>
    <row r="727">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c r="AA727" s="206"/>
    </row>
    <row r="728">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c r="AA728" s="206"/>
    </row>
    <row r="729">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c r="AA729" s="206"/>
    </row>
    <row r="730">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c r="AA730" s="206"/>
    </row>
    <row r="73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c r="AA731" s="206"/>
    </row>
    <row r="732">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c r="AA732" s="206"/>
    </row>
    <row r="733">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c r="AA733" s="206"/>
    </row>
    <row r="734">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c r="AA734" s="206"/>
    </row>
    <row r="735">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c r="AA735" s="206"/>
    </row>
    <row r="736">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c r="AA736" s="206"/>
    </row>
    <row r="737">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c r="AA737" s="206"/>
    </row>
    <row r="738">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c r="AA738" s="206"/>
    </row>
    <row r="739">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c r="AA739" s="206"/>
    </row>
    <row r="740">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c r="AA740" s="206"/>
    </row>
    <row r="74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c r="AA741" s="206"/>
    </row>
    <row r="742">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c r="AA742" s="206"/>
    </row>
    <row r="743">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c r="AA743" s="206"/>
    </row>
    <row r="744">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c r="AA744" s="206"/>
    </row>
    <row r="745">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c r="AA745" s="206"/>
    </row>
    <row r="746">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c r="AA746" s="206"/>
    </row>
    <row r="747">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c r="AA747" s="206"/>
    </row>
    <row r="748">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c r="AA748" s="206"/>
    </row>
    <row r="749">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c r="AA749" s="206"/>
    </row>
    <row r="750">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c r="AA750" s="206"/>
    </row>
    <row r="75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c r="AA751" s="206"/>
    </row>
    <row r="752">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c r="AA752" s="206"/>
    </row>
    <row r="753">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c r="AA753" s="206"/>
    </row>
    <row r="754">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c r="AA754" s="206"/>
    </row>
    <row r="755">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c r="AA755" s="206"/>
    </row>
    <row r="756">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c r="AA756" s="206"/>
    </row>
    <row r="757">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c r="AA757" s="206"/>
    </row>
    <row r="758">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c r="AA758" s="206"/>
    </row>
    <row r="759">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c r="AA759" s="206"/>
    </row>
    <row r="760">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c r="AA760" s="206"/>
    </row>
    <row r="76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c r="AA761" s="206"/>
    </row>
    <row r="762">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c r="AA762" s="206"/>
    </row>
    <row r="763">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c r="AA763" s="206"/>
    </row>
    <row r="764">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c r="AA764" s="206"/>
    </row>
    <row r="765">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c r="AA765" s="206"/>
    </row>
    <row r="766">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c r="AA766" s="206"/>
    </row>
    <row r="767">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c r="AA767" s="206"/>
    </row>
    <row r="768">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c r="AA768" s="206"/>
    </row>
    <row r="769">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c r="AA769" s="206"/>
    </row>
    <row r="770">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c r="AA770" s="206"/>
    </row>
    <row r="77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c r="AA771" s="206"/>
    </row>
    <row r="772">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c r="AA772" s="206"/>
    </row>
    <row r="773">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c r="AA773" s="206"/>
    </row>
    <row r="774">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c r="AA774" s="206"/>
    </row>
    <row r="775">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c r="AA775" s="206"/>
    </row>
    <row r="776">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c r="AA776" s="206"/>
    </row>
    <row r="777">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c r="AA777" s="206"/>
    </row>
    <row r="778">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c r="AA778" s="206"/>
    </row>
    <row r="779">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c r="AA779" s="206"/>
    </row>
    <row r="780">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c r="AA780" s="206"/>
    </row>
    <row r="78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c r="AA781" s="206"/>
    </row>
    <row r="782">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c r="AA782" s="206"/>
    </row>
    <row r="783">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c r="AA783" s="206"/>
    </row>
    <row r="784">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c r="AA784" s="206"/>
    </row>
    <row r="785">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c r="AA785" s="206"/>
    </row>
    <row r="786">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c r="AA786" s="206"/>
    </row>
    <row r="787">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c r="AA787" s="206"/>
    </row>
    <row r="788">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c r="AA788" s="206"/>
    </row>
    <row r="789">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c r="AA789" s="206"/>
    </row>
    <row r="790">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c r="AA790" s="206"/>
    </row>
    <row r="79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c r="AA791" s="206"/>
    </row>
    <row r="792">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c r="AA792" s="206"/>
    </row>
    <row r="793">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c r="AA793" s="206"/>
    </row>
    <row r="794">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c r="AA794" s="206"/>
    </row>
    <row r="795">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c r="AA795" s="206"/>
    </row>
    <row r="796">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c r="AA796" s="206"/>
    </row>
    <row r="797">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c r="AA797" s="206"/>
    </row>
    <row r="798">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c r="AA798" s="206"/>
    </row>
    <row r="799">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c r="AA799" s="206"/>
    </row>
    <row r="800">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c r="AA800" s="206"/>
    </row>
    <row r="80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c r="AA801" s="206"/>
    </row>
    <row r="802">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c r="AA802" s="206"/>
    </row>
    <row r="803">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c r="AA803" s="206"/>
    </row>
    <row r="804">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c r="AA804" s="206"/>
    </row>
    <row r="805">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c r="AA805" s="206"/>
    </row>
    <row r="806">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c r="AA806" s="206"/>
    </row>
    <row r="807">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c r="AA807" s="206"/>
    </row>
    <row r="808">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c r="AA808" s="206"/>
    </row>
    <row r="809">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c r="AA809" s="206"/>
    </row>
    <row r="810">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c r="AA810" s="206"/>
    </row>
    <row r="81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c r="AA811" s="206"/>
    </row>
    <row r="812">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c r="AA812" s="206"/>
    </row>
    <row r="813">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c r="AA813" s="206"/>
    </row>
    <row r="814">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c r="AA814" s="206"/>
    </row>
    <row r="815">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c r="AA815" s="206"/>
    </row>
    <row r="816">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c r="AA816" s="206"/>
    </row>
    <row r="817">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c r="AA817" s="206"/>
    </row>
    <row r="818">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c r="AA818" s="206"/>
    </row>
    <row r="819">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c r="AA819" s="206"/>
    </row>
    <row r="820">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c r="AA820" s="206"/>
    </row>
    <row r="82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c r="AA821" s="206"/>
    </row>
    <row r="822">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c r="AA822" s="206"/>
    </row>
    <row r="823">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c r="AA823" s="206"/>
    </row>
    <row r="824">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c r="AA824" s="206"/>
    </row>
    <row r="825">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c r="AA825" s="206"/>
    </row>
    <row r="826">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c r="AA826" s="206"/>
    </row>
    <row r="827">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c r="AA827" s="206"/>
    </row>
    <row r="828">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c r="AA828" s="206"/>
    </row>
    <row r="829">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c r="AA829" s="206"/>
    </row>
    <row r="830">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c r="AA830" s="206"/>
    </row>
    <row r="83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c r="AA831" s="206"/>
    </row>
    <row r="832">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c r="AA832" s="206"/>
    </row>
    <row r="833">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c r="AA833" s="206"/>
    </row>
    <row r="834">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c r="AA834" s="206"/>
    </row>
    <row r="835">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c r="AA835" s="206"/>
    </row>
    <row r="836">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c r="AA836" s="206"/>
    </row>
    <row r="837">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c r="AA837" s="206"/>
    </row>
    <row r="838">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c r="AA838" s="206"/>
    </row>
    <row r="839">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c r="AA839" s="206"/>
    </row>
    <row r="840">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c r="AA840" s="206"/>
    </row>
    <row r="84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c r="AA841" s="206"/>
    </row>
    <row r="842">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c r="AA842" s="206"/>
    </row>
    <row r="843">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c r="AA843" s="206"/>
    </row>
    <row r="844">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c r="AA844" s="206"/>
    </row>
    <row r="845">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c r="AA845" s="206"/>
    </row>
    <row r="846">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c r="AA846" s="206"/>
    </row>
    <row r="847">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c r="AA847" s="206"/>
    </row>
    <row r="848">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c r="AA848" s="206"/>
    </row>
    <row r="849">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c r="AA849" s="206"/>
    </row>
    <row r="850">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c r="AA850" s="206"/>
    </row>
    <row r="85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c r="AA851" s="206"/>
    </row>
    <row r="852">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c r="AA852" s="206"/>
    </row>
    <row r="853">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c r="AA853" s="206"/>
    </row>
    <row r="854">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c r="AA854" s="206"/>
    </row>
    <row r="855">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c r="AA855" s="206"/>
    </row>
    <row r="856">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c r="AA856" s="206"/>
    </row>
    <row r="857">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c r="AA857" s="206"/>
    </row>
    <row r="858">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c r="AA858" s="206"/>
    </row>
    <row r="859">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c r="AA859" s="206"/>
    </row>
    <row r="860">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c r="AA860" s="206"/>
    </row>
    <row r="86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c r="AA861" s="206"/>
    </row>
    <row r="862">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c r="AA862" s="206"/>
    </row>
    <row r="863">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c r="AA863" s="206"/>
    </row>
    <row r="864">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c r="AA864" s="206"/>
    </row>
    <row r="865">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c r="AA865" s="206"/>
    </row>
    <row r="866">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c r="AA866" s="206"/>
    </row>
    <row r="867">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c r="AA867" s="206"/>
    </row>
    <row r="868">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c r="AA868" s="206"/>
    </row>
    <row r="869">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c r="AA869" s="206"/>
    </row>
    <row r="870">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c r="AA870" s="206"/>
    </row>
    <row r="87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c r="AA871" s="206"/>
    </row>
    <row r="872">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c r="AA872" s="206"/>
    </row>
    <row r="873">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c r="AA873" s="206"/>
    </row>
    <row r="874">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c r="AA874" s="206"/>
    </row>
    <row r="875">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c r="AA875" s="206"/>
    </row>
    <row r="876">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c r="AA876" s="206"/>
    </row>
    <row r="877">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c r="AA877" s="206"/>
    </row>
    <row r="878">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c r="AA878" s="206"/>
    </row>
    <row r="879">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c r="AA879" s="206"/>
    </row>
    <row r="880">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c r="AA880" s="206"/>
    </row>
    <row r="88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c r="AA881" s="206"/>
    </row>
    <row r="882">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c r="AA882" s="206"/>
    </row>
    <row r="883">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c r="AA883" s="206"/>
    </row>
    <row r="884">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c r="AA884" s="206"/>
    </row>
    <row r="885">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c r="AA885" s="206"/>
    </row>
    <row r="886">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c r="AA886" s="206"/>
    </row>
    <row r="887">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c r="AA887" s="206"/>
    </row>
    <row r="888">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c r="AA888" s="206"/>
    </row>
    <row r="889">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c r="AA889" s="206"/>
    </row>
    <row r="890">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c r="AA890" s="206"/>
    </row>
    <row r="89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c r="AA891" s="206"/>
    </row>
    <row r="892">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c r="AA892" s="206"/>
    </row>
    <row r="893">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c r="AA893" s="206"/>
    </row>
    <row r="894">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c r="AA894" s="206"/>
    </row>
    <row r="895">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c r="AA895" s="206"/>
    </row>
    <row r="896">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c r="AA896" s="206"/>
    </row>
    <row r="897">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c r="AA897" s="206"/>
    </row>
    <row r="898">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c r="AA898" s="206"/>
    </row>
    <row r="899">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c r="AA899" s="206"/>
    </row>
    <row r="900">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c r="AA900" s="206"/>
    </row>
    <row r="90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c r="AA901" s="206"/>
    </row>
    <row r="902">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c r="AA902" s="206"/>
    </row>
    <row r="903">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c r="AA903" s="206"/>
    </row>
    <row r="904">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c r="AA904" s="206"/>
    </row>
    <row r="905">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c r="AA905" s="206"/>
    </row>
    <row r="906">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c r="AA906" s="206"/>
    </row>
    <row r="907">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c r="AA907" s="206"/>
    </row>
    <row r="908">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c r="AA908" s="206"/>
    </row>
    <row r="909">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c r="AA909" s="206"/>
    </row>
    <row r="910">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c r="AA910" s="206"/>
    </row>
    <row r="91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c r="AA911" s="206"/>
    </row>
    <row r="912">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c r="AA912" s="206"/>
    </row>
    <row r="913">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c r="AA913" s="206"/>
    </row>
    <row r="914">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c r="AA914" s="206"/>
    </row>
    <row r="915">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c r="AA915" s="206"/>
    </row>
    <row r="916">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c r="AA916" s="206"/>
    </row>
    <row r="917">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c r="AA917" s="206"/>
    </row>
    <row r="918">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c r="AA918" s="206"/>
    </row>
    <row r="919">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c r="AA919" s="206"/>
    </row>
    <row r="920">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c r="AA920" s="206"/>
    </row>
    <row r="92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c r="AA921" s="206"/>
    </row>
    <row r="922">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c r="AA922" s="206"/>
    </row>
    <row r="923">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c r="AA923" s="206"/>
    </row>
    <row r="924">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c r="AA924" s="206"/>
    </row>
    <row r="925">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c r="AA925" s="206"/>
    </row>
    <row r="926">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c r="AA926" s="206"/>
    </row>
    <row r="927">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c r="AA927" s="206"/>
    </row>
    <row r="928">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c r="AA928" s="206"/>
    </row>
    <row r="929">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c r="AA929" s="206"/>
    </row>
    <row r="930">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c r="AA930" s="206"/>
    </row>
    <row r="93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c r="AA931" s="206"/>
    </row>
    <row r="932">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c r="AA932" s="206"/>
    </row>
    <row r="933">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c r="AA933" s="206"/>
    </row>
    <row r="934">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c r="AA934" s="206"/>
    </row>
    <row r="935">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c r="AA935" s="206"/>
    </row>
    <row r="936">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c r="AA936" s="206"/>
    </row>
    <row r="937">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c r="AA937" s="206"/>
    </row>
    <row r="938">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c r="AA938" s="206"/>
    </row>
    <row r="939">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c r="AA939" s="206"/>
    </row>
    <row r="940">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c r="AA940" s="206"/>
    </row>
    <row r="94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c r="AA941" s="206"/>
    </row>
    <row r="942">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c r="AA942" s="206"/>
    </row>
    <row r="943">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c r="AA943" s="206"/>
    </row>
    <row r="944">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c r="AA944" s="206"/>
    </row>
    <row r="945">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c r="AA945" s="206"/>
    </row>
    <row r="946">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c r="AA946" s="206"/>
    </row>
    <row r="947">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c r="AA947" s="206"/>
    </row>
    <row r="948">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c r="AA948" s="206"/>
    </row>
    <row r="949">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c r="AA949" s="206"/>
    </row>
    <row r="950">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c r="AA950" s="206"/>
    </row>
    <row r="95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c r="AA951" s="206"/>
    </row>
    <row r="952">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c r="AA952" s="206"/>
    </row>
    <row r="953">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c r="AA953" s="206"/>
    </row>
    <row r="954">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c r="AA954" s="206"/>
    </row>
    <row r="955">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c r="AA955" s="206"/>
    </row>
    <row r="956">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c r="AA956" s="206"/>
    </row>
    <row r="957">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c r="AA957" s="206"/>
    </row>
    <row r="958">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c r="AA958" s="206"/>
    </row>
    <row r="959">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c r="AA959" s="206"/>
    </row>
    <row r="960">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c r="AA960" s="206"/>
    </row>
    <row r="96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c r="AA961" s="206"/>
    </row>
    <row r="962">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c r="AA962" s="206"/>
    </row>
    <row r="963">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c r="AA963" s="206"/>
    </row>
    <row r="964">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c r="AA964" s="206"/>
    </row>
    <row r="965">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c r="AA965" s="206"/>
    </row>
    <row r="966">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c r="AA966" s="206"/>
    </row>
    <row r="967">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c r="AA967" s="206"/>
    </row>
    <row r="968">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c r="AA968" s="206"/>
    </row>
    <row r="969">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c r="AA969" s="206"/>
    </row>
    <row r="970">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c r="AA970" s="206"/>
    </row>
    <row r="97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c r="AA971" s="206"/>
    </row>
    <row r="972">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c r="AA972" s="206"/>
    </row>
    <row r="973">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c r="AA973" s="206"/>
    </row>
    <row r="974">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c r="AA974" s="206"/>
    </row>
    <row r="975">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c r="AA975" s="206"/>
    </row>
    <row r="976">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c r="AA976" s="206"/>
    </row>
    <row r="977">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c r="AA977" s="206"/>
    </row>
    <row r="978">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c r="AA978" s="206"/>
    </row>
    <row r="979">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c r="AA979" s="206"/>
    </row>
    <row r="980">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c r="AA980" s="206"/>
    </row>
    <row r="98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c r="AA981" s="206"/>
    </row>
    <row r="982">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c r="AA982" s="206"/>
    </row>
    <row r="983">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c r="AA983" s="206"/>
    </row>
    <row r="984">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c r="AA984" s="206"/>
    </row>
    <row r="985">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c r="AA985" s="206"/>
    </row>
    <row r="986">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c r="AA986" s="206"/>
    </row>
    <row r="987">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c r="AA987" s="206"/>
    </row>
    <row r="988">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c r="AA988" s="206"/>
    </row>
    <row r="989">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c r="AA989" s="206"/>
    </row>
    <row r="990">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c r="AA990" s="206"/>
    </row>
    <row r="99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c r="AA991" s="206"/>
    </row>
    <row r="992">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c r="AA992" s="206"/>
    </row>
    <row r="993">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c r="AA993" s="206"/>
    </row>
    <row r="994">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c r="AA994" s="206"/>
    </row>
    <row r="995">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c r="AA995" s="206"/>
    </row>
    <row r="996">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c r="AA996" s="206"/>
    </row>
    <row r="997">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c r="AA997" s="206"/>
    </row>
    <row r="998">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c r="AA998" s="206"/>
    </row>
    <row r="999">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c r="AA999" s="206"/>
    </row>
    <row r="1000">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c r="AA1000" s="206"/>
    </row>
    <row r="1001">
      <c r="A1001" s="206"/>
      <c r="B1001" s="206"/>
      <c r="C1001" s="206"/>
      <c r="D1001" s="206"/>
      <c r="E1001" s="206"/>
      <c r="F1001" s="206"/>
      <c r="G1001" s="206"/>
      <c r="H1001" s="206"/>
      <c r="I1001" s="206"/>
      <c r="J1001" s="206"/>
      <c r="K1001" s="206"/>
      <c r="L1001" s="206"/>
      <c r="M1001" s="206"/>
      <c r="N1001" s="206"/>
      <c r="O1001" s="206"/>
      <c r="P1001" s="206"/>
      <c r="Q1001" s="206"/>
      <c r="R1001" s="206"/>
      <c r="S1001" s="206"/>
      <c r="T1001" s="206"/>
      <c r="U1001" s="206"/>
      <c r="V1001" s="206"/>
      <c r="W1001" s="206"/>
      <c r="X1001" s="206"/>
      <c r="Y1001" s="206"/>
      <c r="Z1001" s="206"/>
      <c r="AA1001" s="20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hidden="1" min="3" max="4" width="14.43"/>
    <col customWidth="1" min="5" max="5" width="36.0"/>
    <col hidden="1" min="6" max="6" width="14.43"/>
    <col customWidth="1" hidden="1" min="7" max="7" width="60.57"/>
    <col customWidth="1" min="8" max="8" width="80.29"/>
  </cols>
  <sheetData>
    <row r="1">
      <c r="A1" s="110" t="s">
        <v>1388</v>
      </c>
      <c r="B1" s="110" t="s">
        <v>1829</v>
      </c>
      <c r="C1" s="198" t="s">
        <v>1830</v>
      </c>
      <c r="D1" s="196"/>
      <c r="E1" s="211" t="s">
        <v>816</v>
      </c>
      <c r="F1" s="196"/>
      <c r="G1" s="198" t="s">
        <v>1181</v>
      </c>
      <c r="H1" s="196"/>
    </row>
    <row r="2">
      <c r="A2" s="212">
        <v>9963.0</v>
      </c>
      <c r="B2" s="213">
        <v>441070.0</v>
      </c>
      <c r="C2" s="214" t="s">
        <v>101</v>
      </c>
      <c r="D2" s="215" t="s">
        <v>1831</v>
      </c>
      <c r="E2" s="216" t="s">
        <v>971</v>
      </c>
      <c r="F2" s="215" t="s">
        <v>1831</v>
      </c>
      <c r="G2" s="214" t="s">
        <v>972</v>
      </c>
      <c r="H2" s="103" t="s">
        <v>970</v>
      </c>
    </row>
    <row r="3">
      <c r="A3" s="217"/>
      <c r="B3" s="213">
        <v>440013.0</v>
      </c>
      <c r="C3" s="214" t="s">
        <v>101</v>
      </c>
      <c r="D3" s="218" t="s">
        <v>1831</v>
      </c>
      <c r="E3" s="216" t="s">
        <v>468</v>
      </c>
      <c r="F3" s="218" t="s">
        <v>1831</v>
      </c>
      <c r="G3" s="214" t="s">
        <v>468</v>
      </c>
      <c r="H3" s="103" t="s">
        <v>824</v>
      </c>
    </row>
    <row r="4">
      <c r="A4" s="217"/>
      <c r="B4" s="213">
        <v>440032.0</v>
      </c>
      <c r="C4" s="214" t="s">
        <v>101</v>
      </c>
      <c r="D4" s="218" t="s">
        <v>1831</v>
      </c>
      <c r="E4" s="216" t="s">
        <v>211</v>
      </c>
      <c r="F4" s="218" t="s">
        <v>1831</v>
      </c>
      <c r="G4" s="214" t="s">
        <v>853</v>
      </c>
      <c r="H4" s="103" t="s">
        <v>1009</v>
      </c>
      <c r="I4" s="23" t="s">
        <v>1832</v>
      </c>
    </row>
    <row r="5">
      <c r="A5" s="217"/>
      <c r="B5" s="219">
        <v>440258.0</v>
      </c>
      <c r="C5" s="214" t="s">
        <v>101</v>
      </c>
      <c r="D5" s="218" t="s">
        <v>1831</v>
      </c>
      <c r="E5" s="216" t="s">
        <v>211</v>
      </c>
      <c r="F5" s="218" t="s">
        <v>1831</v>
      </c>
      <c r="G5" s="214" t="s">
        <v>1011</v>
      </c>
      <c r="H5" s="103" t="s">
        <v>1010</v>
      </c>
      <c r="I5" s="23" t="s">
        <v>1832</v>
      </c>
    </row>
    <row r="6">
      <c r="A6" s="217"/>
      <c r="B6" s="213">
        <v>440072.0</v>
      </c>
      <c r="C6" s="214" t="s">
        <v>101</v>
      </c>
      <c r="D6" s="218" t="s">
        <v>1831</v>
      </c>
      <c r="E6" s="216" t="s">
        <v>881</v>
      </c>
      <c r="F6" s="218" t="s">
        <v>1831</v>
      </c>
      <c r="G6" s="214" t="s">
        <v>882</v>
      </c>
      <c r="H6" s="103" t="s">
        <v>880</v>
      </c>
    </row>
    <row r="7">
      <c r="A7" s="217"/>
      <c r="B7" s="213">
        <v>440418.0</v>
      </c>
      <c r="C7" s="214" t="s">
        <v>101</v>
      </c>
      <c r="D7" s="218" t="s">
        <v>1831</v>
      </c>
      <c r="E7" s="216" t="s">
        <v>933</v>
      </c>
      <c r="F7" s="218" t="s">
        <v>1831</v>
      </c>
      <c r="G7" s="214" t="s">
        <v>934</v>
      </c>
      <c r="H7" s="103" t="s">
        <v>932</v>
      </c>
    </row>
    <row r="8">
      <c r="A8" s="217"/>
      <c r="B8" s="213">
        <v>440346.0</v>
      </c>
      <c r="C8" s="214" t="s">
        <v>101</v>
      </c>
      <c r="D8" s="218" t="s">
        <v>1831</v>
      </c>
      <c r="E8" s="216" t="s">
        <v>1002</v>
      </c>
      <c r="F8" s="218" t="s">
        <v>1831</v>
      </c>
      <c r="G8" s="214" t="s">
        <v>1003</v>
      </c>
      <c r="H8" s="103" t="s">
        <v>1001</v>
      </c>
      <c r="I8" s="23" t="s">
        <v>1833</v>
      </c>
    </row>
    <row r="9">
      <c r="A9" s="217"/>
      <c r="B9" s="213">
        <v>440370.0</v>
      </c>
      <c r="C9" s="214" t="s">
        <v>101</v>
      </c>
      <c r="D9" s="218" t="s">
        <v>1831</v>
      </c>
      <c r="E9" s="216" t="s">
        <v>211</v>
      </c>
      <c r="F9" s="218" t="s">
        <v>1831</v>
      </c>
      <c r="G9" s="214" t="s">
        <v>1013</v>
      </c>
      <c r="H9" s="103" t="s">
        <v>1012</v>
      </c>
      <c r="I9" s="23" t="s">
        <v>1832</v>
      </c>
    </row>
    <row r="10">
      <c r="A10" s="217"/>
      <c r="B10" s="213">
        <v>440173.0</v>
      </c>
      <c r="C10" s="214" t="s">
        <v>101</v>
      </c>
      <c r="D10" s="218" t="s">
        <v>1831</v>
      </c>
      <c r="E10" s="216" t="s">
        <v>933</v>
      </c>
      <c r="F10" s="218" t="s">
        <v>1831</v>
      </c>
      <c r="G10" s="214" t="s">
        <v>1834</v>
      </c>
      <c r="H10" s="103" t="s">
        <v>935</v>
      </c>
    </row>
    <row r="11">
      <c r="A11" s="217"/>
      <c r="B11" s="220">
        <v>440209.0</v>
      </c>
      <c r="C11" s="214" t="s">
        <v>101</v>
      </c>
      <c r="D11" s="218" t="s">
        <v>1831</v>
      </c>
      <c r="E11" s="216" t="s">
        <v>211</v>
      </c>
      <c r="F11" s="218" t="s">
        <v>1831</v>
      </c>
      <c r="G11" s="214" t="s">
        <v>1015</v>
      </c>
      <c r="H11" s="103" t="s">
        <v>1014</v>
      </c>
    </row>
    <row r="12">
      <c r="A12" s="217"/>
      <c r="B12" s="220">
        <v>440165.0</v>
      </c>
      <c r="C12" s="214" t="s">
        <v>101</v>
      </c>
      <c r="D12" s="218" t="s">
        <v>1831</v>
      </c>
      <c r="E12" s="216" t="s">
        <v>468</v>
      </c>
      <c r="F12" s="218" t="s">
        <v>1831</v>
      </c>
      <c r="G12" s="214" t="s">
        <v>827</v>
      </c>
      <c r="H12" s="103" t="s">
        <v>826</v>
      </c>
    </row>
    <row r="13">
      <c r="A13" s="221">
        <v>9983.0</v>
      </c>
      <c r="B13" s="220">
        <v>440225.0</v>
      </c>
      <c r="C13" s="214" t="s">
        <v>101</v>
      </c>
      <c r="D13" s="218" t="s">
        <v>1831</v>
      </c>
      <c r="E13" s="216" t="s">
        <v>211</v>
      </c>
      <c r="F13" s="218" t="s">
        <v>1831</v>
      </c>
      <c r="G13" s="214" t="s">
        <v>1017</v>
      </c>
      <c r="H13" s="103" t="s">
        <v>1016</v>
      </c>
      <c r="I13" s="23" t="s">
        <v>1832</v>
      </c>
    </row>
    <row r="14">
      <c r="A14" s="217"/>
      <c r="B14" s="220">
        <v>440254.0</v>
      </c>
      <c r="C14" s="214" t="s">
        <v>101</v>
      </c>
      <c r="D14" s="218" t="s">
        <v>1831</v>
      </c>
      <c r="E14" s="216" t="s">
        <v>211</v>
      </c>
      <c r="F14" s="218" t="s">
        <v>1831</v>
      </c>
      <c r="G14" s="214" t="s">
        <v>1019</v>
      </c>
      <c r="H14" s="103" t="s">
        <v>1018</v>
      </c>
      <c r="I14" s="23" t="s">
        <v>1832</v>
      </c>
    </row>
    <row r="15">
      <c r="A15" s="217"/>
      <c r="B15" s="220">
        <v>440366.0</v>
      </c>
      <c r="C15" s="214" t="s">
        <v>101</v>
      </c>
      <c r="D15" s="218" t="s">
        <v>1831</v>
      </c>
      <c r="E15" s="216" t="s">
        <v>211</v>
      </c>
      <c r="F15" s="218" t="s">
        <v>1831</v>
      </c>
      <c r="G15" s="214" t="s">
        <v>1021</v>
      </c>
      <c r="H15" s="103" t="s">
        <v>1020</v>
      </c>
      <c r="I15" s="23" t="s">
        <v>1832</v>
      </c>
    </row>
    <row r="16">
      <c r="A16" s="217"/>
      <c r="B16" s="220">
        <v>440217.0</v>
      </c>
      <c r="C16" s="214" t="s">
        <v>101</v>
      </c>
      <c r="D16" s="218" t="s">
        <v>1831</v>
      </c>
      <c r="E16" s="216" t="s">
        <v>211</v>
      </c>
      <c r="F16" s="218" t="s">
        <v>1831</v>
      </c>
      <c r="G16" s="214" t="s">
        <v>1023</v>
      </c>
      <c r="H16" s="103" t="s">
        <v>1022</v>
      </c>
    </row>
    <row r="17">
      <c r="A17" s="217"/>
      <c r="B17" s="220">
        <v>440189.0</v>
      </c>
      <c r="C17" s="214" t="s">
        <v>101</v>
      </c>
      <c r="D17" s="218" t="s">
        <v>1831</v>
      </c>
      <c r="E17" s="216" t="s">
        <v>211</v>
      </c>
      <c r="F17" s="218" t="s">
        <v>1831</v>
      </c>
      <c r="G17" s="214" t="s">
        <v>1025</v>
      </c>
      <c r="H17" s="103" t="s">
        <v>1024</v>
      </c>
    </row>
    <row r="18">
      <c r="A18" s="217"/>
      <c r="B18" s="220">
        <v>440092.0</v>
      </c>
      <c r="C18" s="214" t="s">
        <v>101</v>
      </c>
      <c r="D18" s="218" t="s">
        <v>1831</v>
      </c>
      <c r="E18" s="216" t="s">
        <v>904</v>
      </c>
      <c r="F18" s="218" t="s">
        <v>1831</v>
      </c>
      <c r="G18" s="214" t="s">
        <v>905</v>
      </c>
      <c r="H18" s="103" t="s">
        <v>903</v>
      </c>
    </row>
    <row r="19">
      <c r="A19" s="217"/>
      <c r="B19" s="220">
        <v>440318.0</v>
      </c>
      <c r="C19" s="214" t="s">
        <v>101</v>
      </c>
      <c r="D19" s="218" t="s">
        <v>1831</v>
      </c>
      <c r="E19" s="216" t="s">
        <v>1002</v>
      </c>
      <c r="F19" s="218" t="s">
        <v>1831</v>
      </c>
      <c r="G19" s="214" t="s">
        <v>1006</v>
      </c>
      <c r="H19" s="103" t="s">
        <v>1005</v>
      </c>
      <c r="I19" s="23" t="s">
        <v>1833</v>
      </c>
    </row>
    <row r="20">
      <c r="A20" s="211">
        <v>9961.0</v>
      </c>
      <c r="B20" s="220">
        <v>440045.0</v>
      </c>
      <c r="C20" s="214" t="s">
        <v>101</v>
      </c>
      <c r="D20" s="218" t="s">
        <v>1831</v>
      </c>
      <c r="E20" s="222" t="s">
        <v>211</v>
      </c>
      <c r="F20" s="218" t="s">
        <v>1831</v>
      </c>
      <c r="G20" s="214" t="s">
        <v>846</v>
      </c>
      <c r="H20" s="103" t="s">
        <v>844</v>
      </c>
      <c r="I20" s="23" t="s">
        <v>1832</v>
      </c>
    </row>
    <row r="21">
      <c r="A21" s="217"/>
      <c r="B21" s="220">
        <v>440322.0</v>
      </c>
      <c r="C21" s="214" t="s">
        <v>101</v>
      </c>
      <c r="D21" s="218" t="s">
        <v>1831</v>
      </c>
      <c r="E21" s="216" t="s">
        <v>211</v>
      </c>
      <c r="F21" s="218" t="s">
        <v>1831</v>
      </c>
      <c r="G21" s="214" t="s">
        <v>1027</v>
      </c>
      <c r="H21" s="103" t="s">
        <v>1026</v>
      </c>
      <c r="I21" s="23" t="s">
        <v>1832</v>
      </c>
    </row>
    <row r="22">
      <c r="A22" s="217"/>
      <c r="B22" s="220">
        <v>440229.0</v>
      </c>
      <c r="C22" s="214" t="s">
        <v>101</v>
      </c>
      <c r="D22" s="218" t="s">
        <v>1831</v>
      </c>
      <c r="E22" s="216" t="s">
        <v>370</v>
      </c>
      <c r="F22" s="218" t="s">
        <v>1831</v>
      </c>
      <c r="G22" s="214" t="s">
        <v>930</v>
      </c>
      <c r="H22" s="103" t="s">
        <v>929</v>
      </c>
    </row>
    <row r="23">
      <c r="A23" s="217"/>
      <c r="B23" s="220">
        <v>440100.0</v>
      </c>
      <c r="C23" s="214" t="s">
        <v>101</v>
      </c>
      <c r="D23" s="218" t="s">
        <v>1831</v>
      </c>
      <c r="E23" s="216" t="s">
        <v>904</v>
      </c>
      <c r="F23" s="218" t="s">
        <v>1831</v>
      </c>
      <c r="G23" s="214" t="s">
        <v>909</v>
      </c>
      <c r="H23" s="103" t="s">
        <v>908</v>
      </c>
    </row>
    <row r="24">
      <c r="A24" s="223" t="s">
        <v>1835</v>
      </c>
      <c r="B24" s="220">
        <v>440334.0</v>
      </c>
      <c r="C24" s="214" t="s">
        <v>101</v>
      </c>
      <c r="D24" s="218" t="s">
        <v>1831</v>
      </c>
      <c r="E24" s="216" t="s">
        <v>890</v>
      </c>
      <c r="F24" s="218" t="s">
        <v>1831</v>
      </c>
      <c r="G24" s="214" t="s">
        <v>1836</v>
      </c>
      <c r="H24" s="103" t="s">
        <v>889</v>
      </c>
    </row>
    <row r="25">
      <c r="A25" s="223" t="s">
        <v>1837</v>
      </c>
      <c r="B25" s="220">
        <v>440290.0</v>
      </c>
      <c r="C25" s="214" t="s">
        <v>101</v>
      </c>
      <c r="D25" s="218" t="s">
        <v>1831</v>
      </c>
      <c r="E25" s="216" t="s">
        <v>890</v>
      </c>
      <c r="F25" s="218" t="s">
        <v>1831</v>
      </c>
      <c r="G25" s="214" t="s">
        <v>1838</v>
      </c>
      <c r="H25" s="103" t="s">
        <v>1839</v>
      </c>
    </row>
    <row r="26">
      <c r="A26" s="217"/>
      <c r="B26" s="220">
        <v>440057.0</v>
      </c>
      <c r="C26" s="214" t="s">
        <v>101</v>
      </c>
      <c r="D26" s="218" t="s">
        <v>1831</v>
      </c>
      <c r="E26" s="216" t="s">
        <v>904</v>
      </c>
      <c r="F26" s="218" t="s">
        <v>1831</v>
      </c>
      <c r="G26" s="214" t="s">
        <v>913</v>
      </c>
      <c r="H26" s="103" t="s">
        <v>912</v>
      </c>
    </row>
    <row r="27">
      <c r="A27" s="217"/>
      <c r="B27" s="220">
        <v>440133.0</v>
      </c>
      <c r="C27" s="214" t="s">
        <v>101</v>
      </c>
      <c r="D27" s="218" t="s">
        <v>1831</v>
      </c>
      <c r="E27" s="216" t="s">
        <v>211</v>
      </c>
      <c r="F27" s="218" t="s">
        <v>1831</v>
      </c>
      <c r="G27" s="214" t="s">
        <v>1029</v>
      </c>
      <c r="H27" s="103" t="s">
        <v>1028</v>
      </c>
      <c r="I27" s="23" t="s">
        <v>1832</v>
      </c>
    </row>
    <row r="28">
      <c r="A28" s="217"/>
      <c r="B28" s="220">
        <v>440613.0</v>
      </c>
      <c r="C28" s="214" t="s">
        <v>101</v>
      </c>
      <c r="D28" s="218" t="s">
        <v>1831</v>
      </c>
      <c r="E28" s="216" t="s">
        <v>211</v>
      </c>
      <c r="F28" s="218" t="s">
        <v>1831</v>
      </c>
      <c r="G28" s="214" t="s">
        <v>1031</v>
      </c>
      <c r="H28" s="103" t="s">
        <v>1030</v>
      </c>
      <c r="I28" s="23" t="s">
        <v>1832</v>
      </c>
    </row>
    <row r="29">
      <c r="A29" s="217"/>
      <c r="B29" s="220">
        <v>440460.0</v>
      </c>
      <c r="C29" s="214" t="s">
        <v>101</v>
      </c>
      <c r="D29" s="218" t="s">
        <v>1831</v>
      </c>
      <c r="E29" s="216" t="s">
        <v>211</v>
      </c>
      <c r="F29" s="218" t="s">
        <v>1831</v>
      </c>
      <c r="G29" s="214" t="s">
        <v>1033</v>
      </c>
      <c r="H29" s="103" t="s">
        <v>1032</v>
      </c>
    </row>
    <row r="30">
      <c r="A30" s="217"/>
      <c r="B30" s="220">
        <v>440096.0</v>
      </c>
      <c r="C30" s="214" t="s">
        <v>101</v>
      </c>
      <c r="D30" s="218" t="s">
        <v>1831</v>
      </c>
      <c r="E30" s="216" t="s">
        <v>904</v>
      </c>
      <c r="F30" s="218" t="s">
        <v>1831</v>
      </c>
      <c r="G30" s="214" t="s">
        <v>917</v>
      </c>
      <c r="H30" s="103" t="s">
        <v>916</v>
      </c>
    </row>
    <row r="31">
      <c r="A31" s="217"/>
      <c r="B31" s="220">
        <v>440014.0</v>
      </c>
      <c r="C31" s="214" t="s">
        <v>101</v>
      </c>
      <c r="D31" s="218" t="s">
        <v>1831</v>
      </c>
      <c r="E31" s="216" t="s">
        <v>513</v>
      </c>
      <c r="F31" s="218" t="s">
        <v>1831</v>
      </c>
      <c r="G31" s="214" t="s">
        <v>990</v>
      </c>
      <c r="H31" s="103" t="s">
        <v>989</v>
      </c>
    </row>
    <row r="32">
      <c r="A32" s="217"/>
      <c r="B32" s="220">
        <v>440394.0</v>
      </c>
      <c r="C32" s="214" t="s">
        <v>101</v>
      </c>
      <c r="D32" s="218" t="s">
        <v>1831</v>
      </c>
      <c r="E32" s="216" t="s">
        <v>933</v>
      </c>
      <c r="F32" s="218" t="s">
        <v>1831</v>
      </c>
      <c r="G32" s="214" t="s">
        <v>941</v>
      </c>
      <c r="H32" s="103" t="s">
        <v>940</v>
      </c>
    </row>
    <row r="33">
      <c r="A33" s="217"/>
      <c r="B33" s="220">
        <v>440088.0</v>
      </c>
      <c r="C33" s="214" t="s">
        <v>101</v>
      </c>
      <c r="D33" s="218" t="s">
        <v>1831</v>
      </c>
      <c r="E33" s="216" t="s">
        <v>933</v>
      </c>
      <c r="F33" s="218" t="s">
        <v>1831</v>
      </c>
      <c r="G33" s="214" t="s">
        <v>944</v>
      </c>
      <c r="H33" s="103" t="s">
        <v>943</v>
      </c>
    </row>
    <row r="34">
      <c r="A34" s="211">
        <v>9961.0</v>
      </c>
      <c r="B34" s="220">
        <v>440026.0</v>
      </c>
      <c r="C34" s="214" t="s">
        <v>101</v>
      </c>
      <c r="D34" s="218" t="s">
        <v>1831</v>
      </c>
      <c r="E34" s="222" t="s">
        <v>211</v>
      </c>
      <c r="F34" s="218" t="s">
        <v>1831</v>
      </c>
      <c r="G34" s="214" t="s">
        <v>850</v>
      </c>
      <c r="H34" s="103" t="s">
        <v>849</v>
      </c>
      <c r="I34" s="23" t="s">
        <v>1832</v>
      </c>
    </row>
    <row r="35">
      <c r="A35" s="217"/>
      <c r="B35" s="220">
        <v>440422.0</v>
      </c>
      <c r="C35" s="214" t="s">
        <v>101</v>
      </c>
      <c r="D35" s="218" t="s">
        <v>1831</v>
      </c>
      <c r="E35" s="216" t="s">
        <v>211</v>
      </c>
      <c r="F35" s="218" t="s">
        <v>1831</v>
      </c>
      <c r="G35" s="214" t="s">
        <v>1035</v>
      </c>
      <c r="H35" s="103" t="s">
        <v>1034</v>
      </c>
      <c r="I35" s="23" t="s">
        <v>1832</v>
      </c>
    </row>
    <row r="36">
      <c r="A36" s="217"/>
      <c r="B36" s="110">
        <v>440414.0</v>
      </c>
      <c r="C36" s="214" t="s">
        <v>101</v>
      </c>
      <c r="D36" s="218" t="s">
        <v>1831</v>
      </c>
      <c r="E36" s="216" t="s">
        <v>468</v>
      </c>
      <c r="F36" s="218" t="s">
        <v>1831</v>
      </c>
      <c r="G36" s="214" t="s">
        <v>831</v>
      </c>
      <c r="H36" s="103" t="s">
        <v>830</v>
      </c>
    </row>
    <row r="37">
      <c r="A37" s="217"/>
      <c r="B37" s="224">
        <v>440310.0</v>
      </c>
      <c r="C37" s="214" t="s">
        <v>101</v>
      </c>
      <c r="D37" s="218" t="s">
        <v>1831</v>
      </c>
      <c r="E37" s="216" t="s">
        <v>211</v>
      </c>
      <c r="F37" s="218" t="s">
        <v>1831</v>
      </c>
      <c r="G37" s="214" t="s">
        <v>211</v>
      </c>
      <c r="H37" s="103" t="s">
        <v>1036</v>
      </c>
      <c r="I37" s="23" t="s">
        <v>1832</v>
      </c>
    </row>
    <row r="38">
      <c r="A38" s="217"/>
      <c r="B38" s="220">
        <v>440221.0</v>
      </c>
      <c r="C38" s="214" t="s">
        <v>101</v>
      </c>
      <c r="D38" s="218" t="s">
        <v>1831</v>
      </c>
      <c r="E38" s="216" t="s">
        <v>211</v>
      </c>
      <c r="F38" s="218" t="s">
        <v>1831</v>
      </c>
      <c r="G38" s="214" t="s">
        <v>1038</v>
      </c>
      <c r="H38" s="103" t="s">
        <v>1037</v>
      </c>
    </row>
    <row r="39">
      <c r="A39" s="217"/>
      <c r="B39" s="220">
        <v>440610.0</v>
      </c>
      <c r="C39" s="214" t="s">
        <v>101</v>
      </c>
      <c r="D39" s="218" t="s">
        <v>1831</v>
      </c>
      <c r="E39" s="216" t="s">
        <v>211</v>
      </c>
      <c r="F39" s="218" t="s">
        <v>1831</v>
      </c>
      <c r="G39" s="214" t="s">
        <v>1040</v>
      </c>
      <c r="H39" s="103" t="s">
        <v>1039</v>
      </c>
      <c r="J39" s="23" t="s">
        <v>1840</v>
      </c>
    </row>
    <row r="40">
      <c r="A40" s="223" t="s">
        <v>1837</v>
      </c>
      <c r="B40" s="220">
        <v>440233.0</v>
      </c>
      <c r="C40" s="214" t="s">
        <v>101</v>
      </c>
      <c r="D40" s="218" t="s">
        <v>1831</v>
      </c>
      <c r="E40" s="216" t="s">
        <v>890</v>
      </c>
      <c r="F40" s="218" t="s">
        <v>1831</v>
      </c>
      <c r="G40" s="214" t="s">
        <v>897</v>
      </c>
      <c r="H40" s="103" t="s">
        <v>896</v>
      </c>
      <c r="J40" s="23" t="s">
        <v>1841</v>
      </c>
    </row>
    <row r="41">
      <c r="A41" s="217"/>
      <c r="B41" s="220">
        <v>440197.0</v>
      </c>
      <c r="C41" s="214" t="s">
        <v>101</v>
      </c>
      <c r="D41" s="218" t="s">
        <v>1831</v>
      </c>
      <c r="E41" s="222" t="s">
        <v>904</v>
      </c>
      <c r="F41" s="218" t="s">
        <v>1831</v>
      </c>
      <c r="G41" s="214" t="s">
        <v>920</v>
      </c>
      <c r="H41" s="103" t="s">
        <v>919</v>
      </c>
      <c r="J41" s="225" t="s">
        <v>1842</v>
      </c>
    </row>
    <row r="42">
      <c r="A42" s="217"/>
      <c r="B42" s="226">
        <v>440213.0</v>
      </c>
      <c r="C42" s="214" t="s">
        <v>101</v>
      </c>
      <c r="D42" s="218" t="s">
        <v>1831</v>
      </c>
      <c r="E42" s="216" t="s">
        <v>211</v>
      </c>
      <c r="F42" s="218" t="s">
        <v>1831</v>
      </c>
      <c r="G42" s="214" t="s">
        <v>1042</v>
      </c>
      <c r="H42" s="103" t="s">
        <v>1041</v>
      </c>
      <c r="J42" s="225" t="s">
        <v>1843</v>
      </c>
    </row>
    <row r="43">
      <c r="A43" s="217"/>
      <c r="B43" s="226">
        <v>440149.0</v>
      </c>
      <c r="C43" s="214" t="s">
        <v>101</v>
      </c>
      <c r="D43" s="218" t="s">
        <v>1831</v>
      </c>
      <c r="E43" s="216" t="s">
        <v>211</v>
      </c>
      <c r="F43" s="218" t="s">
        <v>1831</v>
      </c>
      <c r="G43" s="214" t="s">
        <v>1044</v>
      </c>
      <c r="H43" s="103" t="s">
        <v>1043</v>
      </c>
      <c r="I43" s="23" t="s">
        <v>1832</v>
      </c>
      <c r="J43" s="227" t="s">
        <v>1844</v>
      </c>
    </row>
    <row r="44">
      <c r="A44" s="217"/>
      <c r="B44" s="226">
        <v>440237.0</v>
      </c>
      <c r="C44" s="214" t="s">
        <v>101</v>
      </c>
      <c r="D44" s="218" t="s">
        <v>1831</v>
      </c>
      <c r="E44" s="216" t="s">
        <v>211</v>
      </c>
      <c r="F44" s="218" t="s">
        <v>1831</v>
      </c>
      <c r="G44" s="214" t="s">
        <v>1046</v>
      </c>
      <c r="H44" s="103" t="s">
        <v>1045</v>
      </c>
      <c r="J44" s="227" t="s">
        <v>1845</v>
      </c>
    </row>
    <row r="45">
      <c r="A45" s="217"/>
      <c r="B45" s="226">
        <v>440005.0</v>
      </c>
      <c r="C45" s="214" t="s">
        <v>101</v>
      </c>
      <c r="D45" s="218" t="s">
        <v>1831</v>
      </c>
      <c r="E45" s="222" t="s">
        <v>703</v>
      </c>
      <c r="F45" s="218" t="s">
        <v>1831</v>
      </c>
      <c r="G45" s="214" t="s">
        <v>947</v>
      </c>
      <c r="H45" s="103" t="s">
        <v>946</v>
      </c>
      <c r="J45" s="228" t="s">
        <v>1837</v>
      </c>
    </row>
    <row r="46">
      <c r="A46" s="211">
        <v>9965.0</v>
      </c>
      <c r="B46" s="226">
        <v>440067.0</v>
      </c>
      <c r="C46" s="214" t="s">
        <v>101</v>
      </c>
      <c r="D46" s="218" t="s">
        <v>1831</v>
      </c>
      <c r="E46" s="216" t="s">
        <v>1101</v>
      </c>
      <c r="F46" s="218" t="s">
        <v>1831</v>
      </c>
      <c r="G46" s="214" t="s">
        <v>1102</v>
      </c>
      <c r="H46" s="103" t="s">
        <v>1100</v>
      </c>
    </row>
    <row r="47">
      <c r="A47" s="217"/>
      <c r="B47" s="226">
        <v>440205.0</v>
      </c>
      <c r="C47" s="214" t="s">
        <v>101</v>
      </c>
      <c r="D47" s="218" t="s">
        <v>1831</v>
      </c>
      <c r="E47" s="216" t="s">
        <v>211</v>
      </c>
      <c r="F47" s="218" t="s">
        <v>1831</v>
      </c>
      <c r="G47" s="214" t="s">
        <v>960</v>
      </c>
      <c r="H47" s="103" t="s">
        <v>1846</v>
      </c>
    </row>
    <row r="48">
      <c r="A48" s="110">
        <v>9993.0</v>
      </c>
      <c r="B48" s="226">
        <v>440598.0</v>
      </c>
      <c r="C48" s="214" t="s">
        <v>101</v>
      </c>
      <c r="D48" s="218" t="s">
        <v>1831</v>
      </c>
      <c r="E48" s="216" t="s">
        <v>959</v>
      </c>
      <c r="F48" s="218" t="s">
        <v>1831</v>
      </c>
      <c r="G48" s="214" t="s">
        <v>1847</v>
      </c>
      <c r="H48" s="103" t="s">
        <v>962</v>
      </c>
    </row>
    <row r="49">
      <c r="A49" s="217"/>
      <c r="B49" s="226">
        <v>440452.0</v>
      </c>
      <c r="C49" s="214" t="s">
        <v>101</v>
      </c>
      <c r="D49" s="218" t="s">
        <v>1831</v>
      </c>
      <c r="E49" s="216" t="s">
        <v>982</v>
      </c>
      <c r="F49" s="218" t="s">
        <v>1831</v>
      </c>
      <c r="G49" s="214" t="s">
        <v>982</v>
      </c>
      <c r="H49" s="103" t="s">
        <v>981</v>
      </c>
    </row>
    <row r="50">
      <c r="A50" s="217"/>
      <c r="B50" s="226">
        <v>440169.0</v>
      </c>
      <c r="C50" s="214" t="s">
        <v>101</v>
      </c>
      <c r="D50" s="218" t="s">
        <v>1831</v>
      </c>
      <c r="E50" s="216" t="s">
        <v>933</v>
      </c>
      <c r="F50" s="218" t="s">
        <v>1831</v>
      </c>
      <c r="G50" s="214" t="s">
        <v>947</v>
      </c>
      <c r="H50" s="103" t="s">
        <v>946</v>
      </c>
    </row>
    <row r="51">
      <c r="A51" s="217"/>
      <c r="B51" s="226">
        <v>440278.0</v>
      </c>
      <c r="C51" s="214" t="s">
        <v>101</v>
      </c>
      <c r="D51" s="218" t="s">
        <v>1831</v>
      </c>
      <c r="E51" s="216" t="s">
        <v>211</v>
      </c>
      <c r="F51" s="218" t="s">
        <v>1831</v>
      </c>
      <c r="G51" s="214" t="s">
        <v>1048</v>
      </c>
      <c r="H51" s="103" t="s">
        <v>1047</v>
      </c>
    </row>
    <row r="52">
      <c r="A52" s="217"/>
      <c r="B52" s="226">
        <v>440076.0</v>
      </c>
      <c r="C52" s="214" t="s">
        <v>101</v>
      </c>
      <c r="D52" s="218" t="s">
        <v>1831</v>
      </c>
      <c r="E52" s="216" t="s">
        <v>881</v>
      </c>
      <c r="F52" s="218" t="s">
        <v>1831</v>
      </c>
      <c r="G52" s="214" t="s">
        <v>886</v>
      </c>
      <c r="H52" s="103" t="s">
        <v>885</v>
      </c>
    </row>
    <row r="53">
      <c r="A53" s="217"/>
      <c r="B53" s="226">
        <v>440241.0</v>
      </c>
      <c r="C53" s="214" t="s">
        <v>101</v>
      </c>
      <c r="D53" s="218" t="s">
        <v>1831</v>
      </c>
      <c r="E53" s="216" t="s">
        <v>211</v>
      </c>
      <c r="F53" s="218" t="s">
        <v>1831</v>
      </c>
      <c r="G53" s="214" t="s">
        <v>1050</v>
      </c>
      <c r="H53" s="103" t="s">
        <v>1049</v>
      </c>
    </row>
    <row r="54">
      <c r="A54" s="217"/>
      <c r="B54" s="226">
        <v>440382.0</v>
      </c>
      <c r="C54" s="214" t="s">
        <v>101</v>
      </c>
      <c r="D54" s="218" t="s">
        <v>1831</v>
      </c>
      <c r="E54" s="229" t="s">
        <v>1051</v>
      </c>
      <c r="F54" s="218" t="s">
        <v>1831</v>
      </c>
      <c r="G54" s="214" t="s">
        <v>1051</v>
      </c>
      <c r="H54" s="103" t="s">
        <v>1848</v>
      </c>
    </row>
    <row r="55">
      <c r="A55" s="217"/>
      <c r="B55" s="226">
        <v>440480.0</v>
      </c>
      <c r="C55" s="214" t="s">
        <v>101</v>
      </c>
      <c r="D55" s="218" t="s">
        <v>1831</v>
      </c>
      <c r="E55" s="216" t="s">
        <v>986</v>
      </c>
      <c r="F55" s="218" t="s">
        <v>1831</v>
      </c>
      <c r="G55" s="214" t="s">
        <v>987</v>
      </c>
      <c r="H55" s="103" t="s">
        <v>985</v>
      </c>
      <c r="I55" s="23" t="s">
        <v>1833</v>
      </c>
    </row>
    <row r="56">
      <c r="A56" s="217"/>
      <c r="B56" s="226">
        <v>440137.0</v>
      </c>
      <c r="C56" s="214" t="s">
        <v>101</v>
      </c>
      <c r="D56" s="218" t="s">
        <v>1831</v>
      </c>
      <c r="E56" s="216" t="s">
        <v>211</v>
      </c>
      <c r="F56" s="218" t="s">
        <v>1831</v>
      </c>
      <c r="G56" s="214" t="s">
        <v>1053</v>
      </c>
      <c r="H56" s="103" t="s">
        <v>1052</v>
      </c>
    </row>
    <row r="57">
      <c r="A57" s="217"/>
      <c r="B57" s="226">
        <v>440185.0</v>
      </c>
      <c r="C57" s="214" t="s">
        <v>101</v>
      </c>
      <c r="D57" s="218" t="s">
        <v>1831</v>
      </c>
      <c r="E57" s="222" t="s">
        <v>739</v>
      </c>
      <c r="F57" s="218" t="s">
        <v>1831</v>
      </c>
      <c r="G57" s="214" t="s">
        <v>302</v>
      </c>
      <c r="H57" s="103" t="s">
        <v>740</v>
      </c>
    </row>
    <row r="58">
      <c r="A58" s="217"/>
      <c r="B58" s="226">
        <v>440330.0</v>
      </c>
      <c r="C58" s="214" t="s">
        <v>101</v>
      </c>
      <c r="D58" s="218" t="s">
        <v>1831</v>
      </c>
      <c r="E58" s="216" t="s">
        <v>513</v>
      </c>
      <c r="F58" s="218" t="s">
        <v>1831</v>
      </c>
      <c r="G58" s="214" t="s">
        <v>994</v>
      </c>
      <c r="H58" s="103" t="s">
        <v>993</v>
      </c>
      <c r="I58" s="23" t="s">
        <v>1833</v>
      </c>
    </row>
    <row r="59">
      <c r="A59" s="217"/>
      <c r="B59" s="226">
        <v>440601.0</v>
      </c>
      <c r="C59" s="214" t="s">
        <v>101</v>
      </c>
      <c r="D59" s="218" t="s">
        <v>1831</v>
      </c>
      <c r="E59" s="216" t="s">
        <v>959</v>
      </c>
      <c r="F59" s="218" t="s">
        <v>1831</v>
      </c>
      <c r="G59" s="214" t="s">
        <v>967</v>
      </c>
      <c r="H59" s="103" t="s">
        <v>966</v>
      </c>
    </row>
    <row r="60">
      <c r="A60" s="223" t="s">
        <v>1837</v>
      </c>
      <c r="B60" s="230">
        <v>440245.0</v>
      </c>
      <c r="C60" s="229" t="s">
        <v>101</v>
      </c>
      <c r="D60" s="231" t="s">
        <v>1831</v>
      </c>
      <c r="E60" s="222" t="s">
        <v>890</v>
      </c>
      <c r="F60" s="231" t="s">
        <v>1831</v>
      </c>
      <c r="G60" s="229" t="s">
        <v>900</v>
      </c>
      <c r="H60" s="232" t="s">
        <v>899</v>
      </c>
      <c r="I60" s="23" t="s">
        <v>1832</v>
      </c>
    </row>
    <row r="61">
      <c r="A61" s="217"/>
      <c r="B61" s="226">
        <v>440116.0</v>
      </c>
      <c r="C61" s="214" t="s">
        <v>101</v>
      </c>
      <c r="D61" s="218" t="s">
        <v>1831</v>
      </c>
      <c r="E61" s="216" t="s">
        <v>904</v>
      </c>
      <c r="F61" s="218" t="s">
        <v>1831</v>
      </c>
      <c r="G61" s="214" t="s">
        <v>922</v>
      </c>
      <c r="H61" s="103" t="s">
        <v>653</v>
      </c>
    </row>
    <row r="62">
      <c r="A62" s="217"/>
      <c r="B62" s="226">
        <v>440035.0</v>
      </c>
      <c r="C62" s="214" t="s">
        <v>101</v>
      </c>
      <c r="D62" s="218" t="s">
        <v>1831</v>
      </c>
      <c r="E62" s="216" t="s">
        <v>211</v>
      </c>
      <c r="F62" s="218" t="s">
        <v>1831</v>
      </c>
      <c r="G62" s="214" t="s">
        <v>1055</v>
      </c>
      <c r="H62" s="103" t="s">
        <v>1054</v>
      </c>
      <c r="I62" s="23" t="s">
        <v>1832</v>
      </c>
    </row>
    <row r="63">
      <c r="A63" s="217"/>
      <c r="B63" s="226">
        <v>440060.0</v>
      </c>
      <c r="C63" s="214" t="s">
        <v>101</v>
      </c>
      <c r="D63" s="218" t="s">
        <v>1831</v>
      </c>
      <c r="E63" s="216" t="s">
        <v>1002</v>
      </c>
      <c r="F63" s="218" t="s">
        <v>1831</v>
      </c>
      <c r="G63" s="214" t="s">
        <v>1008</v>
      </c>
      <c r="H63" s="103" t="s">
        <v>1007</v>
      </c>
      <c r="I63" s="23" t="s">
        <v>1833</v>
      </c>
    </row>
    <row r="64">
      <c r="A64" s="217"/>
      <c r="B64" s="226">
        <v>440112.0</v>
      </c>
      <c r="C64" s="214" t="s">
        <v>101</v>
      </c>
      <c r="D64" s="218" t="s">
        <v>1831</v>
      </c>
      <c r="E64" s="216" t="s">
        <v>904</v>
      </c>
      <c r="F64" s="218" t="s">
        <v>1831</v>
      </c>
      <c r="G64" s="214" t="s">
        <v>926</v>
      </c>
      <c r="H64" s="103" t="s">
        <v>925</v>
      </c>
    </row>
    <row r="65">
      <c r="A65" s="217"/>
      <c r="B65" s="226">
        <v>440402.0</v>
      </c>
      <c r="C65" s="214" t="s">
        <v>101</v>
      </c>
      <c r="D65" s="218" t="s">
        <v>1831</v>
      </c>
      <c r="E65" s="216" t="s">
        <v>745</v>
      </c>
      <c r="F65" s="218" t="s">
        <v>1831</v>
      </c>
      <c r="G65" s="214" t="s">
        <v>745</v>
      </c>
      <c r="H65" s="103" t="s">
        <v>746</v>
      </c>
    </row>
    <row r="66">
      <c r="A66" s="217"/>
      <c r="B66" s="226">
        <v>440153.0</v>
      </c>
      <c r="C66" s="214" t="s">
        <v>101</v>
      </c>
      <c r="D66" s="218" t="s">
        <v>1831</v>
      </c>
      <c r="E66" s="229" t="s">
        <v>1057</v>
      </c>
      <c r="F66" s="218" t="s">
        <v>1831</v>
      </c>
      <c r="G66" s="214" t="s">
        <v>1057</v>
      </c>
      <c r="H66" s="103" t="s">
        <v>1056</v>
      </c>
      <c r="I66" s="23" t="s">
        <v>1832</v>
      </c>
    </row>
    <row r="67">
      <c r="A67" s="217"/>
      <c r="B67" s="226">
        <v>440274.0</v>
      </c>
      <c r="C67" s="214" t="s">
        <v>101</v>
      </c>
      <c r="D67" s="218" t="s">
        <v>1831</v>
      </c>
      <c r="E67" s="216" t="s">
        <v>211</v>
      </c>
      <c r="F67" s="218" t="s">
        <v>1831</v>
      </c>
      <c r="G67" s="214" t="s">
        <v>1059</v>
      </c>
      <c r="H67" s="103" t="s">
        <v>1058</v>
      </c>
      <c r="I67" s="23" t="s">
        <v>1832</v>
      </c>
    </row>
    <row r="68">
      <c r="A68" s="212">
        <v>9963.0</v>
      </c>
      <c r="B68" s="226">
        <v>440051.0</v>
      </c>
      <c r="C68" s="214" t="s">
        <v>101</v>
      </c>
      <c r="D68" s="218" t="s">
        <v>1831</v>
      </c>
      <c r="E68" s="216" t="s">
        <v>971</v>
      </c>
      <c r="F68" s="218" t="s">
        <v>1831</v>
      </c>
      <c r="G68" s="214" t="s">
        <v>974</v>
      </c>
      <c r="H68" s="103" t="s">
        <v>973</v>
      </c>
    </row>
    <row r="69">
      <c r="A69" s="217"/>
      <c r="B69" s="226">
        <v>440326.0</v>
      </c>
      <c r="C69" s="214" t="s">
        <v>101</v>
      </c>
      <c r="D69" s="218" t="s">
        <v>1831</v>
      </c>
      <c r="E69" s="216" t="s">
        <v>513</v>
      </c>
      <c r="F69" s="218" t="s">
        <v>1831</v>
      </c>
      <c r="G69" s="214" t="s">
        <v>513</v>
      </c>
      <c r="H69" s="103" t="s">
        <v>997</v>
      </c>
    </row>
    <row r="70">
      <c r="A70" s="217"/>
      <c r="B70" s="226">
        <v>440054.0</v>
      </c>
      <c r="C70" s="214" t="s">
        <v>101</v>
      </c>
      <c r="D70" s="218" t="s">
        <v>1831</v>
      </c>
      <c r="E70" s="216" t="s">
        <v>211</v>
      </c>
      <c r="F70" s="218" t="s">
        <v>1831</v>
      </c>
      <c r="G70" s="214" t="s">
        <v>1061</v>
      </c>
      <c r="H70" s="103" t="s">
        <v>1060</v>
      </c>
      <c r="I70" s="23" t="s">
        <v>1832</v>
      </c>
    </row>
    <row r="71">
      <c r="A71" s="217"/>
      <c r="B71" s="226">
        <v>440015.0</v>
      </c>
      <c r="C71" s="214" t="s">
        <v>101</v>
      </c>
      <c r="D71" s="218" t="s">
        <v>1831</v>
      </c>
      <c r="E71" s="216" t="s">
        <v>211</v>
      </c>
      <c r="F71" s="218" t="s">
        <v>1831</v>
      </c>
      <c r="G71" s="214" t="s">
        <v>1063</v>
      </c>
      <c r="H71" s="103" t="s">
        <v>1062</v>
      </c>
      <c r="I71" s="23" t="s">
        <v>1832</v>
      </c>
    </row>
    <row r="72">
      <c r="A72" s="217"/>
      <c r="B72" s="226">
        <v>440607.0</v>
      </c>
      <c r="C72" s="214" t="s">
        <v>101</v>
      </c>
      <c r="D72" s="218" t="s">
        <v>1831</v>
      </c>
      <c r="E72" s="216" t="s">
        <v>211</v>
      </c>
      <c r="F72" s="218" t="s">
        <v>1831</v>
      </c>
      <c r="G72" s="214" t="s">
        <v>1065</v>
      </c>
      <c r="H72" s="103" t="s">
        <v>1064</v>
      </c>
    </row>
    <row r="73">
      <c r="A73" s="217"/>
      <c r="B73" s="226">
        <v>440129.0</v>
      </c>
      <c r="C73" s="214" t="s">
        <v>101</v>
      </c>
      <c r="D73" s="218" t="s">
        <v>1831</v>
      </c>
      <c r="E73" s="216" t="s">
        <v>211</v>
      </c>
      <c r="F73" s="218" t="s">
        <v>1831</v>
      </c>
      <c r="G73" s="214" t="s">
        <v>1067</v>
      </c>
      <c r="H73" s="103" t="s">
        <v>1066</v>
      </c>
    </row>
    <row r="74">
      <c r="A74" s="217"/>
      <c r="B74" s="226">
        <v>440177.0</v>
      </c>
      <c r="C74" s="214" t="s">
        <v>101</v>
      </c>
      <c r="D74" s="218" t="s">
        <v>1831</v>
      </c>
      <c r="E74" s="222" t="s">
        <v>1068</v>
      </c>
      <c r="F74" s="218" t="s">
        <v>1831</v>
      </c>
      <c r="G74" s="214" t="s">
        <v>1068</v>
      </c>
      <c r="H74" s="103" t="s">
        <v>742</v>
      </c>
    </row>
    <row r="75">
      <c r="A75" s="217"/>
      <c r="B75" s="226">
        <v>440286.0</v>
      </c>
      <c r="C75" s="214" t="s">
        <v>101</v>
      </c>
      <c r="D75" s="218" t="s">
        <v>1831</v>
      </c>
      <c r="E75" s="216" t="s">
        <v>211</v>
      </c>
      <c r="F75" s="218" t="s">
        <v>1831</v>
      </c>
      <c r="G75" s="214" t="s">
        <v>1070</v>
      </c>
      <c r="H75" s="103" t="s">
        <v>1069</v>
      </c>
    </row>
    <row r="76">
      <c r="A76" s="217"/>
      <c r="B76" s="226">
        <v>440604.0</v>
      </c>
      <c r="C76" s="214" t="s">
        <v>101</v>
      </c>
      <c r="D76" s="218" t="s">
        <v>1831</v>
      </c>
      <c r="E76" s="216" t="s">
        <v>468</v>
      </c>
      <c r="F76" s="218" t="s">
        <v>1831</v>
      </c>
      <c r="G76" s="214" t="s">
        <v>835</v>
      </c>
      <c r="H76" s="103" t="s">
        <v>834</v>
      </c>
    </row>
    <row r="77">
      <c r="A77" s="217"/>
      <c r="B77" s="226">
        <v>440595.0</v>
      </c>
      <c r="C77" s="214" t="s">
        <v>101</v>
      </c>
      <c r="D77" s="218" t="s">
        <v>1831</v>
      </c>
      <c r="E77" s="216" t="s">
        <v>468</v>
      </c>
      <c r="F77" s="218" t="s">
        <v>1831</v>
      </c>
      <c r="G77" s="214" t="s">
        <v>835</v>
      </c>
      <c r="H77" s="103" t="s">
        <v>834</v>
      </c>
    </row>
    <row r="78">
      <c r="A78" s="217"/>
      <c r="B78" s="226">
        <v>440374.0</v>
      </c>
      <c r="C78" s="214" t="s">
        <v>101</v>
      </c>
      <c r="D78" s="218" t="s">
        <v>1831</v>
      </c>
      <c r="E78" s="216" t="s">
        <v>468</v>
      </c>
      <c r="F78" s="218" t="s">
        <v>1831</v>
      </c>
      <c r="G78" s="214" t="s">
        <v>1849</v>
      </c>
      <c r="H78" s="103" t="s">
        <v>838</v>
      </c>
    </row>
    <row r="79">
      <c r="A79" s="211">
        <v>9961.0</v>
      </c>
      <c r="B79" s="226">
        <v>440201.0</v>
      </c>
      <c r="C79" s="214" t="s">
        <v>101</v>
      </c>
      <c r="D79" s="218" t="s">
        <v>1831</v>
      </c>
      <c r="E79" s="222" t="s">
        <v>211</v>
      </c>
      <c r="F79" s="218" t="s">
        <v>1831</v>
      </c>
      <c r="G79" s="214" t="s">
        <v>853</v>
      </c>
      <c r="H79" s="103" t="s">
        <v>1009</v>
      </c>
    </row>
    <row r="80">
      <c r="A80" s="211">
        <v>9961.0</v>
      </c>
      <c r="B80" s="226">
        <v>440104.0</v>
      </c>
      <c r="C80" s="214" t="s">
        <v>101</v>
      </c>
      <c r="D80" s="218" t="s">
        <v>1831</v>
      </c>
      <c r="E80" s="222" t="s">
        <v>211</v>
      </c>
      <c r="F80" s="218" t="s">
        <v>1831</v>
      </c>
      <c r="G80" s="214" t="s">
        <v>856</v>
      </c>
      <c r="H80" s="103" t="s">
        <v>1850</v>
      </c>
    </row>
    <row r="81">
      <c r="A81" s="217"/>
      <c r="B81" s="226">
        <v>440434.0</v>
      </c>
      <c r="C81" s="214" t="s">
        <v>101</v>
      </c>
      <c r="D81" s="218" t="s">
        <v>1831</v>
      </c>
      <c r="E81" s="216" t="s">
        <v>933</v>
      </c>
      <c r="F81" s="218" t="s">
        <v>1831</v>
      </c>
      <c r="G81" s="214" t="s">
        <v>952</v>
      </c>
      <c r="H81" s="103" t="s">
        <v>951</v>
      </c>
    </row>
    <row r="82">
      <c r="A82" s="211">
        <v>9961.0</v>
      </c>
      <c r="B82" s="226">
        <v>440350.0</v>
      </c>
      <c r="C82" s="214" t="s">
        <v>101</v>
      </c>
      <c r="D82" s="218" t="s">
        <v>1831</v>
      </c>
      <c r="E82" s="222" t="s">
        <v>211</v>
      </c>
      <c r="F82" s="218" t="s">
        <v>1831</v>
      </c>
      <c r="G82" s="214" t="s">
        <v>859</v>
      </c>
      <c r="H82" s="103" t="s">
        <v>1851</v>
      </c>
      <c r="I82" s="23" t="s">
        <v>1832</v>
      </c>
    </row>
    <row r="83">
      <c r="A83" s="217"/>
      <c r="B83" s="226">
        <v>440338.0</v>
      </c>
      <c r="C83" s="214" t="s">
        <v>101</v>
      </c>
      <c r="D83" s="218" t="s">
        <v>1831</v>
      </c>
      <c r="E83" s="216" t="s">
        <v>211</v>
      </c>
      <c r="F83" s="218" t="s">
        <v>1831</v>
      </c>
      <c r="G83" s="214" t="s">
        <v>1072</v>
      </c>
      <c r="H83" s="103" t="s">
        <v>1071</v>
      </c>
      <c r="I83" s="23" t="s">
        <v>1832</v>
      </c>
    </row>
    <row r="84">
      <c r="A84" s="211">
        <v>9966.0</v>
      </c>
      <c r="B84" s="226">
        <v>440048.0</v>
      </c>
      <c r="C84" s="214" t="s">
        <v>101</v>
      </c>
      <c r="D84" s="218" t="s">
        <v>1831</v>
      </c>
      <c r="E84" s="222" t="s">
        <v>211</v>
      </c>
      <c r="F84" s="218" t="s">
        <v>1831</v>
      </c>
      <c r="G84" s="214" t="s">
        <v>863</v>
      </c>
      <c r="H84" s="103" t="s">
        <v>1852</v>
      </c>
    </row>
    <row r="85">
      <c r="A85" s="211">
        <v>9961.0</v>
      </c>
      <c r="B85" s="226">
        <v>440406.0</v>
      </c>
      <c r="C85" s="214" t="s">
        <v>101</v>
      </c>
      <c r="D85" s="218" t="s">
        <v>1831</v>
      </c>
      <c r="E85" s="222" t="s">
        <v>211</v>
      </c>
      <c r="F85" s="218" t="s">
        <v>1831</v>
      </c>
      <c r="G85" s="214" t="s">
        <v>868</v>
      </c>
      <c r="H85" s="103" t="s">
        <v>1853</v>
      </c>
    </row>
    <row r="86">
      <c r="A86" s="217"/>
      <c r="B86" s="226">
        <v>440181.0</v>
      </c>
      <c r="C86" s="214" t="s">
        <v>101</v>
      </c>
      <c r="D86" s="218" t="s">
        <v>1831</v>
      </c>
      <c r="E86" s="216" t="s">
        <v>211</v>
      </c>
      <c r="F86" s="218" t="s">
        <v>1831</v>
      </c>
      <c r="G86" s="214" t="s">
        <v>1854</v>
      </c>
      <c r="H86" s="103" t="s">
        <v>1855</v>
      </c>
    </row>
    <row r="87">
      <c r="A87" s="212">
        <v>9963.0</v>
      </c>
      <c r="B87" s="226">
        <v>441067.0</v>
      </c>
      <c r="C87" s="214" t="s">
        <v>101</v>
      </c>
      <c r="D87" s="218" t="s">
        <v>1831</v>
      </c>
      <c r="E87" s="216" t="s">
        <v>971</v>
      </c>
      <c r="F87" s="218" t="s">
        <v>1831</v>
      </c>
      <c r="G87" s="214" t="s">
        <v>785</v>
      </c>
      <c r="H87" s="103" t="s">
        <v>978</v>
      </c>
    </row>
    <row r="88">
      <c r="A88" s="217"/>
      <c r="B88" s="226">
        <v>440125.0</v>
      </c>
      <c r="C88" s="214" t="s">
        <v>101</v>
      </c>
      <c r="D88" s="218" t="s">
        <v>1831</v>
      </c>
      <c r="E88" s="216" t="s">
        <v>211</v>
      </c>
      <c r="F88" s="218" t="s">
        <v>1831</v>
      </c>
      <c r="G88" s="214" t="s">
        <v>1075</v>
      </c>
      <c r="H88" s="103" t="s">
        <v>1074</v>
      </c>
    </row>
    <row r="89">
      <c r="A89" s="217"/>
      <c r="B89" s="226">
        <v>440108.0</v>
      </c>
      <c r="C89" s="214" t="s">
        <v>101</v>
      </c>
      <c r="D89" s="218" t="s">
        <v>1831</v>
      </c>
      <c r="E89" s="216" t="s">
        <v>999</v>
      </c>
      <c r="F89" s="218" t="s">
        <v>1831</v>
      </c>
      <c r="G89" s="214" t="s">
        <v>1000</v>
      </c>
      <c r="H89" s="103" t="s">
        <v>998</v>
      </c>
      <c r="I89" s="23" t="s">
        <v>1833</v>
      </c>
    </row>
    <row r="90">
      <c r="A90" s="217"/>
      <c r="B90" s="226">
        <v>440354.0</v>
      </c>
      <c r="C90" s="214" t="s">
        <v>101</v>
      </c>
      <c r="D90" s="218" t="s">
        <v>1831</v>
      </c>
      <c r="E90" s="216" t="s">
        <v>468</v>
      </c>
      <c r="F90" s="218" t="s">
        <v>1831</v>
      </c>
      <c r="G90" s="214" t="s">
        <v>835</v>
      </c>
      <c r="H90" s="103" t="s">
        <v>834</v>
      </c>
    </row>
    <row r="91">
      <c r="A91" s="217"/>
      <c r="B91" s="226">
        <v>440442.0</v>
      </c>
      <c r="C91" s="214" t="s">
        <v>101</v>
      </c>
      <c r="D91" s="218" t="s">
        <v>1831</v>
      </c>
      <c r="E91" s="216" t="s">
        <v>211</v>
      </c>
      <c r="F91" s="218" t="s">
        <v>1831</v>
      </c>
      <c r="G91" s="214" t="s">
        <v>1077</v>
      </c>
      <c r="H91" s="103" t="s">
        <v>1076</v>
      </c>
      <c r="I91" s="23" t="s">
        <v>1833</v>
      </c>
    </row>
    <row r="92">
      <c r="A92" s="217"/>
      <c r="B92" s="226">
        <v>440430.0</v>
      </c>
      <c r="C92" s="214" t="s">
        <v>101</v>
      </c>
      <c r="D92" s="218" t="s">
        <v>1831</v>
      </c>
      <c r="E92" s="216" t="s">
        <v>933</v>
      </c>
      <c r="F92" s="218" t="s">
        <v>1831</v>
      </c>
      <c r="G92" s="214" t="s">
        <v>956</v>
      </c>
      <c r="H92" s="103" t="s">
        <v>955</v>
      </c>
    </row>
    <row r="93">
      <c r="A93" s="217"/>
      <c r="B93" s="226">
        <v>440438.0</v>
      </c>
      <c r="C93" s="214" t="s">
        <v>101</v>
      </c>
      <c r="D93" s="218" t="s">
        <v>1831</v>
      </c>
      <c r="E93" s="216" t="s">
        <v>211</v>
      </c>
      <c r="F93" s="218" t="s">
        <v>1831</v>
      </c>
      <c r="G93" s="214" t="s">
        <v>1077</v>
      </c>
      <c r="H93" s="103" t="s">
        <v>1076</v>
      </c>
    </row>
    <row r="94">
      <c r="A94" s="217"/>
      <c r="B94" s="226">
        <v>440282.0</v>
      </c>
      <c r="C94" s="214" t="s">
        <v>101</v>
      </c>
      <c r="D94" s="218" t="s">
        <v>1831</v>
      </c>
      <c r="E94" s="216" t="s">
        <v>211</v>
      </c>
      <c r="F94" s="218" t="s">
        <v>1831</v>
      </c>
      <c r="G94" s="214" t="s">
        <v>1077</v>
      </c>
      <c r="H94" s="103" t="s">
        <v>1076</v>
      </c>
    </row>
    <row r="95">
      <c r="A95" s="211">
        <v>9961.0</v>
      </c>
      <c r="B95" s="226">
        <v>440342.0</v>
      </c>
      <c r="C95" s="214" t="s">
        <v>101</v>
      </c>
      <c r="D95" s="218" t="s">
        <v>1831</v>
      </c>
      <c r="E95" s="222" t="s">
        <v>211</v>
      </c>
      <c r="F95" s="218" t="s">
        <v>1831</v>
      </c>
      <c r="G95" s="214" t="s">
        <v>872</v>
      </c>
      <c r="H95" s="103" t="s">
        <v>1856</v>
      </c>
    </row>
    <row r="96">
      <c r="A96" s="217"/>
      <c r="B96" s="233">
        <v>440378.0</v>
      </c>
      <c r="C96" s="234" t="s">
        <v>101</v>
      </c>
      <c r="D96" s="235" t="s">
        <v>1831</v>
      </c>
      <c r="E96" s="236" t="s">
        <v>1079</v>
      </c>
      <c r="F96" s="235" t="s">
        <v>1831</v>
      </c>
      <c r="G96" s="234" t="s">
        <v>1079</v>
      </c>
      <c r="H96" s="237" t="s">
        <v>1857</v>
      </c>
      <c r="I96" s="238"/>
    </row>
    <row r="97">
      <c r="A97" s="217"/>
      <c r="B97" s="226">
        <v>440306.0</v>
      </c>
      <c r="C97" s="214" t="s">
        <v>101</v>
      </c>
      <c r="D97" s="218" t="s">
        <v>1831</v>
      </c>
      <c r="E97" s="216" t="s">
        <v>211</v>
      </c>
      <c r="F97" s="218" t="s">
        <v>1831</v>
      </c>
      <c r="G97" s="214" t="s">
        <v>211</v>
      </c>
      <c r="H97" s="103" t="s">
        <v>1036</v>
      </c>
      <c r="I97" s="23" t="s">
        <v>1832</v>
      </c>
    </row>
    <row r="98">
      <c r="A98" s="217"/>
      <c r="B98" s="226">
        <v>440161.0</v>
      </c>
      <c r="C98" s="214" t="s">
        <v>101</v>
      </c>
      <c r="D98" s="218" t="s">
        <v>1831</v>
      </c>
      <c r="E98" s="216" t="s">
        <v>211</v>
      </c>
      <c r="F98" s="218" t="s">
        <v>1831</v>
      </c>
      <c r="G98" s="214" t="s">
        <v>1081</v>
      </c>
      <c r="H98" s="103" t="s">
        <v>1080</v>
      </c>
    </row>
    <row r="99">
      <c r="A99" s="217"/>
      <c r="B99" s="226">
        <v>440616.0</v>
      </c>
      <c r="C99" s="214" t="s">
        <v>101</v>
      </c>
      <c r="D99" s="218" t="s">
        <v>1831</v>
      </c>
      <c r="E99" s="216" t="s">
        <v>211</v>
      </c>
      <c r="F99" s="218" t="s">
        <v>1831</v>
      </c>
      <c r="G99" s="214" t="s">
        <v>211</v>
      </c>
      <c r="H99" s="103" t="s">
        <v>1036</v>
      </c>
      <c r="I99" s="23" t="s">
        <v>1832</v>
      </c>
    </row>
    <row r="100">
      <c r="A100" s="217"/>
      <c r="B100" s="226">
        <v>440358.0</v>
      </c>
      <c r="C100" s="214" t="s">
        <v>101</v>
      </c>
      <c r="D100" s="218" t="s">
        <v>1831</v>
      </c>
      <c r="E100" s="216" t="s">
        <v>211</v>
      </c>
      <c r="F100" s="218" t="s">
        <v>1831</v>
      </c>
      <c r="G100" s="214" t="s">
        <v>1083</v>
      </c>
      <c r="H100" s="103" t="s">
        <v>1082</v>
      </c>
    </row>
    <row r="101">
      <c r="A101" s="211">
        <v>9961.0</v>
      </c>
      <c r="B101" s="226">
        <v>440029.0</v>
      </c>
      <c r="C101" s="214" t="s">
        <v>101</v>
      </c>
      <c r="D101" s="218" t="s">
        <v>1831</v>
      </c>
      <c r="E101" s="222" t="s">
        <v>211</v>
      </c>
      <c r="F101" s="218" t="s">
        <v>1831</v>
      </c>
      <c r="G101" s="214" t="s">
        <v>876</v>
      </c>
      <c r="H101" s="103" t="s">
        <v>1858</v>
      </c>
    </row>
    <row r="102">
      <c r="A102" s="211">
        <v>9961.0</v>
      </c>
      <c r="B102" s="226">
        <v>440008.0</v>
      </c>
      <c r="C102" s="214" t="s">
        <v>101</v>
      </c>
      <c r="D102" s="218" t="s">
        <v>1831</v>
      </c>
      <c r="E102" s="222" t="s">
        <v>211</v>
      </c>
      <c r="F102" s="218" t="s">
        <v>1831</v>
      </c>
      <c r="G102" s="214" t="s">
        <v>878</v>
      </c>
      <c r="H102" s="103" t="s">
        <v>1859</v>
      </c>
    </row>
    <row r="103">
      <c r="A103" s="217"/>
      <c r="B103" s="226">
        <v>440193.0</v>
      </c>
      <c r="C103" s="214" t="s">
        <v>101</v>
      </c>
      <c r="D103" s="218" t="s">
        <v>1831</v>
      </c>
      <c r="E103" s="216" t="s">
        <v>1101</v>
      </c>
      <c r="F103" s="218" t="s">
        <v>1831</v>
      </c>
      <c r="G103" s="214" t="s">
        <v>511</v>
      </c>
      <c r="H103" s="103" t="s">
        <v>1860</v>
      </c>
    </row>
    <row r="104">
      <c r="A104" s="217"/>
      <c r="B104" s="226">
        <v>440445.0</v>
      </c>
      <c r="C104" s="214" t="s">
        <v>101</v>
      </c>
      <c r="D104" s="218" t="s">
        <v>1831</v>
      </c>
      <c r="E104" s="216" t="s">
        <v>211</v>
      </c>
      <c r="F104" s="218" t="s">
        <v>1831</v>
      </c>
      <c r="G104" s="214" t="s">
        <v>211</v>
      </c>
      <c r="H104" s="103" t="s">
        <v>1036</v>
      </c>
      <c r="I104" s="23" t="s">
        <v>1832</v>
      </c>
    </row>
    <row r="105">
      <c r="A105" s="217"/>
      <c r="B105" s="226">
        <v>440270.0</v>
      </c>
      <c r="C105" s="214" t="s">
        <v>101</v>
      </c>
      <c r="D105" s="218" t="s">
        <v>1831</v>
      </c>
      <c r="E105" s="216" t="s">
        <v>211</v>
      </c>
      <c r="F105" s="218" t="s">
        <v>1831</v>
      </c>
      <c r="G105" s="214" t="s">
        <v>1085</v>
      </c>
      <c r="H105" s="103" t="s">
        <v>1084</v>
      </c>
      <c r="I105" s="23" t="s">
        <v>1832</v>
      </c>
    </row>
    <row r="106">
      <c r="A106" s="217"/>
      <c r="B106" s="226">
        <v>440314.0</v>
      </c>
      <c r="C106" s="214" t="s">
        <v>101</v>
      </c>
      <c r="D106" s="218" t="s">
        <v>1831</v>
      </c>
      <c r="E106" s="216" t="s">
        <v>211</v>
      </c>
      <c r="F106" s="218" t="s">
        <v>1831</v>
      </c>
      <c r="G106" s="214" t="s">
        <v>1085</v>
      </c>
      <c r="H106" s="103" t="s">
        <v>1084</v>
      </c>
      <c r="I106" s="23" t="s">
        <v>1832</v>
      </c>
    </row>
    <row r="107">
      <c r="A107" s="217"/>
      <c r="B107" s="226">
        <v>440249.0</v>
      </c>
      <c r="C107" s="214" t="s">
        <v>101</v>
      </c>
      <c r="D107" s="218" t="s">
        <v>1831</v>
      </c>
      <c r="E107" s="216" t="s">
        <v>211</v>
      </c>
      <c r="F107" s="218" t="s">
        <v>1831</v>
      </c>
      <c r="G107" s="214" t="s">
        <v>1087</v>
      </c>
      <c r="H107" s="103" t="s">
        <v>1086</v>
      </c>
    </row>
    <row r="108">
      <c r="A108" s="217"/>
      <c r="B108" s="226">
        <v>440398.0</v>
      </c>
      <c r="C108" s="214" t="s">
        <v>101</v>
      </c>
      <c r="D108" s="218" t="s">
        <v>1831</v>
      </c>
      <c r="E108" s="216" t="s">
        <v>211</v>
      </c>
      <c r="F108" s="218" t="s">
        <v>1831</v>
      </c>
      <c r="G108" s="214" t="s">
        <v>1089</v>
      </c>
      <c r="H108" s="103" t="s">
        <v>1088</v>
      </c>
    </row>
    <row r="109">
      <c r="A109" s="217"/>
      <c r="B109" s="226">
        <v>440141.0</v>
      </c>
      <c r="C109" s="214" t="s">
        <v>101</v>
      </c>
      <c r="D109" s="218" t="s">
        <v>1831</v>
      </c>
      <c r="E109" s="216" t="s">
        <v>211</v>
      </c>
      <c r="F109" s="218" t="s">
        <v>1831</v>
      </c>
      <c r="G109" s="214" t="s">
        <v>1091</v>
      </c>
      <c r="H109" s="103" t="s">
        <v>1090</v>
      </c>
    </row>
    <row r="110">
      <c r="A110" s="217"/>
      <c r="B110" s="226">
        <v>440003.0</v>
      </c>
      <c r="C110" s="214" t="s">
        <v>101</v>
      </c>
      <c r="D110" s="218" t="s">
        <v>1831</v>
      </c>
      <c r="E110" s="216" t="s">
        <v>211</v>
      </c>
      <c r="F110" s="218" t="s">
        <v>1831</v>
      </c>
      <c r="G110" s="214" t="s">
        <v>1093</v>
      </c>
      <c r="H110" s="103" t="s">
        <v>1092</v>
      </c>
    </row>
    <row r="111">
      <c r="A111" s="217"/>
      <c r="B111" s="226">
        <v>440145.0</v>
      </c>
      <c r="C111" s="214" t="s">
        <v>101</v>
      </c>
      <c r="D111" s="218" t="s">
        <v>1831</v>
      </c>
      <c r="E111" s="216" t="s">
        <v>211</v>
      </c>
      <c r="F111" s="218" t="s">
        <v>1831</v>
      </c>
      <c r="G111" s="214" t="s">
        <v>1095</v>
      </c>
      <c r="H111" s="103" t="s">
        <v>1094</v>
      </c>
    </row>
    <row r="112">
      <c r="A112" s="217"/>
      <c r="B112" s="226">
        <v>440063.0</v>
      </c>
      <c r="C112" s="214" t="s">
        <v>101</v>
      </c>
      <c r="D112" s="218" t="s">
        <v>1831</v>
      </c>
      <c r="E112" s="216" t="s">
        <v>1114</v>
      </c>
      <c r="F112" s="218" t="s">
        <v>1831</v>
      </c>
      <c r="G112" s="214" t="s">
        <v>1114</v>
      </c>
      <c r="H112" s="103" t="s">
        <v>1113</v>
      </c>
    </row>
    <row r="113">
      <c r="A113" s="211">
        <v>9965.0</v>
      </c>
      <c r="B113" s="226">
        <v>440266.0</v>
      </c>
      <c r="C113" s="214" t="s">
        <v>101</v>
      </c>
      <c r="D113" s="218" t="s">
        <v>1831</v>
      </c>
      <c r="E113" s="216" t="s">
        <v>1101</v>
      </c>
      <c r="F113" s="218" t="s">
        <v>1831</v>
      </c>
      <c r="G113" s="214" t="s">
        <v>1105</v>
      </c>
      <c r="H113" s="103" t="s">
        <v>1104</v>
      </c>
    </row>
    <row r="114">
      <c r="A114" s="211">
        <v>9965.0</v>
      </c>
      <c r="B114" s="226">
        <v>440470.0</v>
      </c>
      <c r="C114" s="214" t="s">
        <v>101</v>
      </c>
      <c r="D114" s="218" t="s">
        <v>1831</v>
      </c>
      <c r="E114" s="216" t="s">
        <v>1101</v>
      </c>
      <c r="F114" s="218" t="s">
        <v>1831</v>
      </c>
      <c r="G114" s="214" t="s">
        <v>1106</v>
      </c>
      <c r="H114" s="103" t="s">
        <v>790</v>
      </c>
    </row>
    <row r="115">
      <c r="A115" s="211">
        <v>9965.0</v>
      </c>
      <c r="B115" s="226">
        <v>440390.0</v>
      </c>
      <c r="C115" s="214" t="s">
        <v>101</v>
      </c>
      <c r="D115" s="218" t="s">
        <v>1831</v>
      </c>
      <c r="E115" s="216" t="s">
        <v>1101</v>
      </c>
      <c r="F115" s="218" t="s">
        <v>1831</v>
      </c>
      <c r="G115" s="214" t="s">
        <v>1108</v>
      </c>
      <c r="H115" s="103" t="s">
        <v>1107</v>
      </c>
    </row>
    <row r="116">
      <c r="A116" s="211">
        <v>9965.0</v>
      </c>
      <c r="B116" s="226">
        <v>440262.0</v>
      </c>
      <c r="C116" s="214" t="s">
        <v>101</v>
      </c>
      <c r="D116" s="218" t="s">
        <v>1831</v>
      </c>
      <c r="E116" s="216" t="s">
        <v>1101</v>
      </c>
      <c r="F116" s="218" t="s">
        <v>1831</v>
      </c>
      <c r="G116" s="214" t="s">
        <v>1110</v>
      </c>
      <c r="H116" s="103" t="s">
        <v>1109</v>
      </c>
    </row>
    <row r="117">
      <c r="A117" s="211">
        <v>9965.0</v>
      </c>
      <c r="B117" s="226">
        <v>440302.0</v>
      </c>
      <c r="C117" s="214" t="s">
        <v>101</v>
      </c>
      <c r="D117" s="218" t="s">
        <v>1831</v>
      </c>
      <c r="E117" s="216" t="s">
        <v>1101</v>
      </c>
      <c r="F117" s="218" t="s">
        <v>1831</v>
      </c>
      <c r="G117" s="214" t="s">
        <v>1112</v>
      </c>
      <c r="H117" s="103" t="s">
        <v>1111</v>
      </c>
    </row>
    <row r="118">
      <c r="A118" s="110" t="s">
        <v>1399</v>
      </c>
      <c r="B118" s="226">
        <v>440362.0</v>
      </c>
      <c r="C118" s="214" t="s">
        <v>101</v>
      </c>
      <c r="D118" s="218" t="s">
        <v>1831</v>
      </c>
      <c r="E118" s="216" t="s">
        <v>1114</v>
      </c>
      <c r="F118" s="218" t="s">
        <v>1831</v>
      </c>
      <c r="G118" s="214" t="s">
        <v>1115</v>
      </c>
      <c r="H118" s="103" t="s">
        <v>639</v>
      </c>
    </row>
    <row r="119">
      <c r="A119" s="110" t="s">
        <v>1399</v>
      </c>
      <c r="B119" s="226">
        <v>440386.0</v>
      </c>
      <c r="C119" s="214" t="s">
        <v>101</v>
      </c>
      <c r="D119" s="218" t="s">
        <v>1831</v>
      </c>
      <c r="E119" s="216" t="s">
        <v>1114</v>
      </c>
      <c r="F119" s="218" t="s">
        <v>1831</v>
      </c>
      <c r="G119" s="214" t="s">
        <v>1117</v>
      </c>
      <c r="H119" s="103" t="s">
        <v>1116</v>
      </c>
    </row>
    <row r="120">
      <c r="A120" s="110" t="s">
        <v>1399</v>
      </c>
      <c r="B120" s="226">
        <v>440294.0</v>
      </c>
      <c r="C120" s="214" t="s">
        <v>101</v>
      </c>
      <c r="D120" s="218" t="s">
        <v>1831</v>
      </c>
      <c r="E120" s="216" t="s">
        <v>1114</v>
      </c>
      <c r="F120" s="218" t="s">
        <v>1831</v>
      </c>
      <c r="G120" s="214" t="s">
        <v>1119</v>
      </c>
      <c r="H120" s="103" t="s">
        <v>1118</v>
      </c>
    </row>
    <row r="121">
      <c r="A121" s="217"/>
      <c r="B121" s="226">
        <v>440084.0</v>
      </c>
      <c r="C121" s="214" t="s">
        <v>101</v>
      </c>
      <c r="D121" s="218" t="s">
        <v>1831</v>
      </c>
      <c r="E121" s="216" t="s">
        <v>211</v>
      </c>
      <c r="F121" s="218" t="s">
        <v>1831</v>
      </c>
      <c r="G121" s="214" t="s">
        <v>1097</v>
      </c>
      <c r="H121" s="103" t="s">
        <v>1096</v>
      </c>
    </row>
    <row r="122">
      <c r="A122" s="217"/>
      <c r="B122" s="226">
        <v>440157.0</v>
      </c>
      <c r="C122" s="214" t="s">
        <v>101</v>
      </c>
      <c r="D122" s="218" t="s">
        <v>1831</v>
      </c>
      <c r="E122" s="222" t="s">
        <v>211</v>
      </c>
      <c r="F122" s="218" t="s">
        <v>1831</v>
      </c>
      <c r="G122" s="214" t="s">
        <v>842</v>
      </c>
      <c r="H122" s="103" t="s">
        <v>1861</v>
      </c>
    </row>
    <row r="123">
      <c r="A123" s="217"/>
      <c r="B123" s="226">
        <v>440410.0</v>
      </c>
      <c r="C123" s="214" t="s">
        <v>101</v>
      </c>
      <c r="D123" s="218" t="s">
        <v>1831</v>
      </c>
      <c r="E123" s="216" t="s">
        <v>211</v>
      </c>
      <c r="F123" s="218" t="s">
        <v>1831</v>
      </c>
      <c r="G123" s="214" t="s">
        <v>1099</v>
      </c>
      <c r="H123" s="103" t="s">
        <v>1098</v>
      </c>
      <c r="I123" s="23" t="s">
        <v>1832</v>
      </c>
    </row>
    <row r="124">
      <c r="A124" s="105"/>
      <c r="B124" s="24">
        <v>441480.0</v>
      </c>
      <c r="E124" s="222" t="s">
        <v>211</v>
      </c>
      <c r="H124" s="23" t="s">
        <v>1862</v>
      </c>
      <c r="I124" s="23" t="s">
        <v>1832</v>
      </c>
    </row>
    <row r="125">
      <c r="A125" s="105"/>
      <c r="B125" s="105"/>
      <c r="E125" s="24"/>
      <c r="F125" s="23">
        <v>10.0</v>
      </c>
      <c r="G125" s="24" t="s">
        <v>1863</v>
      </c>
    </row>
    <row r="126">
      <c r="A126" s="239">
        <v>9986.0</v>
      </c>
      <c r="B126" s="240"/>
      <c r="C126" s="238"/>
      <c r="D126" s="238"/>
      <c r="E126" s="239" t="s">
        <v>1864</v>
      </c>
      <c r="F126" s="241">
        <v>14.0</v>
      </c>
      <c r="G126" s="241" t="s">
        <v>1865</v>
      </c>
      <c r="H126" s="238"/>
      <c r="I126" s="241" t="s">
        <v>1832</v>
      </c>
      <c r="J126" s="238"/>
      <c r="K126" s="238"/>
      <c r="L126" s="238"/>
      <c r="M126" s="238"/>
      <c r="N126" s="238"/>
      <c r="O126" s="238"/>
      <c r="P126" s="238"/>
      <c r="Q126" s="238"/>
      <c r="R126" s="238"/>
      <c r="S126" s="238"/>
      <c r="T126" s="238"/>
      <c r="U126" s="238"/>
      <c r="V126" s="238"/>
      <c r="W126" s="238"/>
      <c r="X126" s="238"/>
      <c r="Y126" s="238"/>
      <c r="Z126" s="238"/>
    </row>
    <row r="127">
      <c r="A127" s="239">
        <v>9973.0</v>
      </c>
      <c r="B127" s="240"/>
      <c r="C127" s="238"/>
      <c r="D127" s="238"/>
      <c r="E127" s="239" t="s">
        <v>1866</v>
      </c>
      <c r="F127" s="238" t="str">
        <f>F126-#REF!</f>
        <v>#REF!</v>
      </c>
      <c r="G127" s="241" t="s">
        <v>1867</v>
      </c>
      <c r="H127" s="238"/>
      <c r="I127" s="241" t="s">
        <v>1832</v>
      </c>
    </row>
    <row r="128">
      <c r="A128" s="105"/>
      <c r="B128" s="103">
        <v>9981.0</v>
      </c>
      <c r="C128" s="103" t="s">
        <v>1431</v>
      </c>
      <c r="E128" s="24" t="s">
        <v>1868</v>
      </c>
    </row>
    <row r="129">
      <c r="A129" s="105"/>
      <c r="B129" s="105"/>
      <c r="E129" s="105"/>
    </row>
    <row r="130">
      <c r="A130" s="105"/>
      <c r="B130" s="24" t="s">
        <v>1869</v>
      </c>
      <c r="E130" s="24" t="s">
        <v>1126</v>
      </c>
    </row>
    <row r="131">
      <c r="A131" s="105"/>
      <c r="B131" s="105"/>
      <c r="E131" s="105"/>
    </row>
    <row r="132">
      <c r="A132" s="105"/>
      <c r="B132" s="105"/>
      <c r="E132" s="97">
        <f>IFERROR(__xludf.DUMMYFUNCTION("COUNTUNIQUE(E2:E124)"),23.0)</f>
        <v>23</v>
      </c>
      <c r="H132" s="97">
        <f>IFERROR(__xludf.DUMMYFUNCTION("COUNTUNIQUE(H2:H124)"),113.0)</f>
        <v>113</v>
      </c>
    </row>
    <row r="133">
      <c r="A133" s="105"/>
      <c r="B133" s="105"/>
      <c r="E133" s="105"/>
    </row>
    <row r="134">
      <c r="A134" s="105"/>
      <c r="B134" s="105"/>
      <c r="E134" s="105"/>
    </row>
    <row r="135">
      <c r="A135" s="105"/>
      <c r="B135" s="105"/>
      <c r="E135" s="105"/>
    </row>
    <row r="136">
      <c r="A136" s="105"/>
      <c r="B136" s="105"/>
      <c r="E136" s="105"/>
    </row>
    <row r="137">
      <c r="A137" s="105"/>
      <c r="B137" s="105"/>
      <c r="E137" s="105"/>
    </row>
    <row r="138">
      <c r="A138" s="105"/>
      <c r="B138" s="105"/>
      <c r="E138" s="105"/>
    </row>
    <row r="139">
      <c r="A139" s="105"/>
      <c r="B139" s="105"/>
      <c r="E139" s="105"/>
    </row>
    <row r="140">
      <c r="A140" s="105"/>
      <c r="B140" s="105"/>
      <c r="E140" s="105"/>
    </row>
    <row r="141">
      <c r="A141" s="105"/>
      <c r="B141" s="105"/>
      <c r="E141" s="105"/>
    </row>
    <row r="142">
      <c r="A142" s="105"/>
      <c r="B142" s="105"/>
      <c r="E142" s="105"/>
    </row>
    <row r="143">
      <c r="A143" s="105"/>
      <c r="B143" s="105"/>
      <c r="E143" s="105"/>
    </row>
    <row r="144">
      <c r="A144" s="105"/>
      <c r="B144" s="105"/>
      <c r="E144" s="105"/>
    </row>
    <row r="145">
      <c r="A145" s="105"/>
      <c r="B145" s="105"/>
      <c r="E145" s="105"/>
    </row>
    <row r="146">
      <c r="A146" s="105"/>
      <c r="B146" s="105"/>
      <c r="E146" s="105"/>
    </row>
    <row r="147">
      <c r="A147" s="105"/>
      <c r="B147" s="105"/>
      <c r="E147" s="105"/>
    </row>
    <row r="148">
      <c r="A148" s="105"/>
      <c r="B148" s="105"/>
      <c r="E148" s="105"/>
    </row>
    <row r="149">
      <c r="A149" s="105"/>
      <c r="B149" s="105"/>
      <c r="E149" s="105"/>
    </row>
    <row r="150">
      <c r="A150" s="105"/>
      <c r="B150" s="105"/>
      <c r="E150" s="105"/>
    </row>
    <row r="151">
      <c r="A151" s="105"/>
      <c r="B151" s="105"/>
      <c r="E151" s="105"/>
    </row>
    <row r="152">
      <c r="A152" s="105"/>
      <c r="B152" s="105"/>
      <c r="E152" s="105"/>
    </row>
    <row r="153">
      <c r="A153" s="105"/>
      <c r="B153" s="105"/>
      <c r="E153" s="105"/>
    </row>
    <row r="154">
      <c r="A154" s="105"/>
      <c r="B154" s="105"/>
      <c r="E154" s="105"/>
    </row>
    <row r="155">
      <c r="A155" s="105"/>
      <c r="B155" s="105"/>
      <c r="E155" s="105"/>
    </row>
    <row r="156">
      <c r="A156" s="105"/>
      <c r="B156" s="105"/>
      <c r="E156" s="105"/>
    </row>
    <row r="157">
      <c r="A157" s="105"/>
      <c r="B157" s="105"/>
      <c r="E157" s="105"/>
    </row>
    <row r="158">
      <c r="A158" s="105"/>
      <c r="B158" s="105"/>
      <c r="E158" s="105"/>
    </row>
    <row r="159">
      <c r="A159" s="105"/>
      <c r="B159" s="105"/>
      <c r="E159" s="105"/>
    </row>
    <row r="160">
      <c r="A160" s="105"/>
      <c r="B160" s="105"/>
      <c r="E160" s="105"/>
    </row>
    <row r="161">
      <c r="A161" s="105"/>
      <c r="B161" s="105"/>
      <c r="E161" s="105"/>
    </row>
    <row r="162">
      <c r="A162" s="105"/>
      <c r="B162" s="105"/>
      <c r="E162" s="105"/>
    </row>
    <row r="163">
      <c r="A163" s="105"/>
      <c r="B163" s="105"/>
      <c r="E163" s="105"/>
    </row>
    <row r="164">
      <c r="A164" s="105"/>
      <c r="B164" s="105"/>
      <c r="E164" s="105"/>
    </row>
    <row r="165">
      <c r="A165" s="105"/>
      <c r="B165" s="105"/>
      <c r="E165" s="105"/>
    </row>
    <row r="166">
      <c r="A166" s="105"/>
      <c r="B166" s="105"/>
      <c r="E166" s="105"/>
    </row>
    <row r="167">
      <c r="A167" s="105"/>
      <c r="B167" s="105"/>
      <c r="E167" s="105"/>
    </row>
    <row r="168">
      <c r="A168" s="105"/>
      <c r="B168" s="105"/>
      <c r="E168" s="105"/>
    </row>
    <row r="169">
      <c r="A169" s="105"/>
      <c r="B169" s="105"/>
      <c r="E169" s="105"/>
    </row>
    <row r="170">
      <c r="A170" s="105"/>
      <c r="B170" s="105"/>
      <c r="E170" s="105"/>
    </row>
    <row r="171">
      <c r="A171" s="105"/>
      <c r="B171" s="105"/>
      <c r="E171" s="105"/>
    </row>
    <row r="172">
      <c r="A172" s="105"/>
      <c r="B172" s="105"/>
      <c r="E172" s="105"/>
    </row>
    <row r="173">
      <c r="A173" s="105"/>
      <c r="B173" s="105"/>
      <c r="E173" s="105"/>
    </row>
    <row r="174">
      <c r="A174" s="105"/>
      <c r="B174" s="105"/>
      <c r="E174" s="105"/>
    </row>
    <row r="175">
      <c r="A175" s="105"/>
      <c r="B175" s="105"/>
      <c r="E175" s="105"/>
    </row>
    <row r="176">
      <c r="A176" s="105"/>
      <c r="B176" s="105"/>
      <c r="E176" s="105"/>
    </row>
    <row r="177">
      <c r="A177" s="105"/>
      <c r="B177" s="105"/>
      <c r="E177" s="105"/>
    </row>
    <row r="178">
      <c r="A178" s="105"/>
      <c r="B178" s="105"/>
      <c r="E178" s="105"/>
    </row>
    <row r="179">
      <c r="A179" s="105"/>
      <c r="B179" s="105"/>
      <c r="E179" s="105"/>
    </row>
    <row r="180">
      <c r="A180" s="105"/>
      <c r="B180" s="105"/>
      <c r="E180" s="105"/>
    </row>
    <row r="181">
      <c r="A181" s="105"/>
      <c r="B181" s="105"/>
      <c r="E181" s="105"/>
    </row>
    <row r="182">
      <c r="A182" s="105"/>
      <c r="B182" s="105"/>
      <c r="E182" s="105"/>
    </row>
    <row r="183">
      <c r="A183" s="105"/>
      <c r="B183" s="105"/>
      <c r="E183" s="105"/>
    </row>
    <row r="184">
      <c r="A184" s="105"/>
      <c r="B184" s="105"/>
      <c r="E184" s="105"/>
    </row>
    <row r="185">
      <c r="A185" s="105"/>
      <c r="B185" s="105"/>
      <c r="E185" s="105"/>
    </row>
    <row r="186">
      <c r="A186" s="105"/>
      <c r="B186" s="105"/>
      <c r="E186" s="105"/>
    </row>
    <row r="187">
      <c r="A187" s="105"/>
      <c r="B187" s="105"/>
      <c r="E187" s="105"/>
    </row>
    <row r="188">
      <c r="A188" s="105"/>
      <c r="B188" s="105"/>
      <c r="E188" s="105"/>
    </row>
    <row r="189">
      <c r="A189" s="105"/>
      <c r="B189" s="105"/>
      <c r="E189" s="105"/>
    </row>
    <row r="190">
      <c r="A190" s="105"/>
      <c r="B190" s="105"/>
      <c r="E190" s="105"/>
    </row>
    <row r="191">
      <c r="A191" s="105"/>
      <c r="B191" s="105"/>
      <c r="E191" s="105"/>
    </row>
    <row r="192">
      <c r="A192" s="105"/>
      <c r="B192" s="105"/>
      <c r="E192" s="105"/>
    </row>
    <row r="193">
      <c r="A193" s="105"/>
      <c r="B193" s="105"/>
      <c r="E193" s="105"/>
    </row>
    <row r="194">
      <c r="A194" s="105"/>
      <c r="B194" s="105"/>
      <c r="E194" s="105"/>
    </row>
    <row r="195">
      <c r="A195" s="105"/>
      <c r="B195" s="105"/>
      <c r="E195" s="105"/>
    </row>
    <row r="196">
      <c r="A196" s="105"/>
      <c r="B196" s="105"/>
      <c r="E196" s="105"/>
    </row>
    <row r="197">
      <c r="A197" s="105"/>
      <c r="B197" s="105"/>
      <c r="E197" s="105"/>
    </row>
    <row r="198">
      <c r="A198" s="105"/>
      <c r="B198" s="105"/>
      <c r="E198" s="105"/>
    </row>
    <row r="199">
      <c r="A199" s="105"/>
      <c r="B199" s="105"/>
      <c r="E199" s="105"/>
    </row>
    <row r="200">
      <c r="A200" s="105"/>
      <c r="B200" s="105"/>
      <c r="E200" s="105"/>
    </row>
    <row r="201">
      <c r="A201" s="105"/>
      <c r="B201" s="105"/>
      <c r="E201" s="105"/>
    </row>
    <row r="202">
      <c r="A202" s="105"/>
      <c r="B202" s="105"/>
      <c r="E202" s="105"/>
    </row>
    <row r="203">
      <c r="A203" s="105"/>
      <c r="B203" s="105"/>
      <c r="E203" s="105"/>
    </row>
    <row r="204">
      <c r="A204" s="105"/>
      <c r="B204" s="105"/>
      <c r="E204" s="105"/>
    </row>
    <row r="205">
      <c r="A205" s="105"/>
      <c r="B205" s="105"/>
      <c r="E205" s="105"/>
    </row>
    <row r="206">
      <c r="A206" s="105"/>
      <c r="B206" s="105"/>
      <c r="E206" s="105"/>
    </row>
    <row r="207">
      <c r="A207" s="105"/>
      <c r="B207" s="105"/>
      <c r="E207" s="105"/>
    </row>
    <row r="208">
      <c r="A208" s="105"/>
      <c r="B208" s="105"/>
      <c r="E208" s="105"/>
    </row>
    <row r="209">
      <c r="A209" s="105"/>
      <c r="B209" s="105"/>
      <c r="E209" s="105"/>
    </row>
    <row r="210">
      <c r="A210" s="105"/>
      <c r="B210" s="105"/>
      <c r="E210" s="105"/>
    </row>
    <row r="211">
      <c r="A211" s="105"/>
      <c r="B211" s="105"/>
      <c r="E211" s="105"/>
    </row>
    <row r="212">
      <c r="A212" s="105"/>
      <c r="B212" s="105"/>
      <c r="E212" s="105"/>
    </row>
    <row r="213">
      <c r="A213" s="105"/>
      <c r="B213" s="105"/>
      <c r="E213" s="105"/>
    </row>
    <row r="214">
      <c r="A214" s="105"/>
      <c r="B214" s="105"/>
      <c r="E214" s="105"/>
    </row>
    <row r="215">
      <c r="A215" s="105"/>
      <c r="B215" s="105"/>
      <c r="E215" s="105"/>
    </row>
    <row r="216">
      <c r="A216" s="105"/>
      <c r="B216" s="105"/>
      <c r="E216" s="105"/>
    </row>
    <row r="217">
      <c r="A217" s="105"/>
      <c r="B217" s="105"/>
      <c r="E217" s="105"/>
    </row>
    <row r="218">
      <c r="A218" s="105"/>
      <c r="B218" s="105"/>
      <c r="E218" s="105"/>
    </row>
    <row r="219">
      <c r="A219" s="105"/>
      <c r="B219" s="105"/>
      <c r="E219" s="105"/>
    </row>
    <row r="220">
      <c r="A220" s="105"/>
      <c r="B220" s="105"/>
      <c r="E220" s="105"/>
    </row>
    <row r="221">
      <c r="A221" s="105"/>
      <c r="B221" s="105"/>
      <c r="E221" s="105"/>
    </row>
    <row r="222">
      <c r="A222" s="105"/>
      <c r="B222" s="105"/>
      <c r="E222" s="105"/>
    </row>
    <row r="223">
      <c r="A223" s="105"/>
      <c r="B223" s="105"/>
      <c r="E223" s="105"/>
    </row>
    <row r="224">
      <c r="A224" s="105"/>
      <c r="B224" s="105"/>
      <c r="E224" s="105"/>
    </row>
    <row r="225">
      <c r="A225" s="105"/>
      <c r="B225" s="105"/>
      <c r="E225" s="105"/>
    </row>
    <row r="226">
      <c r="A226" s="105"/>
      <c r="B226" s="105"/>
      <c r="E226" s="105"/>
    </row>
    <row r="227">
      <c r="A227" s="105"/>
      <c r="B227" s="105"/>
      <c r="E227" s="105"/>
    </row>
    <row r="228">
      <c r="A228" s="105"/>
      <c r="B228" s="105"/>
      <c r="E228" s="105"/>
    </row>
    <row r="229">
      <c r="A229" s="105"/>
      <c r="B229" s="105"/>
      <c r="E229" s="105"/>
    </row>
    <row r="230">
      <c r="A230" s="105"/>
      <c r="B230" s="105"/>
      <c r="E230" s="105"/>
    </row>
    <row r="231">
      <c r="A231" s="105"/>
      <c r="B231" s="105"/>
      <c r="E231" s="105"/>
    </row>
    <row r="232">
      <c r="A232" s="105"/>
      <c r="B232" s="105"/>
      <c r="E232" s="105"/>
    </row>
    <row r="233">
      <c r="A233" s="105"/>
      <c r="B233" s="105"/>
      <c r="E233" s="105"/>
    </row>
    <row r="234">
      <c r="A234" s="105"/>
      <c r="B234" s="105"/>
      <c r="E234" s="105"/>
    </row>
    <row r="235">
      <c r="A235" s="105"/>
      <c r="B235" s="105"/>
      <c r="E235" s="105"/>
    </row>
    <row r="236">
      <c r="A236" s="105"/>
      <c r="B236" s="105"/>
      <c r="E236" s="105"/>
    </row>
    <row r="237">
      <c r="A237" s="105"/>
      <c r="B237" s="105"/>
      <c r="E237" s="105"/>
    </row>
    <row r="238">
      <c r="A238" s="105"/>
      <c r="B238" s="105"/>
      <c r="E238" s="105"/>
    </row>
    <row r="239">
      <c r="A239" s="105"/>
      <c r="B239" s="105"/>
      <c r="E239" s="105"/>
    </row>
    <row r="240">
      <c r="A240" s="105"/>
      <c r="B240" s="105"/>
      <c r="E240" s="105"/>
    </row>
    <row r="241">
      <c r="A241" s="105"/>
      <c r="B241" s="105"/>
      <c r="E241" s="105"/>
    </row>
    <row r="242">
      <c r="A242" s="105"/>
      <c r="B242" s="105"/>
      <c r="E242" s="105"/>
    </row>
    <row r="243">
      <c r="A243" s="105"/>
      <c r="B243" s="105"/>
      <c r="E243" s="105"/>
    </row>
    <row r="244">
      <c r="A244" s="105"/>
      <c r="B244" s="105"/>
      <c r="E244" s="105"/>
    </row>
    <row r="245">
      <c r="A245" s="105"/>
      <c r="B245" s="105"/>
      <c r="E245" s="105"/>
    </row>
    <row r="246">
      <c r="A246" s="105"/>
      <c r="B246" s="105"/>
      <c r="E246" s="105"/>
    </row>
    <row r="247">
      <c r="A247" s="105"/>
      <c r="B247" s="105"/>
      <c r="E247" s="105"/>
    </row>
    <row r="248">
      <c r="A248" s="105"/>
      <c r="B248" s="105"/>
      <c r="E248" s="105"/>
    </row>
    <row r="249">
      <c r="A249" s="105"/>
      <c r="B249" s="105"/>
      <c r="E249" s="105"/>
    </row>
    <row r="250">
      <c r="A250" s="105"/>
      <c r="B250" s="105"/>
      <c r="E250" s="105"/>
    </row>
    <row r="251">
      <c r="A251" s="105"/>
      <c r="B251" s="105"/>
      <c r="E251" s="105"/>
    </row>
    <row r="252">
      <c r="A252" s="105"/>
      <c r="B252" s="105"/>
      <c r="E252" s="105"/>
    </row>
    <row r="253">
      <c r="A253" s="105"/>
      <c r="B253" s="105"/>
      <c r="E253" s="105"/>
    </row>
    <row r="254">
      <c r="A254" s="105"/>
      <c r="B254" s="105"/>
      <c r="E254" s="105"/>
    </row>
    <row r="255">
      <c r="A255" s="105"/>
      <c r="B255" s="105"/>
      <c r="E255" s="105"/>
    </row>
    <row r="256">
      <c r="A256" s="105"/>
      <c r="B256" s="105"/>
      <c r="E256" s="105"/>
    </row>
    <row r="257">
      <c r="A257" s="105"/>
      <c r="B257" s="105"/>
      <c r="E257" s="105"/>
    </row>
    <row r="258">
      <c r="A258" s="105"/>
      <c r="B258" s="105"/>
      <c r="E258" s="105"/>
    </row>
    <row r="259">
      <c r="A259" s="105"/>
      <c r="B259" s="105"/>
      <c r="E259" s="105"/>
    </row>
    <row r="260">
      <c r="A260" s="105"/>
      <c r="B260" s="105"/>
      <c r="E260" s="105"/>
    </row>
    <row r="261">
      <c r="A261" s="105"/>
      <c r="B261" s="105"/>
      <c r="E261" s="105"/>
    </row>
    <row r="262">
      <c r="A262" s="105"/>
      <c r="B262" s="105"/>
      <c r="E262" s="105"/>
    </row>
    <row r="263">
      <c r="A263" s="105"/>
      <c r="B263" s="105"/>
      <c r="E263" s="105"/>
    </row>
    <row r="264">
      <c r="A264" s="105"/>
      <c r="B264" s="105"/>
      <c r="E264" s="105"/>
    </row>
    <row r="265">
      <c r="A265" s="105"/>
      <c r="B265" s="105"/>
      <c r="E265" s="105"/>
    </row>
    <row r="266">
      <c r="A266" s="105"/>
      <c r="B266" s="105"/>
      <c r="E266" s="105"/>
    </row>
    <row r="267">
      <c r="A267" s="105"/>
      <c r="B267" s="105"/>
      <c r="E267" s="105"/>
    </row>
    <row r="268">
      <c r="A268" s="105"/>
      <c r="B268" s="105"/>
      <c r="E268" s="105"/>
    </row>
    <row r="269">
      <c r="A269" s="105"/>
      <c r="B269" s="105"/>
      <c r="E269" s="105"/>
    </row>
    <row r="270">
      <c r="A270" s="105"/>
      <c r="B270" s="105"/>
      <c r="E270" s="105"/>
    </row>
    <row r="271">
      <c r="A271" s="105"/>
      <c r="B271" s="105"/>
      <c r="E271" s="105"/>
    </row>
    <row r="272">
      <c r="A272" s="105"/>
      <c r="B272" s="105"/>
      <c r="E272" s="105"/>
    </row>
    <row r="273">
      <c r="A273" s="105"/>
      <c r="B273" s="105"/>
      <c r="E273" s="105"/>
    </row>
    <row r="274">
      <c r="A274" s="105"/>
      <c r="B274" s="105"/>
      <c r="E274" s="105"/>
    </row>
    <row r="275">
      <c r="A275" s="105"/>
      <c r="B275" s="105"/>
      <c r="E275" s="105"/>
    </row>
    <row r="276">
      <c r="A276" s="105"/>
      <c r="B276" s="105"/>
      <c r="E276" s="105"/>
    </row>
    <row r="277">
      <c r="A277" s="105"/>
      <c r="B277" s="105"/>
      <c r="E277" s="105"/>
    </row>
    <row r="278">
      <c r="A278" s="105"/>
      <c r="B278" s="105"/>
      <c r="E278" s="105"/>
    </row>
    <row r="279">
      <c r="A279" s="105"/>
      <c r="B279" s="105"/>
      <c r="E279" s="105"/>
    </row>
    <row r="280">
      <c r="A280" s="105"/>
      <c r="B280" s="105"/>
      <c r="E280" s="105"/>
    </row>
    <row r="281">
      <c r="A281" s="105"/>
      <c r="B281" s="105"/>
      <c r="E281" s="105"/>
    </row>
    <row r="282">
      <c r="A282" s="105"/>
      <c r="B282" s="105"/>
      <c r="E282" s="105"/>
    </row>
    <row r="283">
      <c r="A283" s="105"/>
      <c r="B283" s="105"/>
      <c r="E283" s="105"/>
    </row>
    <row r="284">
      <c r="A284" s="105"/>
      <c r="B284" s="105"/>
      <c r="E284" s="105"/>
    </row>
    <row r="285">
      <c r="A285" s="105"/>
      <c r="B285" s="105"/>
      <c r="E285" s="105"/>
    </row>
    <row r="286">
      <c r="A286" s="105"/>
      <c r="B286" s="105"/>
      <c r="E286" s="105"/>
    </row>
    <row r="287">
      <c r="A287" s="105"/>
      <c r="B287" s="105"/>
      <c r="E287" s="105"/>
    </row>
    <row r="288">
      <c r="A288" s="105"/>
      <c r="B288" s="105"/>
      <c r="E288" s="105"/>
    </row>
    <row r="289">
      <c r="A289" s="105"/>
      <c r="B289" s="105"/>
      <c r="E289" s="105"/>
    </row>
    <row r="290">
      <c r="A290" s="105"/>
      <c r="B290" s="105"/>
      <c r="E290" s="105"/>
    </row>
    <row r="291">
      <c r="A291" s="105"/>
      <c r="B291" s="105"/>
      <c r="E291" s="105"/>
    </row>
    <row r="292">
      <c r="A292" s="105"/>
      <c r="B292" s="105"/>
      <c r="E292" s="105"/>
    </row>
    <row r="293">
      <c r="A293" s="105"/>
      <c r="B293" s="105"/>
      <c r="E293" s="105"/>
    </row>
    <row r="294">
      <c r="A294" s="105"/>
      <c r="B294" s="105"/>
      <c r="E294" s="105"/>
    </row>
    <row r="295">
      <c r="A295" s="105"/>
      <c r="B295" s="105"/>
      <c r="E295" s="105"/>
    </row>
    <row r="296">
      <c r="A296" s="105"/>
      <c r="B296" s="105"/>
      <c r="E296" s="105"/>
    </row>
    <row r="297">
      <c r="A297" s="105"/>
      <c r="B297" s="105"/>
      <c r="E297" s="105"/>
    </row>
    <row r="298">
      <c r="A298" s="105"/>
      <c r="B298" s="105"/>
      <c r="E298" s="105"/>
    </row>
    <row r="299">
      <c r="A299" s="105"/>
      <c r="B299" s="105"/>
      <c r="E299" s="105"/>
    </row>
    <row r="300">
      <c r="A300" s="105"/>
      <c r="B300" s="105"/>
      <c r="E300" s="105"/>
    </row>
    <row r="301">
      <c r="A301" s="105"/>
      <c r="B301" s="105"/>
      <c r="E301" s="105"/>
    </row>
    <row r="302">
      <c r="A302" s="105"/>
      <c r="B302" s="105"/>
      <c r="E302" s="105"/>
    </row>
    <row r="303">
      <c r="A303" s="105"/>
      <c r="B303" s="105"/>
      <c r="E303" s="105"/>
    </row>
    <row r="304">
      <c r="A304" s="105"/>
      <c r="B304" s="105"/>
      <c r="E304" s="105"/>
    </row>
    <row r="305">
      <c r="A305" s="105"/>
      <c r="B305" s="105"/>
      <c r="E305" s="105"/>
    </row>
    <row r="306">
      <c r="A306" s="105"/>
      <c r="B306" s="105"/>
      <c r="E306" s="105"/>
    </row>
    <row r="307">
      <c r="A307" s="105"/>
      <c r="B307" s="105"/>
      <c r="E307" s="105"/>
    </row>
    <row r="308">
      <c r="A308" s="105"/>
      <c r="B308" s="105"/>
      <c r="E308" s="105"/>
    </row>
    <row r="309">
      <c r="A309" s="105"/>
      <c r="B309" s="105"/>
      <c r="E309" s="105"/>
    </row>
    <row r="310">
      <c r="A310" s="105"/>
      <c r="B310" s="105"/>
      <c r="E310" s="105"/>
    </row>
    <row r="311">
      <c r="A311" s="105"/>
      <c r="B311" s="105"/>
      <c r="E311" s="105"/>
    </row>
    <row r="312">
      <c r="A312" s="105"/>
      <c r="B312" s="105"/>
      <c r="E312" s="105"/>
    </row>
    <row r="313">
      <c r="A313" s="105"/>
      <c r="B313" s="105"/>
      <c r="E313" s="105"/>
    </row>
    <row r="314">
      <c r="A314" s="105"/>
      <c r="B314" s="105"/>
      <c r="E314" s="105"/>
    </row>
    <row r="315">
      <c r="A315" s="105"/>
      <c r="B315" s="105"/>
      <c r="E315" s="105"/>
    </row>
    <row r="316">
      <c r="A316" s="105"/>
      <c r="B316" s="105"/>
      <c r="E316" s="105"/>
    </row>
    <row r="317">
      <c r="A317" s="105"/>
      <c r="B317" s="105"/>
      <c r="E317" s="105"/>
    </row>
    <row r="318">
      <c r="A318" s="105"/>
      <c r="B318" s="105"/>
      <c r="E318" s="105"/>
    </row>
    <row r="319">
      <c r="A319" s="105"/>
      <c r="B319" s="105"/>
      <c r="E319" s="105"/>
    </row>
    <row r="320">
      <c r="A320" s="105"/>
      <c r="B320" s="105"/>
      <c r="E320" s="105"/>
    </row>
    <row r="321">
      <c r="A321" s="105"/>
      <c r="B321" s="105"/>
      <c r="E321" s="105"/>
    </row>
    <row r="322">
      <c r="A322" s="105"/>
      <c r="B322" s="105"/>
      <c r="E322" s="105"/>
    </row>
    <row r="323">
      <c r="A323" s="105"/>
      <c r="B323" s="105"/>
      <c r="E323" s="105"/>
    </row>
    <row r="324">
      <c r="A324" s="105"/>
      <c r="B324" s="105"/>
      <c r="E324" s="105"/>
    </row>
    <row r="325">
      <c r="A325" s="105"/>
      <c r="B325" s="105"/>
      <c r="E325" s="105"/>
    </row>
    <row r="326">
      <c r="A326" s="105"/>
      <c r="B326" s="105"/>
      <c r="E326" s="105"/>
    </row>
    <row r="327">
      <c r="A327" s="105"/>
      <c r="B327" s="105"/>
      <c r="E327" s="105"/>
    </row>
    <row r="328">
      <c r="A328" s="105"/>
      <c r="B328" s="105"/>
      <c r="E328" s="105"/>
    </row>
    <row r="329">
      <c r="A329" s="105"/>
      <c r="B329" s="105"/>
      <c r="E329" s="105"/>
    </row>
    <row r="330">
      <c r="A330" s="105"/>
      <c r="B330" s="105"/>
      <c r="E330" s="105"/>
    </row>
    <row r="331">
      <c r="A331" s="105"/>
      <c r="B331" s="105"/>
      <c r="E331" s="105"/>
    </row>
    <row r="332">
      <c r="A332" s="105"/>
      <c r="B332" s="105"/>
      <c r="E332" s="105"/>
    </row>
    <row r="333">
      <c r="A333" s="105"/>
      <c r="B333" s="105"/>
      <c r="E333" s="105"/>
    </row>
    <row r="334">
      <c r="A334" s="105"/>
      <c r="B334" s="105"/>
      <c r="E334" s="105"/>
    </row>
    <row r="335">
      <c r="A335" s="105"/>
      <c r="B335" s="105"/>
      <c r="E335" s="105"/>
    </row>
    <row r="336">
      <c r="A336" s="105"/>
      <c r="B336" s="105"/>
      <c r="E336" s="105"/>
    </row>
    <row r="337">
      <c r="A337" s="105"/>
      <c r="B337" s="105"/>
      <c r="E337" s="105"/>
    </row>
    <row r="338">
      <c r="A338" s="105"/>
      <c r="B338" s="105"/>
      <c r="E338" s="105"/>
    </row>
    <row r="339">
      <c r="A339" s="105"/>
      <c r="B339" s="105"/>
      <c r="E339" s="105"/>
    </row>
    <row r="340">
      <c r="A340" s="105"/>
      <c r="B340" s="105"/>
      <c r="E340" s="105"/>
    </row>
    <row r="341">
      <c r="A341" s="105"/>
      <c r="B341" s="105"/>
      <c r="E341" s="105"/>
    </row>
    <row r="342">
      <c r="A342" s="105"/>
      <c r="B342" s="105"/>
      <c r="E342" s="105"/>
    </row>
    <row r="343">
      <c r="A343" s="105"/>
      <c r="B343" s="105"/>
      <c r="E343" s="105"/>
    </row>
    <row r="344">
      <c r="A344" s="105"/>
      <c r="B344" s="105"/>
      <c r="E344" s="105"/>
    </row>
    <row r="345">
      <c r="A345" s="105"/>
      <c r="B345" s="105"/>
      <c r="E345" s="105"/>
    </row>
    <row r="346">
      <c r="A346" s="105"/>
      <c r="B346" s="105"/>
      <c r="E346" s="105"/>
    </row>
    <row r="347">
      <c r="A347" s="105"/>
      <c r="B347" s="105"/>
      <c r="E347" s="105"/>
    </row>
    <row r="348">
      <c r="A348" s="105"/>
      <c r="B348" s="105"/>
      <c r="E348" s="105"/>
    </row>
    <row r="349">
      <c r="A349" s="105"/>
      <c r="B349" s="105"/>
      <c r="E349" s="105"/>
    </row>
    <row r="350">
      <c r="A350" s="105"/>
      <c r="B350" s="105"/>
      <c r="E350" s="105"/>
    </row>
    <row r="351">
      <c r="A351" s="105"/>
      <c r="B351" s="105"/>
      <c r="E351" s="105"/>
    </row>
    <row r="352">
      <c r="A352" s="105"/>
      <c r="B352" s="105"/>
      <c r="E352" s="105"/>
    </row>
    <row r="353">
      <c r="A353" s="105"/>
      <c r="B353" s="105"/>
      <c r="E353" s="105"/>
    </row>
    <row r="354">
      <c r="A354" s="105"/>
      <c r="B354" s="105"/>
      <c r="E354" s="105"/>
    </row>
    <row r="355">
      <c r="A355" s="105"/>
      <c r="B355" s="105"/>
      <c r="E355" s="105"/>
    </row>
    <row r="356">
      <c r="A356" s="105"/>
      <c r="B356" s="105"/>
      <c r="E356" s="105"/>
    </row>
    <row r="357">
      <c r="A357" s="105"/>
      <c r="B357" s="105"/>
      <c r="E357" s="105"/>
    </row>
    <row r="358">
      <c r="A358" s="105"/>
      <c r="B358" s="105"/>
      <c r="E358" s="105"/>
    </row>
    <row r="359">
      <c r="A359" s="105"/>
      <c r="B359" s="105"/>
      <c r="E359" s="105"/>
    </row>
    <row r="360">
      <c r="A360" s="105"/>
      <c r="B360" s="105"/>
      <c r="E360" s="105"/>
    </row>
    <row r="361">
      <c r="A361" s="105"/>
      <c r="B361" s="105"/>
      <c r="E361" s="105"/>
    </row>
    <row r="362">
      <c r="A362" s="105"/>
      <c r="B362" s="105"/>
      <c r="E362" s="105"/>
    </row>
    <row r="363">
      <c r="A363" s="105"/>
      <c r="B363" s="105"/>
      <c r="E363" s="105"/>
    </row>
    <row r="364">
      <c r="A364" s="105"/>
      <c r="B364" s="105"/>
      <c r="E364" s="105"/>
    </row>
    <row r="365">
      <c r="A365" s="105"/>
      <c r="B365" s="105"/>
      <c r="E365" s="105"/>
    </row>
    <row r="366">
      <c r="A366" s="105"/>
      <c r="B366" s="105"/>
      <c r="E366" s="105"/>
    </row>
    <row r="367">
      <c r="A367" s="105"/>
      <c r="B367" s="105"/>
      <c r="E367" s="105"/>
    </row>
    <row r="368">
      <c r="A368" s="105"/>
      <c r="B368" s="105"/>
      <c r="E368" s="105"/>
    </row>
    <row r="369">
      <c r="A369" s="105"/>
      <c r="B369" s="105"/>
      <c r="E369" s="105"/>
    </row>
    <row r="370">
      <c r="A370" s="105"/>
      <c r="B370" s="105"/>
      <c r="E370" s="105"/>
    </row>
    <row r="371">
      <c r="A371" s="105"/>
      <c r="B371" s="105"/>
      <c r="E371" s="105"/>
    </row>
    <row r="372">
      <c r="A372" s="105"/>
      <c r="B372" s="105"/>
      <c r="E372" s="105"/>
    </row>
    <row r="373">
      <c r="A373" s="105"/>
      <c r="B373" s="105"/>
      <c r="E373" s="105"/>
    </row>
    <row r="374">
      <c r="A374" s="105"/>
      <c r="B374" s="105"/>
      <c r="E374" s="105"/>
    </row>
    <row r="375">
      <c r="A375" s="105"/>
      <c r="B375" s="105"/>
      <c r="E375" s="105"/>
    </row>
    <row r="376">
      <c r="A376" s="105"/>
      <c r="B376" s="105"/>
      <c r="E376" s="105"/>
    </row>
    <row r="377">
      <c r="A377" s="105"/>
      <c r="B377" s="105"/>
      <c r="E377" s="105"/>
    </row>
    <row r="378">
      <c r="A378" s="105"/>
      <c r="B378" s="105"/>
      <c r="E378" s="105"/>
    </row>
    <row r="379">
      <c r="A379" s="105"/>
      <c r="B379" s="105"/>
      <c r="E379" s="105"/>
    </row>
    <row r="380">
      <c r="A380" s="105"/>
      <c r="B380" s="105"/>
      <c r="E380" s="105"/>
    </row>
    <row r="381">
      <c r="A381" s="105"/>
      <c r="B381" s="105"/>
      <c r="E381" s="105"/>
    </row>
    <row r="382">
      <c r="A382" s="105"/>
      <c r="B382" s="105"/>
      <c r="E382" s="105"/>
    </row>
    <row r="383">
      <c r="A383" s="105"/>
      <c r="B383" s="105"/>
      <c r="E383" s="105"/>
    </row>
    <row r="384">
      <c r="A384" s="105"/>
      <c r="B384" s="105"/>
      <c r="E384" s="105"/>
    </row>
    <row r="385">
      <c r="A385" s="105"/>
      <c r="B385" s="105"/>
      <c r="E385" s="105"/>
    </row>
    <row r="386">
      <c r="A386" s="105"/>
      <c r="B386" s="105"/>
      <c r="E386" s="105"/>
    </row>
    <row r="387">
      <c r="A387" s="105"/>
      <c r="B387" s="105"/>
      <c r="E387" s="105"/>
    </row>
    <row r="388">
      <c r="A388" s="105"/>
      <c r="B388" s="105"/>
      <c r="E388" s="105"/>
    </row>
    <row r="389">
      <c r="A389" s="105"/>
      <c r="B389" s="105"/>
      <c r="E389" s="105"/>
    </row>
    <row r="390">
      <c r="A390" s="105"/>
      <c r="B390" s="105"/>
      <c r="E390" s="105"/>
    </row>
    <row r="391">
      <c r="A391" s="105"/>
      <c r="B391" s="105"/>
      <c r="E391" s="105"/>
    </row>
    <row r="392">
      <c r="A392" s="105"/>
      <c r="B392" s="105"/>
      <c r="E392" s="105"/>
    </row>
    <row r="393">
      <c r="A393" s="105"/>
      <c r="B393" s="105"/>
      <c r="E393" s="105"/>
    </row>
    <row r="394">
      <c r="A394" s="105"/>
      <c r="B394" s="105"/>
      <c r="E394" s="105"/>
    </row>
    <row r="395">
      <c r="A395" s="105"/>
      <c r="B395" s="105"/>
      <c r="E395" s="105"/>
    </row>
    <row r="396">
      <c r="A396" s="105"/>
      <c r="B396" s="105"/>
      <c r="E396" s="105"/>
    </row>
    <row r="397">
      <c r="A397" s="105"/>
      <c r="B397" s="105"/>
      <c r="E397" s="105"/>
    </row>
    <row r="398">
      <c r="A398" s="105"/>
      <c r="B398" s="105"/>
      <c r="E398" s="105"/>
    </row>
    <row r="399">
      <c r="A399" s="105"/>
      <c r="B399" s="105"/>
      <c r="E399" s="105"/>
    </row>
    <row r="400">
      <c r="A400" s="105"/>
      <c r="B400" s="105"/>
      <c r="E400" s="105"/>
    </row>
    <row r="401">
      <c r="A401" s="105"/>
      <c r="B401" s="105"/>
      <c r="E401" s="105"/>
    </row>
    <row r="402">
      <c r="A402" s="105"/>
      <c r="B402" s="105"/>
      <c r="E402" s="105"/>
    </row>
    <row r="403">
      <c r="A403" s="105"/>
      <c r="B403" s="105"/>
      <c r="E403" s="105"/>
    </row>
    <row r="404">
      <c r="A404" s="105"/>
      <c r="B404" s="105"/>
      <c r="E404" s="105"/>
    </row>
    <row r="405">
      <c r="A405" s="105"/>
      <c r="B405" s="105"/>
      <c r="E405" s="105"/>
    </row>
    <row r="406">
      <c r="A406" s="105"/>
      <c r="B406" s="105"/>
      <c r="E406" s="105"/>
    </row>
    <row r="407">
      <c r="A407" s="105"/>
      <c r="B407" s="105"/>
      <c r="E407" s="105"/>
    </row>
    <row r="408">
      <c r="A408" s="105"/>
      <c r="B408" s="105"/>
      <c r="E408" s="105"/>
    </row>
    <row r="409">
      <c r="A409" s="105"/>
      <c r="B409" s="105"/>
      <c r="E409" s="105"/>
    </row>
    <row r="410">
      <c r="A410" s="105"/>
      <c r="B410" s="105"/>
      <c r="E410" s="105"/>
    </row>
    <row r="411">
      <c r="A411" s="105"/>
      <c r="B411" s="105"/>
      <c r="E411" s="105"/>
    </row>
    <row r="412">
      <c r="A412" s="105"/>
      <c r="B412" s="105"/>
      <c r="E412" s="105"/>
    </row>
    <row r="413">
      <c r="A413" s="105"/>
      <c r="B413" s="105"/>
      <c r="E413" s="105"/>
    </row>
    <row r="414">
      <c r="A414" s="105"/>
      <c r="B414" s="105"/>
      <c r="E414" s="105"/>
    </row>
    <row r="415">
      <c r="A415" s="105"/>
      <c r="B415" s="105"/>
      <c r="E415" s="105"/>
    </row>
    <row r="416">
      <c r="A416" s="105"/>
      <c r="B416" s="105"/>
      <c r="E416" s="105"/>
    </row>
    <row r="417">
      <c r="A417" s="105"/>
      <c r="B417" s="105"/>
      <c r="E417" s="105"/>
    </row>
    <row r="418">
      <c r="A418" s="105"/>
      <c r="B418" s="105"/>
      <c r="E418" s="105"/>
    </row>
    <row r="419">
      <c r="A419" s="105"/>
      <c r="B419" s="105"/>
      <c r="E419" s="105"/>
    </row>
    <row r="420">
      <c r="A420" s="105"/>
      <c r="B420" s="105"/>
      <c r="E420" s="105"/>
    </row>
    <row r="421">
      <c r="A421" s="105"/>
      <c r="B421" s="105"/>
      <c r="E421" s="105"/>
    </row>
    <row r="422">
      <c r="A422" s="105"/>
      <c r="B422" s="105"/>
      <c r="E422" s="105"/>
    </row>
    <row r="423">
      <c r="A423" s="105"/>
      <c r="B423" s="105"/>
      <c r="E423" s="105"/>
    </row>
    <row r="424">
      <c r="A424" s="105"/>
      <c r="B424" s="105"/>
      <c r="E424" s="105"/>
    </row>
    <row r="425">
      <c r="A425" s="105"/>
      <c r="B425" s="105"/>
      <c r="E425" s="105"/>
    </row>
    <row r="426">
      <c r="A426" s="105"/>
      <c r="B426" s="105"/>
      <c r="E426" s="105"/>
    </row>
    <row r="427">
      <c r="A427" s="105"/>
      <c r="B427" s="105"/>
      <c r="E427" s="105"/>
    </row>
    <row r="428">
      <c r="A428" s="105"/>
      <c r="B428" s="105"/>
      <c r="E428" s="105"/>
    </row>
    <row r="429">
      <c r="A429" s="105"/>
      <c r="B429" s="105"/>
      <c r="E429" s="105"/>
    </row>
    <row r="430">
      <c r="A430" s="105"/>
      <c r="B430" s="105"/>
      <c r="E430" s="105"/>
    </row>
    <row r="431">
      <c r="A431" s="105"/>
      <c r="B431" s="105"/>
      <c r="E431" s="105"/>
    </row>
    <row r="432">
      <c r="A432" s="105"/>
      <c r="B432" s="105"/>
      <c r="E432" s="105"/>
    </row>
    <row r="433">
      <c r="A433" s="105"/>
      <c r="B433" s="105"/>
      <c r="E433" s="105"/>
    </row>
    <row r="434">
      <c r="A434" s="105"/>
      <c r="B434" s="105"/>
      <c r="E434" s="105"/>
    </row>
    <row r="435">
      <c r="A435" s="105"/>
      <c r="B435" s="105"/>
      <c r="E435" s="105"/>
    </row>
    <row r="436">
      <c r="A436" s="105"/>
      <c r="B436" s="105"/>
      <c r="E436" s="105"/>
    </row>
    <row r="437">
      <c r="A437" s="105"/>
      <c r="B437" s="105"/>
      <c r="E437" s="105"/>
    </row>
    <row r="438">
      <c r="A438" s="105"/>
      <c r="B438" s="105"/>
      <c r="E438" s="105"/>
    </row>
    <row r="439">
      <c r="A439" s="105"/>
      <c r="B439" s="105"/>
      <c r="E439" s="105"/>
    </row>
    <row r="440">
      <c r="A440" s="105"/>
      <c r="B440" s="105"/>
      <c r="E440" s="105"/>
    </row>
    <row r="441">
      <c r="A441" s="105"/>
      <c r="B441" s="105"/>
      <c r="E441" s="105"/>
    </row>
    <row r="442">
      <c r="A442" s="105"/>
      <c r="B442" s="105"/>
      <c r="E442" s="105"/>
    </row>
    <row r="443">
      <c r="A443" s="105"/>
      <c r="B443" s="105"/>
      <c r="E443" s="105"/>
    </row>
    <row r="444">
      <c r="A444" s="105"/>
      <c r="B444" s="105"/>
      <c r="E444" s="105"/>
    </row>
    <row r="445">
      <c r="A445" s="105"/>
      <c r="B445" s="105"/>
      <c r="E445" s="105"/>
    </row>
    <row r="446">
      <c r="A446" s="105"/>
      <c r="B446" s="105"/>
      <c r="E446" s="105"/>
    </row>
    <row r="447">
      <c r="A447" s="105"/>
      <c r="B447" s="105"/>
      <c r="E447" s="105"/>
    </row>
    <row r="448">
      <c r="A448" s="105"/>
      <c r="B448" s="105"/>
      <c r="E448" s="105"/>
    </row>
    <row r="449">
      <c r="A449" s="105"/>
      <c r="B449" s="105"/>
      <c r="E449" s="105"/>
    </row>
    <row r="450">
      <c r="A450" s="105"/>
      <c r="B450" s="105"/>
      <c r="E450" s="105"/>
    </row>
    <row r="451">
      <c r="A451" s="105"/>
      <c r="B451" s="105"/>
      <c r="E451" s="105"/>
    </row>
    <row r="452">
      <c r="A452" s="105"/>
      <c r="B452" s="105"/>
      <c r="E452" s="105"/>
    </row>
    <row r="453">
      <c r="A453" s="105"/>
      <c r="B453" s="105"/>
      <c r="E453" s="105"/>
    </row>
    <row r="454">
      <c r="A454" s="105"/>
      <c r="B454" s="105"/>
      <c r="E454" s="105"/>
    </row>
    <row r="455">
      <c r="A455" s="105"/>
      <c r="B455" s="105"/>
      <c r="E455" s="105"/>
    </row>
    <row r="456">
      <c r="A456" s="105"/>
      <c r="B456" s="105"/>
      <c r="E456" s="105"/>
    </row>
    <row r="457">
      <c r="A457" s="105"/>
      <c r="B457" s="105"/>
      <c r="E457" s="105"/>
    </row>
    <row r="458">
      <c r="A458" s="105"/>
      <c r="B458" s="105"/>
      <c r="E458" s="105"/>
    </row>
    <row r="459">
      <c r="A459" s="105"/>
      <c r="B459" s="105"/>
      <c r="E459" s="105"/>
    </row>
    <row r="460">
      <c r="A460" s="105"/>
      <c r="B460" s="105"/>
      <c r="E460" s="105"/>
    </row>
    <row r="461">
      <c r="A461" s="105"/>
      <c r="B461" s="105"/>
      <c r="E461" s="105"/>
    </row>
    <row r="462">
      <c r="A462" s="105"/>
      <c r="B462" s="105"/>
      <c r="E462" s="105"/>
    </row>
    <row r="463">
      <c r="A463" s="105"/>
      <c r="B463" s="105"/>
      <c r="E463" s="105"/>
    </row>
    <row r="464">
      <c r="A464" s="105"/>
      <c r="B464" s="105"/>
      <c r="E464" s="105"/>
    </row>
    <row r="465">
      <c r="A465" s="105"/>
      <c r="B465" s="105"/>
      <c r="E465" s="105"/>
    </row>
    <row r="466">
      <c r="A466" s="105"/>
      <c r="B466" s="105"/>
      <c r="E466" s="105"/>
    </row>
    <row r="467">
      <c r="A467" s="105"/>
      <c r="B467" s="105"/>
      <c r="E467" s="105"/>
    </row>
    <row r="468">
      <c r="A468" s="105"/>
      <c r="B468" s="105"/>
      <c r="E468" s="105"/>
    </row>
    <row r="469">
      <c r="A469" s="105"/>
      <c r="B469" s="105"/>
      <c r="E469" s="105"/>
    </row>
    <row r="470">
      <c r="A470" s="105"/>
      <c r="B470" s="105"/>
      <c r="E470" s="105"/>
    </row>
    <row r="471">
      <c r="A471" s="105"/>
      <c r="B471" s="105"/>
      <c r="E471" s="105"/>
    </row>
    <row r="472">
      <c r="A472" s="105"/>
      <c r="B472" s="105"/>
      <c r="E472" s="105"/>
    </row>
    <row r="473">
      <c r="A473" s="105"/>
      <c r="B473" s="105"/>
      <c r="E473" s="105"/>
    </row>
    <row r="474">
      <c r="A474" s="105"/>
      <c r="B474" s="105"/>
      <c r="E474" s="105"/>
    </row>
    <row r="475">
      <c r="A475" s="105"/>
      <c r="B475" s="105"/>
      <c r="E475" s="105"/>
    </row>
    <row r="476">
      <c r="A476" s="105"/>
      <c r="B476" s="105"/>
      <c r="E476" s="105"/>
    </row>
    <row r="477">
      <c r="A477" s="105"/>
      <c r="B477" s="105"/>
      <c r="E477" s="105"/>
    </row>
    <row r="478">
      <c r="A478" s="105"/>
      <c r="B478" s="105"/>
      <c r="E478" s="105"/>
    </row>
    <row r="479">
      <c r="A479" s="105"/>
      <c r="B479" s="105"/>
      <c r="E479" s="105"/>
    </row>
    <row r="480">
      <c r="A480" s="105"/>
      <c r="B480" s="105"/>
      <c r="E480" s="105"/>
    </row>
    <row r="481">
      <c r="A481" s="105"/>
      <c r="B481" s="105"/>
      <c r="E481" s="105"/>
    </row>
    <row r="482">
      <c r="A482" s="105"/>
      <c r="B482" s="105"/>
      <c r="E482" s="105"/>
    </row>
    <row r="483">
      <c r="A483" s="105"/>
      <c r="B483" s="105"/>
      <c r="E483" s="105"/>
    </row>
    <row r="484">
      <c r="A484" s="105"/>
      <c r="B484" s="105"/>
      <c r="E484" s="105"/>
    </row>
    <row r="485">
      <c r="A485" s="105"/>
      <c r="B485" s="105"/>
      <c r="E485" s="105"/>
    </row>
    <row r="486">
      <c r="A486" s="105"/>
      <c r="B486" s="105"/>
      <c r="E486" s="105"/>
    </row>
    <row r="487">
      <c r="A487" s="105"/>
      <c r="B487" s="105"/>
      <c r="E487" s="105"/>
    </row>
    <row r="488">
      <c r="A488" s="105"/>
      <c r="B488" s="105"/>
      <c r="E488" s="105"/>
    </row>
    <row r="489">
      <c r="A489" s="105"/>
      <c r="B489" s="105"/>
      <c r="E489" s="105"/>
    </row>
    <row r="490">
      <c r="A490" s="105"/>
      <c r="B490" s="105"/>
      <c r="E490" s="105"/>
    </row>
    <row r="491">
      <c r="A491" s="105"/>
      <c r="B491" s="105"/>
      <c r="E491" s="105"/>
    </row>
    <row r="492">
      <c r="A492" s="105"/>
      <c r="B492" s="105"/>
      <c r="E492" s="105"/>
    </row>
    <row r="493">
      <c r="A493" s="105"/>
      <c r="B493" s="105"/>
      <c r="E493" s="105"/>
    </row>
    <row r="494">
      <c r="A494" s="105"/>
      <c r="B494" s="105"/>
      <c r="E494" s="105"/>
    </row>
    <row r="495">
      <c r="A495" s="105"/>
      <c r="B495" s="105"/>
      <c r="E495" s="105"/>
    </row>
    <row r="496">
      <c r="A496" s="105"/>
      <c r="B496" s="105"/>
      <c r="E496" s="105"/>
    </row>
    <row r="497">
      <c r="A497" s="105"/>
      <c r="B497" s="105"/>
      <c r="E497" s="105"/>
    </row>
    <row r="498">
      <c r="A498" s="105"/>
      <c r="B498" s="105"/>
      <c r="E498" s="105"/>
    </row>
    <row r="499">
      <c r="A499" s="105"/>
      <c r="B499" s="105"/>
      <c r="E499" s="105"/>
    </row>
    <row r="500">
      <c r="A500" s="105"/>
      <c r="B500" s="105"/>
      <c r="E500" s="105"/>
    </row>
    <row r="501">
      <c r="A501" s="105"/>
      <c r="B501" s="105"/>
      <c r="E501" s="105"/>
    </row>
    <row r="502">
      <c r="A502" s="105"/>
      <c r="B502" s="105"/>
      <c r="E502" s="105"/>
    </row>
    <row r="503">
      <c r="A503" s="105"/>
      <c r="B503" s="105"/>
      <c r="E503" s="105"/>
    </row>
    <row r="504">
      <c r="A504" s="105"/>
      <c r="B504" s="105"/>
      <c r="E504" s="105"/>
    </row>
    <row r="505">
      <c r="A505" s="105"/>
      <c r="B505" s="105"/>
      <c r="E505" s="105"/>
    </row>
    <row r="506">
      <c r="A506" s="105"/>
      <c r="B506" s="105"/>
      <c r="E506" s="105"/>
    </row>
    <row r="507">
      <c r="A507" s="105"/>
      <c r="B507" s="105"/>
      <c r="E507" s="105"/>
    </row>
    <row r="508">
      <c r="A508" s="105"/>
      <c r="B508" s="105"/>
      <c r="E508" s="105"/>
    </row>
    <row r="509">
      <c r="A509" s="105"/>
      <c r="B509" s="105"/>
      <c r="E509" s="105"/>
    </row>
    <row r="510">
      <c r="A510" s="105"/>
      <c r="B510" s="105"/>
      <c r="E510" s="105"/>
    </row>
    <row r="511">
      <c r="A511" s="105"/>
      <c r="B511" s="105"/>
      <c r="E511" s="105"/>
    </row>
    <row r="512">
      <c r="A512" s="105"/>
      <c r="B512" s="105"/>
      <c r="E512" s="105"/>
    </row>
    <row r="513">
      <c r="A513" s="105"/>
      <c r="B513" s="105"/>
      <c r="E513" s="105"/>
    </row>
    <row r="514">
      <c r="A514" s="105"/>
      <c r="B514" s="105"/>
      <c r="E514" s="105"/>
    </row>
    <row r="515">
      <c r="A515" s="105"/>
      <c r="B515" s="105"/>
      <c r="E515" s="105"/>
    </row>
    <row r="516">
      <c r="A516" s="105"/>
      <c r="B516" s="105"/>
      <c r="E516" s="105"/>
    </row>
    <row r="517">
      <c r="A517" s="105"/>
      <c r="B517" s="105"/>
      <c r="E517" s="105"/>
    </row>
    <row r="518">
      <c r="A518" s="105"/>
      <c r="B518" s="105"/>
      <c r="E518" s="105"/>
    </row>
    <row r="519">
      <c r="A519" s="105"/>
      <c r="B519" s="105"/>
      <c r="E519" s="105"/>
    </row>
    <row r="520">
      <c r="A520" s="105"/>
      <c r="B520" s="105"/>
      <c r="E520" s="105"/>
    </row>
    <row r="521">
      <c r="A521" s="105"/>
      <c r="B521" s="105"/>
      <c r="E521" s="105"/>
    </row>
    <row r="522">
      <c r="A522" s="105"/>
      <c r="B522" s="105"/>
      <c r="E522" s="105"/>
    </row>
    <row r="523">
      <c r="A523" s="105"/>
      <c r="B523" s="105"/>
      <c r="E523" s="105"/>
    </row>
    <row r="524">
      <c r="A524" s="105"/>
      <c r="B524" s="105"/>
      <c r="E524" s="105"/>
    </row>
    <row r="525">
      <c r="A525" s="105"/>
      <c r="B525" s="105"/>
      <c r="E525" s="105"/>
    </row>
    <row r="526">
      <c r="A526" s="105"/>
      <c r="B526" s="105"/>
      <c r="E526" s="105"/>
    </row>
    <row r="527">
      <c r="A527" s="105"/>
      <c r="B527" s="105"/>
      <c r="E527" s="105"/>
    </row>
    <row r="528">
      <c r="A528" s="105"/>
      <c r="B528" s="105"/>
      <c r="E528" s="105"/>
    </row>
    <row r="529">
      <c r="A529" s="105"/>
      <c r="B529" s="105"/>
      <c r="E529" s="105"/>
    </row>
    <row r="530">
      <c r="A530" s="105"/>
      <c r="B530" s="105"/>
      <c r="E530" s="105"/>
    </row>
    <row r="531">
      <c r="A531" s="105"/>
      <c r="B531" s="105"/>
      <c r="E531" s="105"/>
    </row>
    <row r="532">
      <c r="A532" s="105"/>
      <c r="B532" s="105"/>
      <c r="E532" s="105"/>
    </row>
    <row r="533">
      <c r="A533" s="105"/>
      <c r="B533" s="105"/>
      <c r="E533" s="105"/>
    </row>
    <row r="534">
      <c r="A534" s="105"/>
      <c r="B534" s="105"/>
      <c r="E534" s="105"/>
    </row>
    <row r="535">
      <c r="A535" s="105"/>
      <c r="B535" s="105"/>
      <c r="E535" s="105"/>
    </row>
    <row r="536">
      <c r="A536" s="105"/>
      <c r="B536" s="105"/>
      <c r="E536" s="105"/>
    </row>
    <row r="537">
      <c r="A537" s="105"/>
      <c r="B537" s="105"/>
      <c r="E537" s="105"/>
    </row>
    <row r="538">
      <c r="A538" s="105"/>
      <c r="B538" s="105"/>
      <c r="E538" s="105"/>
    </row>
    <row r="539">
      <c r="A539" s="105"/>
      <c r="B539" s="105"/>
      <c r="E539" s="105"/>
    </row>
    <row r="540">
      <c r="A540" s="105"/>
      <c r="B540" s="105"/>
      <c r="E540" s="105"/>
    </row>
    <row r="541">
      <c r="A541" s="105"/>
      <c r="B541" s="105"/>
      <c r="E541" s="105"/>
    </row>
    <row r="542">
      <c r="A542" s="105"/>
      <c r="B542" s="105"/>
      <c r="E542" s="105"/>
    </row>
    <row r="543">
      <c r="A543" s="105"/>
      <c r="B543" s="105"/>
      <c r="E543" s="105"/>
    </row>
    <row r="544">
      <c r="A544" s="105"/>
      <c r="B544" s="105"/>
      <c r="E544" s="105"/>
    </row>
    <row r="545">
      <c r="A545" s="105"/>
      <c r="B545" s="105"/>
      <c r="E545" s="105"/>
    </row>
    <row r="546">
      <c r="A546" s="105"/>
      <c r="B546" s="105"/>
      <c r="E546" s="105"/>
    </row>
    <row r="547">
      <c r="A547" s="105"/>
      <c r="B547" s="105"/>
      <c r="E547" s="105"/>
    </row>
    <row r="548">
      <c r="A548" s="105"/>
      <c r="B548" s="105"/>
      <c r="E548" s="105"/>
    </row>
    <row r="549">
      <c r="A549" s="105"/>
      <c r="B549" s="105"/>
      <c r="E549" s="105"/>
    </row>
    <row r="550">
      <c r="A550" s="105"/>
      <c r="B550" s="105"/>
      <c r="E550" s="105"/>
    </row>
    <row r="551">
      <c r="A551" s="105"/>
      <c r="B551" s="105"/>
      <c r="E551" s="105"/>
    </row>
    <row r="552">
      <c r="A552" s="105"/>
      <c r="B552" s="105"/>
      <c r="E552" s="105"/>
    </row>
    <row r="553">
      <c r="A553" s="105"/>
      <c r="B553" s="105"/>
      <c r="E553" s="105"/>
    </row>
    <row r="554">
      <c r="A554" s="105"/>
      <c r="B554" s="105"/>
      <c r="E554" s="105"/>
    </row>
    <row r="555">
      <c r="A555" s="105"/>
      <c r="B555" s="105"/>
      <c r="E555" s="105"/>
    </row>
    <row r="556">
      <c r="A556" s="105"/>
      <c r="B556" s="105"/>
      <c r="E556" s="105"/>
    </row>
    <row r="557">
      <c r="A557" s="105"/>
      <c r="B557" s="105"/>
      <c r="E557" s="105"/>
    </row>
    <row r="558">
      <c r="A558" s="105"/>
      <c r="B558" s="105"/>
      <c r="E558" s="105"/>
    </row>
    <row r="559">
      <c r="A559" s="105"/>
      <c r="B559" s="105"/>
      <c r="E559" s="105"/>
    </row>
    <row r="560">
      <c r="A560" s="105"/>
      <c r="B560" s="105"/>
      <c r="E560" s="105"/>
    </row>
    <row r="561">
      <c r="A561" s="105"/>
      <c r="B561" s="105"/>
      <c r="E561" s="105"/>
    </row>
    <row r="562">
      <c r="A562" s="105"/>
      <c r="B562" s="105"/>
      <c r="E562" s="105"/>
    </row>
    <row r="563">
      <c r="A563" s="105"/>
      <c r="B563" s="105"/>
      <c r="E563" s="105"/>
    </row>
    <row r="564">
      <c r="A564" s="105"/>
      <c r="B564" s="105"/>
      <c r="E564" s="105"/>
    </row>
    <row r="565">
      <c r="A565" s="105"/>
      <c r="B565" s="105"/>
      <c r="E565" s="105"/>
    </row>
    <row r="566">
      <c r="A566" s="105"/>
      <c r="B566" s="105"/>
      <c r="E566" s="105"/>
    </row>
    <row r="567">
      <c r="A567" s="105"/>
      <c r="B567" s="105"/>
      <c r="E567" s="105"/>
    </row>
    <row r="568">
      <c r="A568" s="105"/>
      <c r="B568" s="105"/>
      <c r="E568" s="105"/>
    </row>
    <row r="569">
      <c r="A569" s="105"/>
      <c r="B569" s="105"/>
      <c r="E569" s="105"/>
    </row>
    <row r="570">
      <c r="A570" s="105"/>
      <c r="B570" s="105"/>
      <c r="E570" s="105"/>
    </row>
    <row r="571">
      <c r="A571" s="105"/>
      <c r="B571" s="105"/>
      <c r="E571" s="105"/>
    </row>
    <row r="572">
      <c r="A572" s="105"/>
      <c r="B572" s="105"/>
      <c r="E572" s="105"/>
    </row>
    <row r="573">
      <c r="A573" s="105"/>
      <c r="B573" s="105"/>
      <c r="E573" s="105"/>
    </row>
    <row r="574">
      <c r="A574" s="105"/>
      <c r="B574" s="105"/>
      <c r="E574" s="105"/>
    </row>
    <row r="575">
      <c r="A575" s="105"/>
      <c r="B575" s="105"/>
      <c r="E575" s="105"/>
    </row>
    <row r="576">
      <c r="A576" s="105"/>
      <c r="B576" s="105"/>
      <c r="E576" s="105"/>
    </row>
    <row r="577">
      <c r="A577" s="105"/>
      <c r="B577" s="105"/>
      <c r="E577" s="105"/>
    </row>
    <row r="578">
      <c r="A578" s="105"/>
      <c r="B578" s="105"/>
      <c r="E578" s="105"/>
    </row>
    <row r="579">
      <c r="A579" s="105"/>
      <c r="B579" s="105"/>
      <c r="E579" s="105"/>
    </row>
    <row r="580">
      <c r="A580" s="105"/>
      <c r="B580" s="105"/>
      <c r="E580" s="105"/>
    </row>
    <row r="581">
      <c r="A581" s="105"/>
      <c r="B581" s="105"/>
      <c r="E581" s="105"/>
    </row>
    <row r="582">
      <c r="A582" s="105"/>
      <c r="B582" s="105"/>
      <c r="E582" s="105"/>
    </row>
    <row r="583">
      <c r="A583" s="105"/>
      <c r="B583" s="105"/>
      <c r="E583" s="105"/>
    </row>
    <row r="584">
      <c r="A584" s="105"/>
      <c r="B584" s="105"/>
      <c r="E584" s="105"/>
    </row>
    <row r="585">
      <c r="A585" s="105"/>
      <c r="B585" s="105"/>
      <c r="E585" s="105"/>
    </row>
    <row r="586">
      <c r="A586" s="105"/>
      <c r="B586" s="105"/>
      <c r="E586" s="105"/>
    </row>
    <row r="587">
      <c r="A587" s="105"/>
      <c r="B587" s="105"/>
      <c r="E587" s="105"/>
    </row>
    <row r="588">
      <c r="A588" s="105"/>
      <c r="B588" s="105"/>
      <c r="E588" s="105"/>
    </row>
    <row r="589">
      <c r="A589" s="105"/>
      <c r="B589" s="105"/>
      <c r="E589" s="105"/>
    </row>
    <row r="590">
      <c r="A590" s="105"/>
      <c r="B590" s="105"/>
      <c r="E590" s="105"/>
    </row>
    <row r="591">
      <c r="A591" s="105"/>
      <c r="B591" s="105"/>
      <c r="E591" s="105"/>
    </row>
    <row r="592">
      <c r="A592" s="105"/>
      <c r="B592" s="105"/>
      <c r="E592" s="105"/>
    </row>
    <row r="593">
      <c r="A593" s="105"/>
      <c r="B593" s="105"/>
      <c r="E593" s="105"/>
    </row>
    <row r="594">
      <c r="A594" s="105"/>
      <c r="B594" s="105"/>
      <c r="E594" s="105"/>
    </row>
    <row r="595">
      <c r="A595" s="105"/>
      <c r="B595" s="105"/>
      <c r="E595" s="105"/>
    </row>
    <row r="596">
      <c r="A596" s="105"/>
      <c r="B596" s="105"/>
      <c r="E596" s="105"/>
    </row>
    <row r="597">
      <c r="A597" s="105"/>
      <c r="B597" s="105"/>
      <c r="E597" s="105"/>
    </row>
    <row r="598">
      <c r="A598" s="105"/>
      <c r="B598" s="105"/>
      <c r="E598" s="105"/>
    </row>
    <row r="599">
      <c r="A599" s="105"/>
      <c r="B599" s="105"/>
      <c r="E599" s="105"/>
    </row>
    <row r="600">
      <c r="A600" s="105"/>
      <c r="B600" s="105"/>
      <c r="E600" s="105"/>
    </row>
    <row r="601">
      <c r="A601" s="105"/>
      <c r="B601" s="105"/>
      <c r="E601" s="105"/>
    </row>
    <row r="602">
      <c r="A602" s="105"/>
      <c r="B602" s="105"/>
      <c r="E602" s="105"/>
    </row>
    <row r="603">
      <c r="A603" s="105"/>
      <c r="B603" s="105"/>
      <c r="E603" s="105"/>
    </row>
    <row r="604">
      <c r="A604" s="105"/>
      <c r="B604" s="105"/>
      <c r="E604" s="105"/>
    </row>
    <row r="605">
      <c r="A605" s="105"/>
      <c r="B605" s="105"/>
      <c r="E605" s="105"/>
    </row>
    <row r="606">
      <c r="A606" s="105"/>
      <c r="B606" s="105"/>
      <c r="E606" s="105"/>
    </row>
    <row r="607">
      <c r="A607" s="105"/>
      <c r="B607" s="105"/>
      <c r="E607" s="105"/>
    </row>
    <row r="608">
      <c r="A608" s="105"/>
      <c r="B608" s="105"/>
      <c r="E608" s="105"/>
    </row>
    <row r="609">
      <c r="A609" s="105"/>
      <c r="B609" s="105"/>
      <c r="E609" s="105"/>
    </row>
    <row r="610">
      <c r="A610" s="105"/>
      <c r="B610" s="105"/>
      <c r="E610" s="105"/>
    </row>
    <row r="611">
      <c r="A611" s="105"/>
      <c r="B611" s="105"/>
      <c r="E611" s="105"/>
    </row>
    <row r="612">
      <c r="A612" s="105"/>
      <c r="B612" s="105"/>
      <c r="E612" s="105"/>
    </row>
    <row r="613">
      <c r="A613" s="105"/>
      <c r="B613" s="105"/>
      <c r="E613" s="105"/>
    </row>
    <row r="614">
      <c r="A614" s="105"/>
      <c r="B614" s="105"/>
      <c r="E614" s="105"/>
    </row>
    <row r="615">
      <c r="A615" s="105"/>
      <c r="B615" s="105"/>
      <c r="E615" s="105"/>
    </row>
    <row r="616">
      <c r="A616" s="105"/>
      <c r="B616" s="105"/>
      <c r="E616" s="105"/>
    </row>
    <row r="617">
      <c r="A617" s="105"/>
      <c r="B617" s="105"/>
      <c r="E617" s="105"/>
    </row>
    <row r="618">
      <c r="A618" s="105"/>
      <c r="B618" s="105"/>
      <c r="E618" s="105"/>
    </row>
    <row r="619">
      <c r="A619" s="105"/>
      <c r="B619" s="105"/>
      <c r="E619" s="105"/>
    </row>
    <row r="620">
      <c r="A620" s="105"/>
      <c r="B620" s="105"/>
      <c r="E620" s="105"/>
    </row>
    <row r="621">
      <c r="A621" s="105"/>
      <c r="B621" s="105"/>
      <c r="E621" s="105"/>
    </row>
    <row r="622">
      <c r="A622" s="105"/>
      <c r="B622" s="105"/>
      <c r="E622" s="105"/>
    </row>
    <row r="623">
      <c r="A623" s="105"/>
      <c r="B623" s="105"/>
      <c r="E623" s="105"/>
    </row>
    <row r="624">
      <c r="A624" s="105"/>
      <c r="B624" s="105"/>
      <c r="E624" s="105"/>
    </row>
    <row r="625">
      <c r="A625" s="105"/>
      <c r="B625" s="105"/>
      <c r="E625" s="105"/>
    </row>
    <row r="626">
      <c r="A626" s="105"/>
      <c r="B626" s="105"/>
      <c r="E626" s="105"/>
    </row>
    <row r="627">
      <c r="A627" s="105"/>
      <c r="B627" s="105"/>
      <c r="E627" s="105"/>
    </row>
    <row r="628">
      <c r="A628" s="105"/>
      <c r="B628" s="105"/>
      <c r="E628" s="105"/>
    </row>
    <row r="629">
      <c r="A629" s="105"/>
      <c r="B629" s="105"/>
      <c r="E629" s="105"/>
    </row>
    <row r="630">
      <c r="A630" s="105"/>
      <c r="B630" s="105"/>
      <c r="E630" s="105"/>
    </row>
    <row r="631">
      <c r="A631" s="105"/>
      <c r="B631" s="105"/>
      <c r="E631" s="105"/>
    </row>
    <row r="632">
      <c r="A632" s="105"/>
      <c r="B632" s="105"/>
      <c r="E632" s="105"/>
    </row>
    <row r="633">
      <c r="A633" s="105"/>
      <c r="B633" s="105"/>
      <c r="E633" s="105"/>
    </row>
    <row r="634">
      <c r="A634" s="105"/>
      <c r="B634" s="105"/>
      <c r="E634" s="105"/>
    </row>
    <row r="635">
      <c r="A635" s="105"/>
      <c r="B635" s="105"/>
      <c r="E635" s="105"/>
    </row>
    <row r="636">
      <c r="A636" s="105"/>
      <c r="B636" s="105"/>
      <c r="E636" s="105"/>
    </row>
    <row r="637">
      <c r="A637" s="105"/>
      <c r="B637" s="105"/>
      <c r="E637" s="105"/>
    </row>
    <row r="638">
      <c r="A638" s="105"/>
      <c r="B638" s="105"/>
      <c r="E638" s="105"/>
    </row>
    <row r="639">
      <c r="A639" s="105"/>
      <c r="B639" s="105"/>
      <c r="E639" s="105"/>
    </row>
    <row r="640">
      <c r="A640" s="105"/>
      <c r="B640" s="105"/>
      <c r="E640" s="105"/>
    </row>
    <row r="641">
      <c r="A641" s="105"/>
      <c r="B641" s="105"/>
      <c r="E641" s="105"/>
    </row>
    <row r="642">
      <c r="A642" s="105"/>
      <c r="B642" s="105"/>
      <c r="E642" s="105"/>
    </row>
    <row r="643">
      <c r="A643" s="105"/>
      <c r="B643" s="105"/>
      <c r="E643" s="105"/>
    </row>
    <row r="644">
      <c r="A644" s="105"/>
      <c r="B644" s="105"/>
      <c r="E644" s="105"/>
    </row>
    <row r="645">
      <c r="A645" s="105"/>
      <c r="B645" s="105"/>
      <c r="E645" s="105"/>
    </row>
    <row r="646">
      <c r="A646" s="105"/>
      <c r="B646" s="105"/>
      <c r="E646" s="105"/>
    </row>
    <row r="647">
      <c r="A647" s="105"/>
      <c r="B647" s="105"/>
      <c r="E647" s="105"/>
    </row>
    <row r="648">
      <c r="A648" s="105"/>
      <c r="B648" s="105"/>
      <c r="E648" s="105"/>
    </row>
    <row r="649">
      <c r="A649" s="105"/>
      <c r="B649" s="105"/>
      <c r="E649" s="105"/>
    </row>
    <row r="650">
      <c r="A650" s="105"/>
      <c r="B650" s="105"/>
      <c r="E650" s="105"/>
    </row>
    <row r="651">
      <c r="A651" s="105"/>
      <c r="B651" s="105"/>
      <c r="E651" s="105"/>
    </row>
    <row r="652">
      <c r="A652" s="105"/>
      <c r="B652" s="105"/>
      <c r="E652" s="105"/>
    </row>
    <row r="653">
      <c r="A653" s="105"/>
      <c r="B653" s="105"/>
      <c r="E653" s="105"/>
    </row>
    <row r="654">
      <c r="A654" s="105"/>
      <c r="B654" s="105"/>
      <c r="E654" s="105"/>
    </row>
    <row r="655">
      <c r="A655" s="105"/>
      <c r="B655" s="105"/>
      <c r="E655" s="105"/>
    </row>
    <row r="656">
      <c r="A656" s="105"/>
      <c r="B656" s="105"/>
      <c r="E656" s="105"/>
    </row>
    <row r="657">
      <c r="A657" s="105"/>
      <c r="B657" s="105"/>
      <c r="E657" s="105"/>
    </row>
    <row r="658">
      <c r="A658" s="105"/>
      <c r="B658" s="105"/>
      <c r="E658" s="105"/>
    </row>
    <row r="659">
      <c r="A659" s="105"/>
      <c r="B659" s="105"/>
      <c r="E659" s="105"/>
    </row>
    <row r="660">
      <c r="A660" s="105"/>
      <c r="B660" s="105"/>
      <c r="E660" s="105"/>
    </row>
    <row r="661">
      <c r="A661" s="105"/>
      <c r="B661" s="105"/>
      <c r="E661" s="105"/>
    </row>
    <row r="662">
      <c r="A662" s="105"/>
      <c r="B662" s="105"/>
      <c r="E662" s="105"/>
    </row>
    <row r="663">
      <c r="A663" s="105"/>
      <c r="B663" s="105"/>
      <c r="E663" s="105"/>
    </row>
    <row r="664">
      <c r="A664" s="105"/>
      <c r="B664" s="105"/>
      <c r="E664" s="105"/>
    </row>
    <row r="665">
      <c r="A665" s="105"/>
      <c r="B665" s="105"/>
      <c r="E665" s="105"/>
    </row>
    <row r="666">
      <c r="A666" s="105"/>
      <c r="B666" s="105"/>
      <c r="E666" s="105"/>
    </row>
    <row r="667">
      <c r="A667" s="105"/>
      <c r="B667" s="105"/>
      <c r="E667" s="105"/>
    </row>
    <row r="668">
      <c r="A668" s="105"/>
      <c r="B668" s="105"/>
      <c r="E668" s="105"/>
    </row>
    <row r="669">
      <c r="A669" s="105"/>
      <c r="B669" s="105"/>
      <c r="E669" s="105"/>
    </row>
    <row r="670">
      <c r="A670" s="105"/>
      <c r="B670" s="105"/>
      <c r="E670" s="105"/>
    </row>
    <row r="671">
      <c r="A671" s="105"/>
      <c r="B671" s="105"/>
      <c r="E671" s="105"/>
    </row>
    <row r="672">
      <c r="A672" s="105"/>
      <c r="B672" s="105"/>
      <c r="E672" s="105"/>
    </row>
    <row r="673">
      <c r="A673" s="105"/>
      <c r="B673" s="105"/>
      <c r="E673" s="105"/>
    </row>
    <row r="674">
      <c r="A674" s="105"/>
      <c r="B674" s="105"/>
      <c r="E674" s="105"/>
    </row>
    <row r="675">
      <c r="A675" s="105"/>
      <c r="B675" s="105"/>
      <c r="E675" s="105"/>
    </row>
    <row r="676">
      <c r="A676" s="105"/>
      <c r="B676" s="105"/>
      <c r="E676" s="105"/>
    </row>
    <row r="677">
      <c r="A677" s="105"/>
      <c r="B677" s="105"/>
      <c r="E677" s="105"/>
    </row>
    <row r="678">
      <c r="A678" s="105"/>
      <c r="B678" s="105"/>
      <c r="E678" s="105"/>
    </row>
    <row r="679">
      <c r="A679" s="105"/>
      <c r="B679" s="105"/>
      <c r="E679" s="105"/>
    </row>
    <row r="680">
      <c r="A680" s="105"/>
      <c r="B680" s="105"/>
      <c r="E680" s="105"/>
    </row>
    <row r="681">
      <c r="A681" s="105"/>
      <c r="B681" s="105"/>
      <c r="E681" s="105"/>
    </row>
    <row r="682">
      <c r="A682" s="105"/>
      <c r="B682" s="105"/>
      <c r="E682" s="105"/>
    </row>
    <row r="683">
      <c r="A683" s="105"/>
      <c r="B683" s="105"/>
      <c r="E683" s="105"/>
    </row>
    <row r="684">
      <c r="A684" s="105"/>
      <c r="B684" s="105"/>
      <c r="E684" s="105"/>
    </row>
    <row r="685">
      <c r="A685" s="105"/>
      <c r="B685" s="105"/>
      <c r="E685" s="105"/>
    </row>
    <row r="686">
      <c r="A686" s="105"/>
      <c r="B686" s="105"/>
      <c r="E686" s="105"/>
    </row>
    <row r="687">
      <c r="A687" s="105"/>
      <c r="B687" s="105"/>
      <c r="E687" s="105"/>
    </row>
    <row r="688">
      <c r="A688" s="105"/>
      <c r="B688" s="105"/>
      <c r="E688" s="105"/>
    </row>
    <row r="689">
      <c r="A689" s="105"/>
      <c r="B689" s="105"/>
      <c r="E689" s="105"/>
    </row>
    <row r="690">
      <c r="A690" s="105"/>
      <c r="B690" s="105"/>
      <c r="E690" s="105"/>
    </row>
    <row r="691">
      <c r="A691" s="105"/>
      <c r="B691" s="105"/>
      <c r="E691" s="105"/>
    </row>
    <row r="692">
      <c r="A692" s="105"/>
      <c r="B692" s="105"/>
      <c r="E692" s="105"/>
    </row>
    <row r="693">
      <c r="A693" s="105"/>
      <c r="B693" s="105"/>
      <c r="E693" s="105"/>
    </row>
    <row r="694">
      <c r="A694" s="105"/>
      <c r="B694" s="105"/>
      <c r="E694" s="105"/>
    </row>
    <row r="695">
      <c r="A695" s="105"/>
      <c r="B695" s="105"/>
      <c r="E695" s="105"/>
    </row>
    <row r="696">
      <c r="A696" s="105"/>
      <c r="B696" s="105"/>
      <c r="E696" s="105"/>
    </row>
    <row r="697">
      <c r="A697" s="105"/>
      <c r="B697" s="105"/>
      <c r="E697" s="105"/>
    </row>
    <row r="698">
      <c r="A698" s="105"/>
      <c r="B698" s="105"/>
      <c r="E698" s="105"/>
    </row>
    <row r="699">
      <c r="A699" s="105"/>
      <c r="B699" s="105"/>
      <c r="E699" s="105"/>
    </row>
    <row r="700">
      <c r="A700" s="105"/>
      <c r="B700" s="105"/>
      <c r="E700" s="105"/>
    </row>
    <row r="701">
      <c r="A701" s="105"/>
      <c r="B701" s="105"/>
      <c r="E701" s="105"/>
    </row>
    <row r="702">
      <c r="A702" s="105"/>
      <c r="B702" s="105"/>
      <c r="E702" s="105"/>
    </row>
    <row r="703">
      <c r="A703" s="105"/>
      <c r="B703" s="105"/>
      <c r="E703" s="105"/>
    </row>
    <row r="704">
      <c r="A704" s="105"/>
      <c r="B704" s="105"/>
      <c r="E704" s="105"/>
    </row>
    <row r="705">
      <c r="A705" s="105"/>
      <c r="B705" s="105"/>
      <c r="E705" s="105"/>
    </row>
    <row r="706">
      <c r="A706" s="105"/>
      <c r="B706" s="105"/>
      <c r="E706" s="105"/>
    </row>
    <row r="707">
      <c r="A707" s="105"/>
      <c r="B707" s="105"/>
      <c r="E707" s="105"/>
    </row>
    <row r="708">
      <c r="A708" s="105"/>
      <c r="B708" s="105"/>
      <c r="E708" s="105"/>
    </row>
    <row r="709">
      <c r="A709" s="105"/>
      <c r="B709" s="105"/>
      <c r="E709" s="105"/>
    </row>
    <row r="710">
      <c r="A710" s="105"/>
      <c r="B710" s="105"/>
      <c r="E710" s="105"/>
    </row>
    <row r="711">
      <c r="A711" s="105"/>
      <c r="B711" s="105"/>
      <c r="E711" s="105"/>
    </row>
    <row r="712">
      <c r="A712" s="105"/>
      <c r="B712" s="105"/>
      <c r="E712" s="105"/>
    </row>
    <row r="713">
      <c r="A713" s="105"/>
      <c r="B713" s="105"/>
      <c r="E713" s="105"/>
    </row>
    <row r="714">
      <c r="A714" s="105"/>
      <c r="B714" s="105"/>
      <c r="E714" s="105"/>
    </row>
    <row r="715">
      <c r="A715" s="105"/>
      <c r="B715" s="105"/>
      <c r="E715" s="105"/>
    </row>
    <row r="716">
      <c r="A716" s="105"/>
      <c r="B716" s="105"/>
      <c r="E716" s="105"/>
    </row>
    <row r="717">
      <c r="A717" s="105"/>
      <c r="B717" s="105"/>
      <c r="E717" s="105"/>
    </row>
    <row r="718">
      <c r="A718" s="105"/>
      <c r="B718" s="105"/>
      <c r="E718" s="105"/>
    </row>
    <row r="719">
      <c r="A719" s="105"/>
      <c r="B719" s="105"/>
      <c r="E719" s="105"/>
    </row>
    <row r="720">
      <c r="A720" s="105"/>
      <c r="B720" s="105"/>
      <c r="E720" s="105"/>
    </row>
    <row r="721">
      <c r="A721" s="105"/>
      <c r="B721" s="105"/>
      <c r="E721" s="105"/>
    </row>
    <row r="722">
      <c r="A722" s="105"/>
      <c r="B722" s="105"/>
      <c r="E722" s="105"/>
    </row>
    <row r="723">
      <c r="A723" s="105"/>
      <c r="B723" s="105"/>
      <c r="E723" s="105"/>
    </row>
    <row r="724">
      <c r="A724" s="105"/>
      <c r="B724" s="105"/>
      <c r="E724" s="105"/>
    </row>
    <row r="725">
      <c r="A725" s="105"/>
      <c r="B725" s="105"/>
      <c r="E725" s="105"/>
    </row>
    <row r="726">
      <c r="A726" s="105"/>
      <c r="B726" s="105"/>
      <c r="E726" s="105"/>
    </row>
    <row r="727">
      <c r="A727" s="105"/>
      <c r="B727" s="105"/>
      <c r="E727" s="105"/>
    </row>
    <row r="728">
      <c r="A728" s="105"/>
      <c r="B728" s="105"/>
      <c r="E728" s="105"/>
    </row>
    <row r="729">
      <c r="A729" s="105"/>
      <c r="B729" s="105"/>
      <c r="E729" s="105"/>
    </row>
    <row r="730">
      <c r="A730" s="105"/>
      <c r="B730" s="105"/>
      <c r="E730" s="105"/>
    </row>
    <row r="731">
      <c r="A731" s="105"/>
      <c r="B731" s="105"/>
      <c r="E731" s="105"/>
    </row>
    <row r="732">
      <c r="A732" s="105"/>
      <c r="B732" s="105"/>
      <c r="E732" s="105"/>
    </row>
    <row r="733">
      <c r="A733" s="105"/>
      <c r="B733" s="105"/>
      <c r="E733" s="105"/>
    </row>
    <row r="734">
      <c r="A734" s="105"/>
      <c r="B734" s="105"/>
      <c r="E734" s="105"/>
    </row>
    <row r="735">
      <c r="A735" s="105"/>
      <c r="B735" s="105"/>
      <c r="E735" s="105"/>
    </row>
    <row r="736">
      <c r="A736" s="105"/>
      <c r="B736" s="105"/>
      <c r="E736" s="105"/>
    </row>
    <row r="737">
      <c r="A737" s="105"/>
      <c r="B737" s="105"/>
      <c r="E737" s="105"/>
    </row>
    <row r="738">
      <c r="A738" s="105"/>
      <c r="B738" s="105"/>
      <c r="E738" s="105"/>
    </row>
    <row r="739">
      <c r="A739" s="105"/>
      <c r="B739" s="105"/>
      <c r="E739" s="105"/>
    </row>
    <row r="740">
      <c r="A740" s="105"/>
      <c r="B740" s="105"/>
      <c r="E740" s="105"/>
    </row>
    <row r="741">
      <c r="A741" s="105"/>
      <c r="B741" s="105"/>
      <c r="E741" s="105"/>
    </row>
    <row r="742">
      <c r="A742" s="105"/>
      <c r="B742" s="105"/>
      <c r="E742" s="105"/>
    </row>
    <row r="743">
      <c r="A743" s="105"/>
      <c r="B743" s="105"/>
      <c r="E743" s="105"/>
    </row>
    <row r="744">
      <c r="A744" s="105"/>
      <c r="B744" s="105"/>
      <c r="E744" s="105"/>
    </row>
    <row r="745">
      <c r="A745" s="105"/>
      <c r="B745" s="105"/>
      <c r="E745" s="105"/>
    </row>
    <row r="746">
      <c r="A746" s="105"/>
      <c r="B746" s="105"/>
      <c r="E746" s="105"/>
    </row>
    <row r="747">
      <c r="A747" s="105"/>
      <c r="B747" s="105"/>
      <c r="E747" s="105"/>
    </row>
    <row r="748">
      <c r="A748" s="105"/>
      <c r="B748" s="105"/>
      <c r="E748" s="105"/>
    </row>
    <row r="749">
      <c r="A749" s="105"/>
      <c r="B749" s="105"/>
      <c r="E749" s="105"/>
    </row>
    <row r="750">
      <c r="A750" s="105"/>
      <c r="B750" s="105"/>
      <c r="E750" s="105"/>
    </row>
    <row r="751">
      <c r="A751" s="105"/>
      <c r="B751" s="105"/>
      <c r="E751" s="105"/>
    </row>
    <row r="752">
      <c r="A752" s="105"/>
      <c r="B752" s="105"/>
      <c r="E752" s="105"/>
    </row>
    <row r="753">
      <c r="A753" s="105"/>
      <c r="B753" s="105"/>
      <c r="E753" s="105"/>
    </row>
    <row r="754">
      <c r="A754" s="105"/>
      <c r="B754" s="105"/>
      <c r="E754" s="105"/>
    </row>
    <row r="755">
      <c r="A755" s="105"/>
      <c r="B755" s="105"/>
      <c r="E755" s="105"/>
    </row>
    <row r="756">
      <c r="A756" s="105"/>
      <c r="B756" s="105"/>
      <c r="E756" s="105"/>
    </row>
    <row r="757">
      <c r="A757" s="105"/>
      <c r="B757" s="105"/>
      <c r="E757" s="105"/>
    </row>
    <row r="758">
      <c r="A758" s="105"/>
      <c r="B758" s="105"/>
      <c r="E758" s="105"/>
    </row>
    <row r="759">
      <c r="A759" s="105"/>
      <c r="B759" s="105"/>
      <c r="E759" s="105"/>
    </row>
    <row r="760">
      <c r="A760" s="105"/>
      <c r="B760" s="105"/>
      <c r="E760" s="105"/>
    </row>
    <row r="761">
      <c r="A761" s="105"/>
      <c r="B761" s="105"/>
      <c r="E761" s="105"/>
    </row>
    <row r="762">
      <c r="A762" s="105"/>
      <c r="B762" s="105"/>
      <c r="E762" s="105"/>
    </row>
    <row r="763">
      <c r="A763" s="105"/>
      <c r="B763" s="105"/>
      <c r="E763" s="105"/>
    </row>
    <row r="764">
      <c r="A764" s="105"/>
      <c r="B764" s="105"/>
      <c r="E764" s="105"/>
    </row>
    <row r="765">
      <c r="A765" s="105"/>
      <c r="B765" s="105"/>
      <c r="E765" s="105"/>
    </row>
    <row r="766">
      <c r="A766" s="105"/>
      <c r="B766" s="105"/>
      <c r="E766" s="105"/>
    </row>
    <row r="767">
      <c r="A767" s="105"/>
      <c r="B767" s="105"/>
      <c r="E767" s="105"/>
    </row>
    <row r="768">
      <c r="A768" s="105"/>
      <c r="B768" s="105"/>
      <c r="E768" s="105"/>
    </row>
    <row r="769">
      <c r="A769" s="105"/>
      <c r="B769" s="105"/>
      <c r="E769" s="105"/>
    </row>
    <row r="770">
      <c r="A770" s="105"/>
      <c r="B770" s="105"/>
      <c r="E770" s="105"/>
    </row>
    <row r="771">
      <c r="A771" s="105"/>
      <c r="B771" s="105"/>
      <c r="E771" s="105"/>
    </row>
    <row r="772">
      <c r="A772" s="105"/>
      <c r="B772" s="105"/>
      <c r="E772" s="105"/>
    </row>
    <row r="773">
      <c r="A773" s="105"/>
      <c r="B773" s="105"/>
      <c r="E773" s="105"/>
    </row>
    <row r="774">
      <c r="A774" s="105"/>
      <c r="B774" s="105"/>
      <c r="E774" s="105"/>
    </row>
    <row r="775">
      <c r="A775" s="105"/>
      <c r="B775" s="105"/>
      <c r="E775" s="105"/>
    </row>
    <row r="776">
      <c r="A776" s="105"/>
      <c r="B776" s="105"/>
      <c r="E776" s="105"/>
    </row>
    <row r="777">
      <c r="A777" s="105"/>
      <c r="B777" s="105"/>
      <c r="E777" s="105"/>
    </row>
    <row r="778">
      <c r="A778" s="105"/>
      <c r="B778" s="105"/>
      <c r="E778" s="105"/>
    </row>
    <row r="779">
      <c r="A779" s="105"/>
      <c r="B779" s="105"/>
      <c r="E779" s="105"/>
    </row>
    <row r="780">
      <c r="A780" s="105"/>
      <c r="B780" s="105"/>
      <c r="E780" s="105"/>
    </row>
    <row r="781">
      <c r="A781" s="105"/>
      <c r="B781" s="105"/>
      <c r="E781" s="105"/>
    </row>
    <row r="782">
      <c r="A782" s="105"/>
      <c r="B782" s="105"/>
      <c r="E782" s="105"/>
    </row>
    <row r="783">
      <c r="A783" s="105"/>
      <c r="B783" s="105"/>
      <c r="E783" s="105"/>
    </row>
    <row r="784">
      <c r="A784" s="105"/>
      <c r="B784" s="105"/>
      <c r="E784" s="105"/>
    </row>
    <row r="785">
      <c r="A785" s="105"/>
      <c r="B785" s="105"/>
      <c r="E785" s="105"/>
    </row>
    <row r="786">
      <c r="A786" s="105"/>
      <c r="B786" s="105"/>
      <c r="E786" s="105"/>
    </row>
    <row r="787">
      <c r="A787" s="105"/>
      <c r="B787" s="105"/>
      <c r="E787" s="105"/>
    </row>
    <row r="788">
      <c r="A788" s="105"/>
      <c r="B788" s="105"/>
      <c r="E788" s="105"/>
    </row>
    <row r="789">
      <c r="A789" s="105"/>
      <c r="B789" s="105"/>
      <c r="E789" s="105"/>
    </row>
    <row r="790">
      <c r="A790" s="105"/>
      <c r="B790" s="105"/>
      <c r="E790" s="105"/>
    </row>
    <row r="791">
      <c r="A791" s="105"/>
      <c r="B791" s="105"/>
      <c r="E791" s="105"/>
    </row>
    <row r="792">
      <c r="A792" s="105"/>
      <c r="B792" s="105"/>
      <c r="E792" s="105"/>
    </row>
    <row r="793">
      <c r="A793" s="105"/>
      <c r="B793" s="105"/>
      <c r="E793" s="105"/>
    </row>
    <row r="794">
      <c r="A794" s="105"/>
      <c r="B794" s="105"/>
      <c r="E794" s="105"/>
    </row>
    <row r="795">
      <c r="A795" s="105"/>
      <c r="B795" s="105"/>
      <c r="E795" s="105"/>
    </row>
    <row r="796">
      <c r="A796" s="105"/>
      <c r="B796" s="105"/>
      <c r="E796" s="105"/>
    </row>
    <row r="797">
      <c r="A797" s="105"/>
      <c r="B797" s="105"/>
      <c r="E797" s="105"/>
    </row>
    <row r="798">
      <c r="A798" s="105"/>
      <c r="B798" s="105"/>
      <c r="E798" s="105"/>
    </row>
    <row r="799">
      <c r="A799" s="105"/>
      <c r="B799" s="105"/>
      <c r="E799" s="105"/>
    </row>
    <row r="800">
      <c r="A800" s="105"/>
      <c r="B800" s="105"/>
      <c r="E800" s="105"/>
    </row>
    <row r="801">
      <c r="A801" s="105"/>
      <c r="B801" s="105"/>
      <c r="E801" s="105"/>
    </row>
    <row r="802">
      <c r="A802" s="105"/>
      <c r="B802" s="105"/>
      <c r="E802" s="105"/>
    </row>
    <row r="803">
      <c r="A803" s="105"/>
      <c r="B803" s="105"/>
      <c r="E803" s="105"/>
    </row>
    <row r="804">
      <c r="A804" s="105"/>
      <c r="B804" s="105"/>
      <c r="E804" s="105"/>
    </row>
    <row r="805">
      <c r="A805" s="105"/>
      <c r="B805" s="105"/>
      <c r="E805" s="105"/>
    </row>
    <row r="806">
      <c r="A806" s="105"/>
      <c r="B806" s="105"/>
      <c r="E806" s="105"/>
    </row>
    <row r="807">
      <c r="A807" s="105"/>
      <c r="B807" s="105"/>
      <c r="E807" s="105"/>
    </row>
    <row r="808">
      <c r="A808" s="105"/>
      <c r="B808" s="105"/>
      <c r="E808" s="105"/>
    </row>
    <row r="809">
      <c r="A809" s="105"/>
      <c r="B809" s="105"/>
      <c r="E809" s="105"/>
    </row>
    <row r="810">
      <c r="A810" s="105"/>
      <c r="B810" s="105"/>
      <c r="E810" s="105"/>
    </row>
    <row r="811">
      <c r="A811" s="105"/>
      <c r="B811" s="105"/>
      <c r="E811" s="105"/>
    </row>
    <row r="812">
      <c r="A812" s="105"/>
      <c r="B812" s="105"/>
      <c r="E812" s="105"/>
    </row>
    <row r="813">
      <c r="A813" s="105"/>
      <c r="B813" s="105"/>
      <c r="E813" s="105"/>
    </row>
    <row r="814">
      <c r="A814" s="105"/>
      <c r="B814" s="105"/>
      <c r="E814" s="105"/>
    </row>
    <row r="815">
      <c r="A815" s="105"/>
      <c r="B815" s="105"/>
      <c r="E815" s="105"/>
    </row>
    <row r="816">
      <c r="A816" s="105"/>
      <c r="B816" s="105"/>
      <c r="E816" s="105"/>
    </row>
    <row r="817">
      <c r="A817" s="105"/>
      <c r="B817" s="105"/>
      <c r="E817" s="105"/>
    </row>
    <row r="818">
      <c r="A818" s="105"/>
      <c r="B818" s="105"/>
      <c r="E818" s="105"/>
    </row>
    <row r="819">
      <c r="A819" s="105"/>
      <c r="B819" s="105"/>
      <c r="E819" s="105"/>
    </row>
    <row r="820">
      <c r="A820" s="105"/>
      <c r="B820" s="105"/>
      <c r="E820" s="105"/>
    </row>
    <row r="821">
      <c r="A821" s="105"/>
      <c r="B821" s="105"/>
      <c r="E821" s="105"/>
    </row>
    <row r="822">
      <c r="A822" s="105"/>
      <c r="B822" s="105"/>
      <c r="E822" s="105"/>
    </row>
    <row r="823">
      <c r="A823" s="105"/>
      <c r="B823" s="105"/>
      <c r="E823" s="105"/>
    </row>
    <row r="824">
      <c r="A824" s="105"/>
      <c r="B824" s="105"/>
      <c r="E824" s="105"/>
    </row>
    <row r="825">
      <c r="A825" s="105"/>
      <c r="B825" s="105"/>
      <c r="E825" s="105"/>
    </row>
    <row r="826">
      <c r="A826" s="105"/>
      <c r="B826" s="105"/>
      <c r="E826" s="105"/>
    </row>
    <row r="827">
      <c r="A827" s="105"/>
      <c r="B827" s="105"/>
      <c r="E827" s="105"/>
    </row>
    <row r="828">
      <c r="A828" s="105"/>
      <c r="B828" s="105"/>
      <c r="E828" s="105"/>
    </row>
    <row r="829">
      <c r="A829" s="105"/>
      <c r="B829" s="105"/>
      <c r="E829" s="105"/>
    </row>
    <row r="830">
      <c r="A830" s="105"/>
      <c r="B830" s="105"/>
      <c r="E830" s="105"/>
    </row>
    <row r="831">
      <c r="A831" s="105"/>
      <c r="B831" s="105"/>
      <c r="E831" s="105"/>
    </row>
    <row r="832">
      <c r="A832" s="105"/>
      <c r="B832" s="105"/>
      <c r="E832" s="105"/>
    </row>
    <row r="833">
      <c r="A833" s="105"/>
      <c r="B833" s="105"/>
      <c r="E833" s="105"/>
    </row>
    <row r="834">
      <c r="A834" s="105"/>
      <c r="B834" s="105"/>
      <c r="E834" s="105"/>
    </row>
    <row r="835">
      <c r="A835" s="105"/>
      <c r="B835" s="105"/>
      <c r="E835" s="105"/>
    </row>
    <row r="836">
      <c r="A836" s="105"/>
      <c r="B836" s="105"/>
      <c r="E836" s="105"/>
    </row>
    <row r="837">
      <c r="A837" s="105"/>
      <c r="B837" s="105"/>
      <c r="E837" s="105"/>
    </row>
    <row r="838">
      <c r="A838" s="105"/>
      <c r="B838" s="105"/>
      <c r="E838" s="105"/>
    </row>
    <row r="839">
      <c r="A839" s="105"/>
      <c r="B839" s="105"/>
      <c r="E839" s="105"/>
    </row>
    <row r="840">
      <c r="A840" s="105"/>
      <c r="B840" s="105"/>
      <c r="E840" s="105"/>
    </row>
    <row r="841">
      <c r="A841" s="105"/>
      <c r="B841" s="105"/>
      <c r="E841" s="105"/>
    </row>
    <row r="842">
      <c r="A842" s="105"/>
      <c r="B842" s="105"/>
      <c r="E842" s="105"/>
    </row>
    <row r="843">
      <c r="A843" s="105"/>
      <c r="B843" s="105"/>
      <c r="E843" s="105"/>
    </row>
    <row r="844">
      <c r="A844" s="105"/>
      <c r="B844" s="105"/>
      <c r="E844" s="105"/>
    </row>
    <row r="845">
      <c r="A845" s="105"/>
      <c r="B845" s="105"/>
      <c r="E845" s="105"/>
    </row>
    <row r="846">
      <c r="A846" s="105"/>
      <c r="B846" s="105"/>
      <c r="E846" s="105"/>
    </row>
    <row r="847">
      <c r="A847" s="105"/>
      <c r="B847" s="105"/>
      <c r="E847" s="105"/>
    </row>
    <row r="848">
      <c r="A848" s="105"/>
      <c r="B848" s="105"/>
      <c r="E848" s="105"/>
    </row>
    <row r="849">
      <c r="A849" s="105"/>
      <c r="B849" s="105"/>
      <c r="E849" s="105"/>
    </row>
    <row r="850">
      <c r="A850" s="105"/>
      <c r="B850" s="105"/>
      <c r="E850" s="105"/>
    </row>
    <row r="851">
      <c r="A851" s="105"/>
      <c r="B851" s="105"/>
      <c r="E851" s="105"/>
    </row>
    <row r="852">
      <c r="A852" s="105"/>
      <c r="B852" s="105"/>
      <c r="E852" s="105"/>
    </row>
    <row r="853">
      <c r="A853" s="105"/>
      <c r="B853" s="105"/>
      <c r="E853" s="105"/>
    </row>
    <row r="854">
      <c r="A854" s="105"/>
      <c r="B854" s="105"/>
      <c r="E854" s="105"/>
    </row>
    <row r="855">
      <c r="A855" s="105"/>
      <c r="B855" s="105"/>
      <c r="E855" s="105"/>
    </row>
    <row r="856">
      <c r="A856" s="105"/>
      <c r="B856" s="105"/>
      <c r="E856" s="105"/>
    </row>
    <row r="857">
      <c r="A857" s="105"/>
      <c r="B857" s="105"/>
      <c r="E857" s="105"/>
    </row>
    <row r="858">
      <c r="A858" s="105"/>
      <c r="B858" s="105"/>
      <c r="E858" s="105"/>
    </row>
    <row r="859">
      <c r="A859" s="105"/>
      <c r="B859" s="105"/>
      <c r="E859" s="105"/>
    </row>
    <row r="860">
      <c r="A860" s="105"/>
      <c r="B860" s="105"/>
      <c r="E860" s="105"/>
    </row>
    <row r="861">
      <c r="A861" s="105"/>
      <c r="B861" s="105"/>
      <c r="E861" s="105"/>
    </row>
    <row r="862">
      <c r="A862" s="105"/>
      <c r="B862" s="105"/>
      <c r="E862" s="105"/>
    </row>
    <row r="863">
      <c r="A863" s="105"/>
      <c r="B863" s="105"/>
      <c r="E863" s="105"/>
    </row>
    <row r="864">
      <c r="A864" s="105"/>
      <c r="B864" s="105"/>
      <c r="E864" s="105"/>
    </row>
    <row r="865">
      <c r="A865" s="105"/>
      <c r="B865" s="105"/>
      <c r="E865" s="105"/>
    </row>
    <row r="866">
      <c r="A866" s="105"/>
      <c r="B866" s="105"/>
      <c r="E866" s="105"/>
    </row>
    <row r="867">
      <c r="A867" s="105"/>
      <c r="B867" s="105"/>
      <c r="E867" s="105"/>
    </row>
    <row r="868">
      <c r="A868" s="105"/>
      <c r="B868" s="105"/>
      <c r="E868" s="105"/>
    </row>
    <row r="869">
      <c r="A869" s="105"/>
      <c r="B869" s="105"/>
      <c r="E869" s="105"/>
    </row>
    <row r="870">
      <c r="A870" s="105"/>
      <c r="B870" s="105"/>
      <c r="E870" s="105"/>
    </row>
    <row r="871">
      <c r="A871" s="105"/>
      <c r="B871" s="105"/>
      <c r="E871" s="105"/>
    </row>
    <row r="872">
      <c r="A872" s="105"/>
      <c r="B872" s="105"/>
      <c r="E872" s="105"/>
    </row>
    <row r="873">
      <c r="A873" s="105"/>
      <c r="B873" s="105"/>
      <c r="E873" s="105"/>
    </row>
    <row r="874">
      <c r="A874" s="105"/>
      <c r="B874" s="105"/>
      <c r="E874" s="105"/>
    </row>
    <row r="875">
      <c r="A875" s="105"/>
      <c r="B875" s="105"/>
      <c r="E875" s="105"/>
    </row>
    <row r="876">
      <c r="A876" s="105"/>
      <c r="B876" s="105"/>
      <c r="E876" s="105"/>
    </row>
    <row r="877">
      <c r="A877" s="105"/>
      <c r="B877" s="105"/>
      <c r="E877" s="105"/>
    </row>
    <row r="878">
      <c r="A878" s="105"/>
      <c r="B878" s="105"/>
      <c r="E878" s="105"/>
    </row>
    <row r="879">
      <c r="A879" s="105"/>
      <c r="B879" s="105"/>
      <c r="E879" s="105"/>
    </row>
    <row r="880">
      <c r="A880" s="105"/>
      <c r="B880" s="105"/>
      <c r="E880" s="105"/>
    </row>
    <row r="881">
      <c r="A881" s="105"/>
      <c r="B881" s="105"/>
      <c r="E881" s="105"/>
    </row>
    <row r="882">
      <c r="A882" s="105"/>
      <c r="B882" s="105"/>
      <c r="E882" s="105"/>
    </row>
    <row r="883">
      <c r="A883" s="105"/>
      <c r="B883" s="105"/>
      <c r="E883" s="105"/>
    </row>
    <row r="884">
      <c r="A884" s="105"/>
      <c r="B884" s="105"/>
      <c r="E884" s="105"/>
    </row>
    <row r="885">
      <c r="A885" s="105"/>
      <c r="B885" s="105"/>
      <c r="E885" s="105"/>
    </row>
    <row r="886">
      <c r="A886" s="105"/>
      <c r="B886" s="105"/>
      <c r="E886" s="105"/>
    </row>
    <row r="887">
      <c r="A887" s="105"/>
      <c r="B887" s="105"/>
      <c r="E887" s="105"/>
    </row>
    <row r="888">
      <c r="A888" s="105"/>
      <c r="B888" s="105"/>
      <c r="E888" s="105"/>
    </row>
    <row r="889">
      <c r="A889" s="105"/>
      <c r="B889" s="105"/>
      <c r="E889" s="105"/>
    </row>
    <row r="890">
      <c r="A890" s="105"/>
      <c r="B890" s="105"/>
      <c r="E890" s="105"/>
    </row>
    <row r="891">
      <c r="A891" s="105"/>
      <c r="B891" s="105"/>
      <c r="E891" s="105"/>
    </row>
    <row r="892">
      <c r="A892" s="105"/>
      <c r="B892" s="105"/>
      <c r="E892" s="105"/>
    </row>
    <row r="893">
      <c r="A893" s="105"/>
      <c r="B893" s="105"/>
      <c r="E893" s="105"/>
    </row>
    <row r="894">
      <c r="A894" s="105"/>
      <c r="B894" s="105"/>
      <c r="E894" s="105"/>
    </row>
    <row r="895">
      <c r="A895" s="105"/>
      <c r="B895" s="105"/>
      <c r="E895" s="105"/>
    </row>
    <row r="896">
      <c r="A896" s="105"/>
      <c r="B896" s="105"/>
      <c r="E896" s="105"/>
    </row>
    <row r="897">
      <c r="A897" s="105"/>
      <c r="B897" s="105"/>
      <c r="E897" s="105"/>
    </row>
    <row r="898">
      <c r="A898" s="105"/>
      <c r="B898" s="105"/>
      <c r="E898" s="105"/>
    </row>
    <row r="899">
      <c r="A899" s="105"/>
      <c r="B899" s="105"/>
      <c r="E899" s="105"/>
    </row>
    <row r="900">
      <c r="A900" s="105"/>
      <c r="B900" s="105"/>
      <c r="E900" s="105"/>
    </row>
    <row r="901">
      <c r="A901" s="105"/>
      <c r="B901" s="105"/>
      <c r="E901" s="105"/>
    </row>
    <row r="902">
      <c r="A902" s="105"/>
      <c r="B902" s="105"/>
      <c r="E902" s="105"/>
    </row>
    <row r="903">
      <c r="A903" s="105"/>
      <c r="B903" s="105"/>
      <c r="E903" s="105"/>
    </row>
    <row r="904">
      <c r="A904" s="105"/>
      <c r="B904" s="105"/>
      <c r="E904" s="105"/>
    </row>
    <row r="905">
      <c r="A905" s="105"/>
      <c r="B905" s="105"/>
      <c r="E905" s="105"/>
    </row>
    <row r="906">
      <c r="A906" s="105"/>
      <c r="B906" s="105"/>
      <c r="E906" s="105"/>
    </row>
    <row r="907">
      <c r="A907" s="105"/>
      <c r="B907" s="105"/>
      <c r="E907" s="105"/>
    </row>
    <row r="908">
      <c r="A908" s="105"/>
      <c r="B908" s="105"/>
      <c r="E908" s="105"/>
    </row>
    <row r="909">
      <c r="A909" s="105"/>
      <c r="B909" s="105"/>
      <c r="E909" s="105"/>
    </row>
    <row r="910">
      <c r="A910" s="105"/>
      <c r="B910" s="105"/>
      <c r="E910" s="105"/>
    </row>
    <row r="911">
      <c r="A911" s="105"/>
      <c r="B911" s="105"/>
      <c r="E911" s="105"/>
    </row>
    <row r="912">
      <c r="A912" s="105"/>
      <c r="B912" s="105"/>
      <c r="E912" s="105"/>
    </row>
    <row r="913">
      <c r="A913" s="105"/>
      <c r="B913" s="105"/>
      <c r="E913" s="105"/>
    </row>
    <row r="914">
      <c r="A914" s="105"/>
      <c r="B914" s="105"/>
      <c r="E914" s="105"/>
    </row>
    <row r="915">
      <c r="A915" s="105"/>
      <c r="B915" s="105"/>
      <c r="E915" s="105"/>
    </row>
    <row r="916">
      <c r="A916" s="105"/>
      <c r="B916" s="105"/>
      <c r="E916" s="105"/>
    </row>
    <row r="917">
      <c r="A917" s="105"/>
      <c r="B917" s="105"/>
      <c r="E917" s="105"/>
    </row>
    <row r="918">
      <c r="A918" s="105"/>
      <c r="B918" s="105"/>
      <c r="E918" s="105"/>
    </row>
    <row r="919">
      <c r="A919" s="105"/>
      <c r="B919" s="105"/>
      <c r="E919" s="105"/>
    </row>
    <row r="920">
      <c r="A920" s="105"/>
      <c r="B920" s="105"/>
      <c r="E920" s="105"/>
    </row>
    <row r="921">
      <c r="A921" s="105"/>
      <c r="B921" s="105"/>
      <c r="E921" s="105"/>
    </row>
    <row r="922">
      <c r="A922" s="105"/>
      <c r="B922" s="105"/>
      <c r="E922" s="105"/>
    </row>
    <row r="923">
      <c r="A923" s="105"/>
      <c r="B923" s="105"/>
      <c r="E923" s="105"/>
    </row>
    <row r="924">
      <c r="A924" s="105"/>
      <c r="B924" s="105"/>
      <c r="E924" s="105"/>
    </row>
    <row r="925">
      <c r="A925" s="105"/>
      <c r="B925" s="105"/>
      <c r="E925" s="105"/>
    </row>
    <row r="926">
      <c r="A926" s="105"/>
      <c r="B926" s="105"/>
      <c r="E926" s="105"/>
    </row>
    <row r="927">
      <c r="A927" s="105"/>
      <c r="B927" s="105"/>
      <c r="E927" s="105"/>
    </row>
    <row r="928">
      <c r="A928" s="105"/>
      <c r="B928" s="105"/>
      <c r="E928" s="105"/>
    </row>
    <row r="929">
      <c r="A929" s="105"/>
      <c r="B929" s="105"/>
      <c r="E929" s="105"/>
    </row>
    <row r="930">
      <c r="A930" s="105"/>
      <c r="B930" s="105"/>
      <c r="E930" s="105"/>
    </row>
    <row r="931">
      <c r="A931" s="105"/>
      <c r="B931" s="105"/>
      <c r="E931" s="105"/>
    </row>
    <row r="932">
      <c r="A932" s="105"/>
      <c r="B932" s="105"/>
      <c r="E932" s="105"/>
    </row>
    <row r="933">
      <c r="A933" s="105"/>
      <c r="B933" s="105"/>
      <c r="E933" s="105"/>
    </row>
    <row r="934">
      <c r="A934" s="105"/>
      <c r="B934" s="105"/>
      <c r="E934" s="105"/>
    </row>
    <row r="935">
      <c r="A935" s="105"/>
      <c r="B935" s="105"/>
      <c r="E935" s="105"/>
    </row>
    <row r="936">
      <c r="A936" s="105"/>
      <c r="B936" s="105"/>
      <c r="E936" s="105"/>
    </row>
    <row r="937">
      <c r="A937" s="105"/>
      <c r="B937" s="105"/>
      <c r="E937" s="105"/>
    </row>
    <row r="938">
      <c r="A938" s="105"/>
      <c r="B938" s="105"/>
      <c r="E938" s="105"/>
    </row>
    <row r="939">
      <c r="A939" s="105"/>
      <c r="B939" s="105"/>
      <c r="E939" s="105"/>
    </row>
    <row r="940">
      <c r="A940" s="105"/>
      <c r="B940" s="105"/>
      <c r="E940" s="105"/>
    </row>
    <row r="941">
      <c r="A941" s="105"/>
      <c r="B941" s="105"/>
      <c r="E941" s="105"/>
    </row>
    <row r="942">
      <c r="A942" s="105"/>
      <c r="B942" s="105"/>
      <c r="E942" s="105"/>
    </row>
    <row r="943">
      <c r="A943" s="105"/>
      <c r="B943" s="105"/>
      <c r="E943" s="105"/>
    </row>
    <row r="944">
      <c r="A944" s="105"/>
      <c r="B944" s="105"/>
      <c r="E944" s="105"/>
    </row>
    <row r="945">
      <c r="A945" s="105"/>
      <c r="B945" s="105"/>
      <c r="E945" s="105"/>
    </row>
    <row r="946">
      <c r="A946" s="105"/>
      <c r="B946" s="105"/>
      <c r="E946" s="105"/>
    </row>
    <row r="947">
      <c r="A947" s="105"/>
      <c r="B947" s="105"/>
      <c r="E947" s="105"/>
    </row>
    <row r="948">
      <c r="A948" s="105"/>
      <c r="B948" s="105"/>
      <c r="E948" s="105"/>
    </row>
    <row r="949">
      <c r="A949" s="105"/>
      <c r="B949" s="105"/>
      <c r="E949" s="105"/>
    </row>
    <row r="950">
      <c r="A950" s="105"/>
      <c r="B950" s="105"/>
      <c r="E950" s="105"/>
    </row>
    <row r="951">
      <c r="A951" s="105"/>
      <c r="B951" s="105"/>
      <c r="E951" s="105"/>
    </row>
    <row r="952">
      <c r="A952" s="105"/>
      <c r="B952" s="105"/>
      <c r="E952" s="105"/>
    </row>
    <row r="953">
      <c r="A953" s="105"/>
      <c r="B953" s="105"/>
      <c r="E953" s="105"/>
    </row>
    <row r="954">
      <c r="A954" s="105"/>
      <c r="B954" s="105"/>
      <c r="E954" s="105"/>
    </row>
    <row r="955">
      <c r="A955" s="105"/>
      <c r="B955" s="105"/>
      <c r="E955" s="105"/>
    </row>
    <row r="956">
      <c r="A956" s="105"/>
      <c r="B956" s="105"/>
      <c r="E956" s="105"/>
    </row>
    <row r="957">
      <c r="A957" s="105"/>
      <c r="B957" s="105"/>
      <c r="E957" s="105"/>
    </row>
    <row r="958">
      <c r="A958" s="105"/>
      <c r="B958" s="105"/>
      <c r="E958" s="105"/>
    </row>
    <row r="959">
      <c r="A959" s="105"/>
      <c r="B959" s="105"/>
      <c r="E959" s="105"/>
    </row>
    <row r="960">
      <c r="A960" s="105"/>
      <c r="B960" s="105"/>
      <c r="E960" s="105"/>
    </row>
    <row r="961">
      <c r="A961" s="105"/>
      <c r="B961" s="105"/>
      <c r="E961" s="105"/>
    </row>
    <row r="962">
      <c r="A962" s="105"/>
      <c r="B962" s="105"/>
      <c r="E962" s="105"/>
    </row>
    <row r="963">
      <c r="A963" s="105"/>
      <c r="B963" s="105"/>
      <c r="E963" s="105"/>
    </row>
    <row r="964">
      <c r="A964" s="105"/>
      <c r="B964" s="105"/>
      <c r="E964" s="105"/>
    </row>
    <row r="965">
      <c r="A965" s="105"/>
      <c r="B965" s="105"/>
      <c r="E965" s="105"/>
    </row>
    <row r="966">
      <c r="A966" s="105"/>
      <c r="B966" s="105"/>
      <c r="E966" s="105"/>
    </row>
    <row r="967">
      <c r="A967" s="105"/>
      <c r="B967" s="105"/>
      <c r="E967" s="105"/>
    </row>
    <row r="968">
      <c r="A968" s="105"/>
      <c r="B968" s="105"/>
      <c r="E968" s="105"/>
    </row>
    <row r="969">
      <c r="A969" s="105"/>
      <c r="B969" s="105"/>
      <c r="E969" s="105"/>
    </row>
    <row r="970">
      <c r="A970" s="105"/>
      <c r="B970" s="105"/>
      <c r="E970" s="105"/>
    </row>
    <row r="971">
      <c r="A971" s="105"/>
      <c r="B971" s="105"/>
      <c r="E971" s="105"/>
    </row>
    <row r="972">
      <c r="A972" s="105"/>
      <c r="B972" s="105"/>
      <c r="E972" s="105"/>
    </row>
    <row r="973">
      <c r="A973" s="105"/>
      <c r="B973" s="105"/>
      <c r="E973" s="105"/>
    </row>
    <row r="974">
      <c r="A974" s="105"/>
      <c r="B974" s="105"/>
      <c r="E974" s="105"/>
    </row>
    <row r="975">
      <c r="A975" s="105"/>
      <c r="B975" s="105"/>
      <c r="E975" s="105"/>
    </row>
    <row r="976">
      <c r="A976" s="105"/>
      <c r="B976" s="105"/>
      <c r="E976" s="105"/>
    </row>
    <row r="977">
      <c r="A977" s="105"/>
      <c r="B977" s="105"/>
      <c r="E977" s="105"/>
    </row>
    <row r="978">
      <c r="A978" s="105"/>
      <c r="B978" s="105"/>
      <c r="E978" s="105"/>
    </row>
    <row r="979">
      <c r="A979" s="105"/>
      <c r="B979" s="105"/>
      <c r="E979" s="105"/>
    </row>
    <row r="980">
      <c r="A980" s="105"/>
      <c r="B980" s="105"/>
      <c r="E980" s="105"/>
    </row>
    <row r="981">
      <c r="A981" s="105"/>
      <c r="B981" s="105"/>
      <c r="E981" s="105"/>
    </row>
    <row r="982">
      <c r="A982" s="105"/>
      <c r="B982" s="105"/>
      <c r="E982" s="105"/>
    </row>
    <row r="983">
      <c r="A983" s="105"/>
      <c r="B983" s="105"/>
      <c r="E983" s="105"/>
    </row>
    <row r="984">
      <c r="A984" s="105"/>
      <c r="B984" s="105"/>
      <c r="E984" s="105"/>
    </row>
    <row r="985">
      <c r="A985" s="105"/>
      <c r="B985" s="105"/>
      <c r="E985" s="105"/>
    </row>
    <row r="986">
      <c r="A986" s="105"/>
      <c r="B986" s="105"/>
      <c r="E986" s="105"/>
    </row>
    <row r="987">
      <c r="A987" s="105"/>
      <c r="B987" s="105"/>
      <c r="E987" s="105"/>
    </row>
    <row r="988">
      <c r="A988" s="105"/>
      <c r="B988" s="105"/>
      <c r="E988" s="105"/>
    </row>
    <row r="989">
      <c r="A989" s="105"/>
      <c r="B989" s="105"/>
      <c r="E989" s="105"/>
    </row>
    <row r="990">
      <c r="A990" s="105"/>
      <c r="B990" s="105"/>
      <c r="E990" s="105"/>
    </row>
    <row r="991">
      <c r="A991" s="105"/>
      <c r="B991" s="105"/>
      <c r="E991" s="105"/>
    </row>
    <row r="992">
      <c r="A992" s="105"/>
      <c r="B992" s="105"/>
      <c r="E992" s="105"/>
    </row>
    <row r="993">
      <c r="A993" s="105"/>
      <c r="B993" s="105"/>
      <c r="E993" s="105"/>
    </row>
    <row r="994">
      <c r="A994" s="105"/>
      <c r="B994" s="105"/>
      <c r="E994" s="105"/>
    </row>
    <row r="995">
      <c r="A995" s="105"/>
      <c r="B995" s="105"/>
      <c r="E995" s="105"/>
    </row>
    <row r="996">
      <c r="A996" s="105"/>
      <c r="B996" s="105"/>
      <c r="E996" s="105"/>
    </row>
    <row r="997">
      <c r="A997" s="105"/>
      <c r="B997" s="105"/>
      <c r="E997" s="105"/>
    </row>
    <row r="998">
      <c r="A998" s="105"/>
      <c r="B998" s="105"/>
      <c r="E998" s="105"/>
    </row>
    <row r="999">
      <c r="A999" s="105"/>
      <c r="B999" s="105"/>
      <c r="E999" s="105"/>
    </row>
  </sheetData>
  <customSheetViews>
    <customSheetView guid="{65399088-E676-4CD0-8518-00A732F7C1AD}" filter="1" showAutoFilter="1">
      <autoFilter ref="$A$1:$H$124">
        <filterColumn colId="4">
          <filters>
            <filter val="Others"/>
            <filter val="Life Insurance"/>
            <filter val="Port services"/>
            <filter val="Ship management"/>
            <filter val="General Insurance"/>
            <filter val="Internet Telecommunication Service"/>
            <filter val="Online Information And Database Access Service"/>
          </filters>
        </filterColumn>
      </autoFilter>
    </customSheetView>
  </customSheetViews>
  <conditionalFormatting sqref="I1:I999">
    <cfRule type="notContainsBlanks" dxfId="0" priority="1">
      <formula>LEN(TRIM(I1))&gt;0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36.14"/>
    <col customWidth="1" min="7" max="7" width="18.14"/>
    <col customWidth="1" min="9" max="9" width="18.14"/>
    <col customWidth="1" min="10" max="10" width="17.57"/>
  </cols>
  <sheetData>
    <row r="1">
      <c r="A1" s="103"/>
      <c r="C1" s="242"/>
      <c r="D1" s="243"/>
      <c r="E1" s="103"/>
      <c r="F1" s="244"/>
      <c r="G1" s="196"/>
      <c r="H1" s="103"/>
      <c r="I1" s="110" t="s">
        <v>52</v>
      </c>
      <c r="J1" s="245" t="s">
        <v>56</v>
      </c>
      <c r="L1" s="110" t="s">
        <v>61</v>
      </c>
    </row>
    <row r="2">
      <c r="A2" s="246" t="s">
        <v>1870</v>
      </c>
      <c r="B2" s="24" t="s">
        <v>1871</v>
      </c>
      <c r="C2" s="247" t="s">
        <v>1872</v>
      </c>
      <c r="D2" s="248" t="s">
        <v>1873</v>
      </c>
      <c r="E2" s="246" t="s">
        <v>1874</v>
      </c>
      <c r="F2" s="246" t="s">
        <v>1875</v>
      </c>
      <c r="G2" s="196"/>
      <c r="H2" s="103" t="s">
        <v>1876</v>
      </c>
      <c r="I2" s="99" t="s">
        <v>1877</v>
      </c>
      <c r="J2" s="249" t="s">
        <v>1878</v>
      </c>
      <c r="L2" s="103" t="s">
        <v>1879</v>
      </c>
    </row>
    <row r="3">
      <c r="A3" s="196"/>
      <c r="C3" s="198">
        <v>4.0</v>
      </c>
      <c r="D3" s="250">
        <f>countif(G21:J21,"Y")</f>
        <v>2</v>
      </c>
      <c r="E3" s="198">
        <f>sumif(L3:L11,"cons",K3:K11)</f>
        <v>7</v>
      </c>
      <c r="F3" s="198">
        <f>sumif(L3:L11,"non cons",K3:K11)</f>
        <v>2</v>
      </c>
      <c r="G3" s="196"/>
      <c r="H3" s="198">
        <v>3.2456789E7</v>
      </c>
      <c r="I3" s="198">
        <v>3245.0</v>
      </c>
      <c r="J3" s="198">
        <v>3245.0</v>
      </c>
      <c r="K3" s="198">
        <v>2.0</v>
      </c>
      <c r="L3" s="103" t="s">
        <v>1880</v>
      </c>
    </row>
    <row r="4">
      <c r="A4" s="196"/>
      <c r="B4" s="196"/>
      <c r="C4" s="196"/>
      <c r="D4" s="196"/>
      <c r="E4" s="196"/>
      <c r="F4" s="196"/>
      <c r="G4" s="196"/>
      <c r="H4" s="198">
        <v>3245909.0</v>
      </c>
      <c r="I4" s="198">
        <v>3245.0</v>
      </c>
      <c r="J4" s="196"/>
      <c r="K4" s="196"/>
      <c r="L4" s="196"/>
    </row>
    <row r="5">
      <c r="A5" s="196"/>
      <c r="B5" s="196"/>
      <c r="C5" s="196"/>
      <c r="D5" s="196"/>
      <c r="E5" s="196"/>
      <c r="F5" s="196"/>
      <c r="G5" s="196"/>
      <c r="H5" s="198">
        <v>8912357.0</v>
      </c>
      <c r="I5" s="198">
        <v>8912.0</v>
      </c>
      <c r="J5" s="198">
        <v>8912.0</v>
      </c>
      <c r="K5" s="198">
        <v>1.0</v>
      </c>
      <c r="L5" s="103" t="s">
        <v>1881</v>
      </c>
    </row>
    <row r="6">
      <c r="A6" s="196"/>
      <c r="B6" s="196"/>
      <c r="C6" s="196"/>
      <c r="D6" s="196"/>
      <c r="E6" s="196"/>
      <c r="F6" s="196"/>
      <c r="G6" s="196"/>
      <c r="H6" s="251" t="s">
        <v>1882</v>
      </c>
      <c r="I6" s="251" t="s">
        <v>1882</v>
      </c>
      <c r="J6" s="103">
        <v>4412345.0</v>
      </c>
      <c r="K6" s="198">
        <v>1.0</v>
      </c>
      <c r="L6" s="103" t="s">
        <v>1880</v>
      </c>
    </row>
    <row r="7">
      <c r="A7" s="196"/>
      <c r="B7" s="196"/>
      <c r="C7" s="196"/>
      <c r="D7" s="196"/>
      <c r="E7" s="196"/>
      <c r="F7" s="196"/>
      <c r="G7" s="196"/>
      <c r="H7" s="251" t="s">
        <v>1883</v>
      </c>
      <c r="I7" s="251" t="s">
        <v>1883</v>
      </c>
      <c r="J7" s="103">
        <v>4412346.0</v>
      </c>
      <c r="K7" s="198">
        <v>1.0</v>
      </c>
      <c r="L7" s="103" t="s">
        <v>1880</v>
      </c>
    </row>
    <row r="8">
      <c r="A8" s="196"/>
      <c r="B8" s="196"/>
      <c r="C8" s="196"/>
      <c r="D8" s="196"/>
      <c r="E8" s="196"/>
      <c r="F8" s="196"/>
      <c r="G8" s="196"/>
      <c r="H8" s="198">
        <v>9954667.0</v>
      </c>
      <c r="I8" s="198">
        <v>9954.0</v>
      </c>
      <c r="J8" s="198">
        <v>9954.0</v>
      </c>
      <c r="K8" s="198">
        <v>3.0</v>
      </c>
      <c r="L8" s="103" t="s">
        <v>1880</v>
      </c>
    </row>
    <row r="9">
      <c r="A9" s="196"/>
      <c r="B9" s="196"/>
      <c r="C9" s="196"/>
      <c r="D9" s="196"/>
      <c r="E9" s="196"/>
      <c r="F9" s="196"/>
      <c r="G9" s="196"/>
      <c r="H9" s="198">
        <v>9954668.0</v>
      </c>
      <c r="I9" s="198">
        <v>9954.0</v>
      </c>
      <c r="J9" s="196"/>
      <c r="K9" s="196"/>
      <c r="L9" s="196"/>
    </row>
    <row r="10">
      <c r="A10" s="196"/>
      <c r="B10" s="196"/>
      <c r="C10" s="196"/>
      <c r="D10" s="196"/>
      <c r="E10" s="196"/>
      <c r="F10" s="196"/>
      <c r="G10" s="196"/>
      <c r="H10" s="198">
        <v>9954668.0</v>
      </c>
      <c r="I10" s="198">
        <v>9954.0</v>
      </c>
      <c r="J10" s="196"/>
      <c r="K10" s="196"/>
      <c r="L10" s="196"/>
    </row>
    <row r="11">
      <c r="A11" s="196"/>
      <c r="B11" s="196"/>
      <c r="C11" s="196"/>
      <c r="D11" s="196"/>
      <c r="E11" s="196"/>
      <c r="F11" s="196"/>
      <c r="G11" s="196"/>
      <c r="H11" s="198">
        <v>9.9783345E7</v>
      </c>
      <c r="I11" s="198">
        <v>9978.0</v>
      </c>
      <c r="J11" s="198">
        <v>9978.0</v>
      </c>
      <c r="K11" s="198">
        <v>1.0</v>
      </c>
      <c r="L11" s="103" t="s">
        <v>1881</v>
      </c>
    </row>
    <row r="12">
      <c r="A12" s="196"/>
      <c r="B12" s="196"/>
      <c r="C12" s="196"/>
      <c r="D12" s="196"/>
      <c r="E12" s="196"/>
      <c r="F12" s="196"/>
      <c r="G12" s="196"/>
      <c r="H12" s="196"/>
      <c r="I12" s="196"/>
      <c r="J12" s="196"/>
      <c r="K12" s="198">
        <v>9.0</v>
      </c>
      <c r="L12" s="196"/>
    </row>
    <row r="13">
      <c r="A13" s="196"/>
      <c r="B13" s="196"/>
      <c r="C13" s="196"/>
      <c r="D13" s="196"/>
      <c r="E13" s="196"/>
      <c r="F13" s="252"/>
      <c r="G13" s="242" t="s">
        <v>1884</v>
      </c>
      <c r="H13" s="242" t="s">
        <v>1885</v>
      </c>
      <c r="I13" s="242" t="s">
        <v>1886</v>
      </c>
      <c r="J13" s="242" t="s">
        <v>1887</v>
      </c>
      <c r="K13" s="196"/>
      <c r="L13" s="196"/>
    </row>
    <row r="14">
      <c r="A14" s="196"/>
      <c r="B14" s="196"/>
      <c r="C14" s="196"/>
      <c r="D14" s="196"/>
      <c r="E14" s="196"/>
      <c r="F14" s="252"/>
      <c r="G14" s="253">
        <v>3.2456789E7</v>
      </c>
      <c r="H14" s="253">
        <v>8912357.0</v>
      </c>
      <c r="I14" s="253">
        <v>8912357.0</v>
      </c>
      <c r="J14" s="251" t="s">
        <v>1882</v>
      </c>
      <c r="K14" s="196"/>
      <c r="L14" s="196"/>
    </row>
    <row r="15">
      <c r="A15" s="196"/>
      <c r="B15" s="196"/>
      <c r="C15" s="196"/>
      <c r="D15" s="196"/>
      <c r="E15" s="196"/>
      <c r="F15" s="252"/>
      <c r="G15" s="253">
        <v>3245909.0</v>
      </c>
      <c r="H15" s="253">
        <v>9.9783345E7</v>
      </c>
      <c r="I15" s="253">
        <v>9.9783345E7</v>
      </c>
      <c r="J15" s="251" t="s">
        <v>1883</v>
      </c>
      <c r="K15" s="196"/>
      <c r="L15" s="196"/>
    </row>
    <row r="16">
      <c r="F16" s="254"/>
      <c r="G16" s="253">
        <v>8912357.0</v>
      </c>
      <c r="H16" s="253">
        <v>9.9783345E7</v>
      </c>
      <c r="I16" s="253">
        <v>9.9783345E7</v>
      </c>
      <c r="J16" s="254"/>
    </row>
    <row r="17">
      <c r="F17" s="254"/>
      <c r="G17" s="242">
        <v>4412345.0</v>
      </c>
      <c r="H17" s="242"/>
      <c r="I17" s="254"/>
      <c r="J17" s="254"/>
    </row>
    <row r="18">
      <c r="F18" s="254"/>
      <c r="G18" s="242">
        <v>4412346.0</v>
      </c>
      <c r="H18" s="242"/>
      <c r="I18" s="254"/>
      <c r="J18" s="254"/>
    </row>
    <row r="19">
      <c r="F19" s="254"/>
      <c r="G19" s="253">
        <v>9954667.0</v>
      </c>
      <c r="H19" s="253"/>
      <c r="I19" s="254"/>
      <c r="J19" s="254"/>
    </row>
    <row r="20">
      <c r="F20" s="254"/>
      <c r="G20" s="253">
        <v>9954668.0</v>
      </c>
      <c r="H20" s="253"/>
      <c r="I20" s="254"/>
      <c r="J20" s="254"/>
    </row>
    <row r="21">
      <c r="F21" s="149" t="s">
        <v>1888</v>
      </c>
      <c r="G21" s="129" t="s">
        <v>1889</v>
      </c>
      <c r="H21" s="149" t="s">
        <v>1890</v>
      </c>
      <c r="I21" s="149" t="s">
        <v>1890</v>
      </c>
      <c r="J21" s="129" t="s">
        <v>1889</v>
      </c>
    </row>
  </sheetData>
  <mergeCells count="2">
    <mergeCell ref="J1:K1"/>
    <mergeCell ref="J2:K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
    <col customWidth="1" min="2" max="2" width="148.29"/>
    <col customWidth="1" min="3" max="3" width="18.86"/>
  </cols>
  <sheetData>
    <row r="1">
      <c r="A1" s="23" t="s">
        <v>1891</v>
      </c>
      <c r="B1" s="108"/>
    </row>
    <row r="2">
      <c r="A2" s="255" t="s">
        <v>1892</v>
      </c>
      <c r="B2" s="256" t="s">
        <v>1183</v>
      </c>
    </row>
    <row r="3">
      <c r="A3" s="257">
        <v>441070.0</v>
      </c>
      <c r="B3" s="258" t="s">
        <v>1893</v>
      </c>
      <c r="C3" s="24" t="s">
        <v>269</v>
      </c>
      <c r="D3" s="105"/>
      <c r="E3" s="105"/>
      <c r="F3" s="105"/>
      <c r="G3" s="105"/>
      <c r="H3" s="105"/>
      <c r="I3" s="105"/>
      <c r="J3" s="105"/>
      <c r="K3" s="105"/>
      <c r="L3" s="105"/>
      <c r="M3" s="105"/>
      <c r="N3" s="105"/>
      <c r="O3" s="105"/>
      <c r="P3" s="105"/>
      <c r="Q3" s="105"/>
      <c r="R3" s="105"/>
      <c r="S3" s="105"/>
      <c r="T3" s="105"/>
      <c r="U3" s="105"/>
      <c r="V3" s="105"/>
      <c r="W3" s="105"/>
      <c r="X3" s="105"/>
    </row>
    <row r="4">
      <c r="A4" s="257">
        <v>440013.0</v>
      </c>
      <c r="B4" s="258" t="s">
        <v>1894</v>
      </c>
      <c r="C4" s="24" t="s">
        <v>468</v>
      </c>
      <c r="D4" s="105"/>
      <c r="E4" s="105"/>
      <c r="F4" s="105"/>
      <c r="G4" s="105"/>
      <c r="H4" s="105"/>
      <c r="I4" s="105"/>
      <c r="J4" s="105"/>
      <c r="K4" s="105"/>
      <c r="L4" s="105"/>
      <c r="M4" s="105"/>
      <c r="N4" s="105"/>
      <c r="O4" s="105"/>
      <c r="P4" s="105"/>
      <c r="Q4" s="105"/>
      <c r="R4" s="105"/>
      <c r="S4" s="105"/>
      <c r="T4" s="105"/>
      <c r="U4" s="105"/>
      <c r="V4" s="105"/>
      <c r="W4" s="105"/>
      <c r="X4" s="105"/>
    </row>
    <row r="5">
      <c r="A5" s="257">
        <v>440032.0</v>
      </c>
      <c r="B5" s="258" t="s">
        <v>1895</v>
      </c>
      <c r="C5" s="24" t="s">
        <v>1896</v>
      </c>
      <c r="D5" s="24" t="s">
        <v>853</v>
      </c>
      <c r="E5" s="105"/>
      <c r="F5" s="105"/>
      <c r="G5" s="105"/>
      <c r="H5" s="105"/>
      <c r="I5" s="105"/>
      <c r="J5" s="105"/>
      <c r="K5" s="105"/>
      <c r="L5" s="105"/>
      <c r="M5" s="105"/>
      <c r="N5" s="105"/>
      <c r="O5" s="105"/>
      <c r="P5" s="105"/>
      <c r="Q5" s="105"/>
      <c r="R5" s="105"/>
      <c r="S5" s="105"/>
      <c r="T5" s="105"/>
      <c r="U5" s="105"/>
      <c r="V5" s="105"/>
      <c r="W5" s="105"/>
      <c r="X5" s="105"/>
    </row>
    <row r="6">
      <c r="A6" s="257">
        <v>440258.0</v>
      </c>
      <c r="B6" s="258" t="s">
        <v>1897</v>
      </c>
      <c r="C6" s="24" t="s">
        <v>1896</v>
      </c>
      <c r="D6" s="24" t="s">
        <v>211</v>
      </c>
      <c r="E6" s="105"/>
      <c r="F6" s="105"/>
      <c r="G6" s="105"/>
      <c r="H6" s="105"/>
      <c r="I6" s="105"/>
      <c r="J6" s="105"/>
      <c r="K6" s="105"/>
      <c r="L6" s="105"/>
      <c r="M6" s="105"/>
      <c r="N6" s="105"/>
      <c r="O6" s="105"/>
      <c r="P6" s="105"/>
      <c r="Q6" s="105"/>
      <c r="R6" s="105"/>
      <c r="S6" s="105"/>
      <c r="T6" s="105"/>
      <c r="U6" s="105"/>
      <c r="V6" s="105"/>
      <c r="W6" s="105"/>
      <c r="X6" s="105"/>
    </row>
    <row r="7">
      <c r="A7" s="257">
        <v>440072.0</v>
      </c>
      <c r="B7" s="258" t="s">
        <v>1898</v>
      </c>
      <c r="C7" s="24" t="s">
        <v>1896</v>
      </c>
      <c r="D7" s="24" t="s">
        <v>882</v>
      </c>
      <c r="E7" s="105"/>
      <c r="F7" s="105"/>
      <c r="G7" s="105"/>
      <c r="H7" s="105"/>
      <c r="I7" s="105"/>
      <c r="J7" s="105"/>
      <c r="K7" s="105"/>
      <c r="L7" s="105"/>
      <c r="M7" s="105"/>
      <c r="N7" s="105"/>
      <c r="O7" s="105"/>
      <c r="P7" s="105"/>
      <c r="Q7" s="105"/>
      <c r="R7" s="105"/>
      <c r="S7" s="105"/>
      <c r="T7" s="105"/>
      <c r="U7" s="105"/>
      <c r="V7" s="105"/>
      <c r="W7" s="105"/>
      <c r="X7" s="105"/>
    </row>
    <row r="8">
      <c r="A8" s="257">
        <v>440418.0</v>
      </c>
      <c r="B8" s="258" t="s">
        <v>1899</v>
      </c>
      <c r="C8" s="24" t="s">
        <v>1900</v>
      </c>
      <c r="D8" s="24" t="s">
        <v>1901</v>
      </c>
      <c r="E8" s="105"/>
      <c r="F8" s="105"/>
      <c r="G8" s="105"/>
      <c r="H8" s="105"/>
      <c r="I8" s="105"/>
      <c r="J8" s="105"/>
      <c r="K8" s="105"/>
      <c r="L8" s="105"/>
      <c r="M8" s="105"/>
      <c r="N8" s="105"/>
      <c r="O8" s="105"/>
      <c r="P8" s="105"/>
      <c r="Q8" s="105"/>
      <c r="R8" s="105"/>
      <c r="S8" s="105"/>
      <c r="T8" s="105"/>
      <c r="U8" s="105"/>
      <c r="V8" s="105"/>
      <c r="W8" s="105"/>
      <c r="X8" s="105"/>
    </row>
    <row r="9">
      <c r="A9" s="257">
        <v>440346.0</v>
      </c>
      <c r="B9" s="258" t="s">
        <v>1902</v>
      </c>
      <c r="C9" s="24" t="s">
        <v>1896</v>
      </c>
      <c r="D9" s="24" t="s">
        <v>211</v>
      </c>
      <c r="E9" s="105"/>
      <c r="F9" s="105"/>
      <c r="G9" s="105"/>
      <c r="H9" s="105"/>
      <c r="I9" s="105"/>
      <c r="J9" s="105"/>
      <c r="K9" s="105"/>
      <c r="L9" s="105"/>
      <c r="M9" s="105"/>
      <c r="N9" s="105"/>
      <c r="O9" s="105"/>
      <c r="P9" s="105"/>
      <c r="Q9" s="105"/>
      <c r="R9" s="105"/>
      <c r="S9" s="105"/>
      <c r="T9" s="105"/>
      <c r="U9" s="105"/>
      <c r="V9" s="105"/>
      <c r="W9" s="105"/>
      <c r="X9" s="105"/>
    </row>
    <row r="10">
      <c r="A10" s="257">
        <v>440370.0</v>
      </c>
      <c r="B10" s="258" t="s">
        <v>1903</v>
      </c>
      <c r="C10" s="23" t="s">
        <v>1896</v>
      </c>
      <c r="D10" s="23" t="s">
        <v>211</v>
      </c>
    </row>
    <row r="11">
      <c r="A11" s="257">
        <v>440173.0</v>
      </c>
      <c r="B11" s="258" t="s">
        <v>1904</v>
      </c>
      <c r="C11" s="23" t="s">
        <v>1905</v>
      </c>
      <c r="D11" s="23" t="s">
        <v>1906</v>
      </c>
    </row>
    <row r="12">
      <c r="A12" s="257">
        <v>440209.0</v>
      </c>
      <c r="B12" s="258" t="s">
        <v>1907</v>
      </c>
      <c r="C12" s="23" t="s">
        <v>1896</v>
      </c>
      <c r="D12" s="23" t="s">
        <v>1015</v>
      </c>
    </row>
    <row r="13">
      <c r="A13" s="257">
        <v>440165.0</v>
      </c>
      <c r="B13" s="259" t="s">
        <v>1908</v>
      </c>
      <c r="C13" s="23" t="s">
        <v>468</v>
      </c>
    </row>
    <row r="14">
      <c r="A14" s="257">
        <v>440225.0</v>
      </c>
      <c r="B14" s="259" t="s">
        <v>1909</v>
      </c>
      <c r="C14" s="23" t="s">
        <v>1896</v>
      </c>
    </row>
    <row r="15">
      <c r="A15" s="257">
        <v>440254.0</v>
      </c>
      <c r="B15" s="259" t="s">
        <v>1910</v>
      </c>
      <c r="C15" s="23" t="s">
        <v>1896</v>
      </c>
    </row>
    <row r="16">
      <c r="A16" s="257">
        <v>440366.0</v>
      </c>
      <c r="B16" s="259" t="s">
        <v>1911</v>
      </c>
      <c r="C16" s="23" t="s">
        <v>1896</v>
      </c>
    </row>
    <row r="17">
      <c r="A17" s="257">
        <v>440217.0</v>
      </c>
      <c r="B17" s="259" t="s">
        <v>1912</v>
      </c>
      <c r="C17" s="23" t="s">
        <v>1896</v>
      </c>
      <c r="D17" s="23" t="s">
        <v>1023</v>
      </c>
    </row>
    <row r="18">
      <c r="A18" s="257">
        <v>440189.0</v>
      </c>
      <c r="B18" s="259" t="s">
        <v>1913</v>
      </c>
      <c r="C18" s="23" t="s">
        <v>1896</v>
      </c>
      <c r="D18" s="23" t="s">
        <v>1025</v>
      </c>
    </row>
    <row r="19">
      <c r="A19" s="257">
        <v>440092.0</v>
      </c>
      <c r="B19" s="259" t="s">
        <v>1914</v>
      </c>
      <c r="C19" s="23" t="s">
        <v>1896</v>
      </c>
      <c r="D19" s="23" t="s">
        <v>905</v>
      </c>
    </row>
    <row r="20">
      <c r="A20" s="257">
        <v>440318.0</v>
      </c>
      <c r="B20" s="259" t="s">
        <v>1915</v>
      </c>
      <c r="C20" s="23" t="s">
        <v>1896</v>
      </c>
    </row>
    <row r="21">
      <c r="A21" s="257">
        <v>440045.0</v>
      </c>
      <c r="B21" s="259" t="s">
        <v>1916</v>
      </c>
      <c r="C21" s="23" t="s">
        <v>1896</v>
      </c>
      <c r="D21" s="23" t="s">
        <v>846</v>
      </c>
    </row>
    <row r="22">
      <c r="A22" s="257">
        <v>440322.0</v>
      </c>
      <c r="B22" s="259" t="s">
        <v>1917</v>
      </c>
      <c r="C22" s="23" t="s">
        <v>1896</v>
      </c>
    </row>
    <row r="23">
      <c r="A23" s="257">
        <v>440229.0</v>
      </c>
      <c r="B23" s="259" t="s">
        <v>1918</v>
      </c>
      <c r="C23" s="23" t="s">
        <v>1896</v>
      </c>
      <c r="D23" s="23" t="s">
        <v>930</v>
      </c>
    </row>
    <row r="24">
      <c r="A24" s="257">
        <v>440100.0</v>
      </c>
      <c r="B24" s="259" t="s">
        <v>1919</v>
      </c>
      <c r="C24" s="23" t="s">
        <v>1896</v>
      </c>
      <c r="D24" s="23" t="s">
        <v>909</v>
      </c>
    </row>
    <row r="25">
      <c r="A25" s="257">
        <v>440334.0</v>
      </c>
      <c r="B25" s="259" t="s">
        <v>1920</v>
      </c>
      <c r="C25" s="23" t="s">
        <v>318</v>
      </c>
    </row>
    <row r="26">
      <c r="A26" s="257">
        <v>440290.0</v>
      </c>
      <c r="B26" s="259" t="s">
        <v>1921</v>
      </c>
      <c r="C26" s="23" t="s">
        <v>318</v>
      </c>
    </row>
    <row r="27">
      <c r="A27" s="257">
        <v>440057.0</v>
      </c>
      <c r="B27" s="259" t="s">
        <v>1922</v>
      </c>
      <c r="C27" s="23" t="s">
        <v>1896</v>
      </c>
      <c r="D27" s="23" t="s">
        <v>1923</v>
      </c>
    </row>
    <row r="28">
      <c r="A28" s="257">
        <v>440133.0</v>
      </c>
      <c r="B28" s="259" t="s">
        <v>1924</v>
      </c>
      <c r="C28" s="23" t="s">
        <v>1896</v>
      </c>
    </row>
    <row r="29">
      <c r="A29" s="257">
        <v>440613.0</v>
      </c>
      <c r="B29" s="259" t="s">
        <v>1925</v>
      </c>
      <c r="C29" s="23" t="s">
        <v>1896</v>
      </c>
    </row>
    <row r="30">
      <c r="A30" s="257">
        <v>440460.0</v>
      </c>
      <c r="B30" s="259" t="s">
        <v>1926</v>
      </c>
      <c r="C30" s="23" t="s">
        <v>1896</v>
      </c>
    </row>
    <row r="31">
      <c r="A31" s="257">
        <v>440096.0</v>
      </c>
      <c r="B31" s="259" t="s">
        <v>1927</v>
      </c>
      <c r="C31" s="23" t="s">
        <v>1896</v>
      </c>
      <c r="D31" s="23" t="s">
        <v>917</v>
      </c>
    </row>
    <row r="32">
      <c r="A32" s="257">
        <v>440014.0</v>
      </c>
      <c r="B32" s="259" t="s">
        <v>1928</v>
      </c>
      <c r="C32" s="23" t="s">
        <v>1896</v>
      </c>
      <c r="D32" s="23" t="s">
        <v>513</v>
      </c>
    </row>
    <row r="33">
      <c r="A33" s="257">
        <v>440394.0</v>
      </c>
      <c r="B33" s="259" t="s">
        <v>1929</v>
      </c>
      <c r="C33" s="23" t="s">
        <v>1930</v>
      </c>
      <c r="D33" s="23" t="s">
        <v>941</v>
      </c>
    </row>
    <row r="34">
      <c r="A34" s="257">
        <v>440088.0</v>
      </c>
      <c r="B34" s="259" t="s">
        <v>1931</v>
      </c>
      <c r="C34" s="23" t="s">
        <v>264</v>
      </c>
      <c r="D34" s="23" t="s">
        <v>944</v>
      </c>
    </row>
    <row r="35">
      <c r="A35" s="257">
        <v>440026.0</v>
      </c>
      <c r="B35" s="259" t="s">
        <v>1932</v>
      </c>
      <c r="C35" s="23" t="s">
        <v>264</v>
      </c>
    </row>
    <row r="36">
      <c r="A36" s="257">
        <v>440422.0</v>
      </c>
      <c r="B36" s="259" t="s">
        <v>1933</v>
      </c>
      <c r="C36" s="23" t="s">
        <v>264</v>
      </c>
    </row>
    <row r="37">
      <c r="A37" s="257">
        <v>440414.0</v>
      </c>
      <c r="B37" s="259" t="s">
        <v>1934</v>
      </c>
      <c r="C37" s="23" t="s">
        <v>264</v>
      </c>
      <c r="D37" s="23" t="s">
        <v>831</v>
      </c>
    </row>
    <row r="38">
      <c r="A38" s="257">
        <v>440310.0</v>
      </c>
      <c r="B38" s="259" t="s">
        <v>1935</v>
      </c>
      <c r="C38" s="23" t="s">
        <v>264</v>
      </c>
    </row>
    <row r="39">
      <c r="A39" s="257">
        <v>440221.0</v>
      </c>
      <c r="B39" s="259" t="s">
        <v>1936</v>
      </c>
      <c r="C39" s="23" t="s">
        <v>264</v>
      </c>
    </row>
    <row r="40">
      <c r="A40" s="257">
        <v>440610.0</v>
      </c>
      <c r="B40" s="259" t="s">
        <v>1937</v>
      </c>
      <c r="C40" s="23" t="s">
        <v>264</v>
      </c>
    </row>
    <row r="41">
      <c r="A41" s="257">
        <v>440233.0</v>
      </c>
      <c r="B41" s="259" t="s">
        <v>1938</v>
      </c>
      <c r="C41" s="23" t="s">
        <v>890</v>
      </c>
      <c r="D41" s="23" t="s">
        <v>1938</v>
      </c>
    </row>
    <row r="42">
      <c r="A42" s="257">
        <v>440197.0</v>
      </c>
      <c r="B42" s="259" t="s">
        <v>1939</v>
      </c>
      <c r="C42" s="23" t="s">
        <v>264</v>
      </c>
    </row>
    <row r="43">
      <c r="A43" s="257">
        <v>440213.0</v>
      </c>
      <c r="B43" s="259" t="s">
        <v>1940</v>
      </c>
      <c r="C43" s="23" t="s">
        <v>264</v>
      </c>
      <c r="D43" s="23" t="s">
        <v>1941</v>
      </c>
    </row>
    <row r="44">
      <c r="A44" s="257">
        <v>440149.0</v>
      </c>
      <c r="B44" s="259" t="s">
        <v>1942</v>
      </c>
      <c r="C44" s="23" t="s">
        <v>264</v>
      </c>
    </row>
    <row r="45">
      <c r="A45" s="257">
        <v>440237.0</v>
      </c>
      <c r="B45" s="259" t="s">
        <v>1943</v>
      </c>
      <c r="C45" s="23" t="s">
        <v>264</v>
      </c>
      <c r="D45" s="23" t="s">
        <v>1046</v>
      </c>
    </row>
    <row r="46">
      <c r="A46" s="257">
        <v>440005.0</v>
      </c>
      <c r="B46" s="259" t="s">
        <v>1944</v>
      </c>
      <c r="C46" s="23" t="s">
        <v>1905</v>
      </c>
      <c r="D46" s="23" t="s">
        <v>947</v>
      </c>
    </row>
    <row r="47">
      <c r="A47" s="257">
        <v>440067.0</v>
      </c>
      <c r="B47" s="259" t="s">
        <v>1945</v>
      </c>
      <c r="C47" s="23" t="s">
        <v>264</v>
      </c>
      <c r="D47" s="23" t="s">
        <v>1101</v>
      </c>
    </row>
    <row r="48">
      <c r="A48" s="257">
        <v>440205.0</v>
      </c>
      <c r="B48" s="259" t="s">
        <v>1946</v>
      </c>
      <c r="C48" s="23" t="s">
        <v>264</v>
      </c>
    </row>
    <row r="49">
      <c r="A49" s="257">
        <v>440598.0</v>
      </c>
      <c r="B49" s="259" t="s">
        <v>1947</v>
      </c>
      <c r="C49" s="23" t="s">
        <v>264</v>
      </c>
    </row>
    <row r="50">
      <c r="A50" s="257">
        <v>440452.0</v>
      </c>
      <c r="B50" s="259" t="s">
        <v>1948</v>
      </c>
      <c r="C50" s="23" t="s">
        <v>264</v>
      </c>
      <c r="D50" s="23" t="s">
        <v>288</v>
      </c>
    </row>
    <row r="51">
      <c r="A51" s="257">
        <v>440169.0</v>
      </c>
      <c r="B51" s="259" t="s">
        <v>1949</v>
      </c>
      <c r="C51" s="23" t="s">
        <v>264</v>
      </c>
    </row>
    <row r="52">
      <c r="A52" s="257">
        <v>440278.0</v>
      </c>
      <c r="B52" s="259" t="s">
        <v>1950</v>
      </c>
      <c r="C52" s="23" t="s">
        <v>264</v>
      </c>
    </row>
    <row r="53">
      <c r="A53" s="257">
        <v>440076.0</v>
      </c>
      <c r="B53" s="259" t="s">
        <v>1951</v>
      </c>
      <c r="C53" s="23" t="s">
        <v>264</v>
      </c>
    </row>
    <row r="54">
      <c r="A54" s="257">
        <v>440241.0</v>
      </c>
      <c r="B54" s="259" t="s">
        <v>1952</v>
      </c>
      <c r="C54" s="23" t="s">
        <v>264</v>
      </c>
    </row>
    <row r="55">
      <c r="A55" s="257">
        <v>440382.0</v>
      </c>
      <c r="B55" s="259" t="s">
        <v>1953</v>
      </c>
      <c r="C55" s="23" t="s">
        <v>264</v>
      </c>
    </row>
    <row r="56">
      <c r="A56" s="257">
        <v>440480.0</v>
      </c>
      <c r="B56" s="259" t="s">
        <v>1954</v>
      </c>
      <c r="C56" s="23" t="s">
        <v>264</v>
      </c>
    </row>
    <row r="57">
      <c r="A57" s="257">
        <v>440137.0</v>
      </c>
      <c r="B57" s="259" t="s">
        <v>1955</v>
      </c>
      <c r="C57" s="23" t="s">
        <v>264</v>
      </c>
    </row>
    <row r="58">
      <c r="A58" s="257">
        <v>440185.0</v>
      </c>
      <c r="B58" s="259" t="s">
        <v>1956</v>
      </c>
      <c r="C58" s="23" t="s">
        <v>264</v>
      </c>
      <c r="D58" s="23" t="s">
        <v>302</v>
      </c>
    </row>
    <row r="59">
      <c r="A59" s="257">
        <v>440330.0</v>
      </c>
      <c r="B59" s="259" t="s">
        <v>1957</v>
      </c>
      <c r="C59" s="23" t="s">
        <v>264</v>
      </c>
    </row>
    <row r="60">
      <c r="A60" s="257">
        <v>440601.0</v>
      </c>
      <c r="B60" s="259" t="s">
        <v>1958</v>
      </c>
      <c r="C60" s="23" t="s">
        <v>264</v>
      </c>
    </row>
    <row r="61">
      <c r="A61" s="257">
        <v>440245.0</v>
      </c>
      <c r="B61" s="259" t="s">
        <v>1959</v>
      </c>
      <c r="C61" s="23" t="s">
        <v>264</v>
      </c>
      <c r="D61" s="23" t="s">
        <v>900</v>
      </c>
    </row>
    <row r="62">
      <c r="A62" s="257">
        <v>440116.0</v>
      </c>
      <c r="B62" s="259" t="s">
        <v>1960</v>
      </c>
      <c r="C62" s="23" t="s">
        <v>264</v>
      </c>
    </row>
    <row r="63">
      <c r="A63" s="257">
        <v>440035.0</v>
      </c>
      <c r="B63" s="259" t="s">
        <v>1961</v>
      </c>
      <c r="C63" s="23" t="s">
        <v>264</v>
      </c>
    </row>
    <row r="64">
      <c r="A64" s="257">
        <v>440060.0</v>
      </c>
      <c r="B64" s="259" t="s">
        <v>1962</v>
      </c>
      <c r="C64" s="23" t="s">
        <v>264</v>
      </c>
      <c r="D64" s="23" t="s">
        <v>1963</v>
      </c>
    </row>
    <row r="65">
      <c r="A65" s="257">
        <v>440112.0</v>
      </c>
      <c r="B65" s="259" t="s">
        <v>1964</v>
      </c>
      <c r="C65" s="23" t="s">
        <v>264</v>
      </c>
    </row>
    <row r="66">
      <c r="A66" s="257">
        <v>440402.0</v>
      </c>
      <c r="B66" s="259" t="s">
        <v>1965</v>
      </c>
      <c r="C66" s="23" t="s">
        <v>264</v>
      </c>
      <c r="D66" s="23" t="s">
        <v>745</v>
      </c>
    </row>
    <row r="67">
      <c r="A67" s="257">
        <v>440153.0</v>
      </c>
      <c r="B67" s="259" t="s">
        <v>1966</v>
      </c>
      <c r="C67" s="23" t="s">
        <v>264</v>
      </c>
    </row>
    <row r="68">
      <c r="A68" s="257">
        <v>440274.0</v>
      </c>
      <c r="B68" s="259" t="s">
        <v>1967</v>
      </c>
      <c r="C68" s="23" t="s">
        <v>264</v>
      </c>
    </row>
    <row r="69">
      <c r="A69" s="257">
        <v>440051.0</v>
      </c>
      <c r="B69" s="259" t="s">
        <v>1968</v>
      </c>
      <c r="C69" s="23" t="s">
        <v>264</v>
      </c>
      <c r="D69" s="23" t="s">
        <v>1969</v>
      </c>
    </row>
    <row r="70">
      <c r="A70" s="257">
        <v>440326.0</v>
      </c>
      <c r="B70" s="259" t="s">
        <v>1970</v>
      </c>
      <c r="C70" s="23" t="s">
        <v>264</v>
      </c>
      <c r="D70" s="23" t="s">
        <v>513</v>
      </c>
    </row>
    <row r="71">
      <c r="A71" s="257">
        <v>440054.0</v>
      </c>
      <c r="B71" s="259" t="s">
        <v>1971</v>
      </c>
      <c r="C71" s="23" t="s">
        <v>264</v>
      </c>
    </row>
    <row r="72">
      <c r="A72" s="257">
        <v>440015.0</v>
      </c>
      <c r="B72" s="259" t="s">
        <v>1972</v>
      </c>
      <c r="C72" s="23" t="s">
        <v>264</v>
      </c>
    </row>
    <row r="73">
      <c r="A73" s="257">
        <v>440607.0</v>
      </c>
      <c r="B73" s="259" t="s">
        <v>1973</v>
      </c>
      <c r="C73" s="23" t="s">
        <v>264</v>
      </c>
    </row>
    <row r="74">
      <c r="A74" s="257">
        <v>440129.0</v>
      </c>
      <c r="B74" s="259" t="s">
        <v>1974</v>
      </c>
      <c r="C74" s="23" t="s">
        <v>264</v>
      </c>
    </row>
    <row r="75">
      <c r="A75" s="257">
        <v>440177.0</v>
      </c>
      <c r="B75" s="259" t="s">
        <v>1975</v>
      </c>
      <c r="C75" s="23" t="s">
        <v>264</v>
      </c>
      <c r="D75" s="23" t="s">
        <v>1068</v>
      </c>
    </row>
    <row r="76">
      <c r="A76" s="257">
        <v>440286.0</v>
      </c>
      <c r="B76" s="259" t="s">
        <v>1976</v>
      </c>
      <c r="C76" s="23" t="s">
        <v>264</v>
      </c>
    </row>
    <row r="77">
      <c r="A77" s="257">
        <v>440604.0</v>
      </c>
      <c r="B77" s="259" t="s">
        <v>1977</v>
      </c>
      <c r="C77" s="23" t="s">
        <v>264</v>
      </c>
      <c r="D77" s="23" t="s">
        <v>835</v>
      </c>
    </row>
    <row r="78">
      <c r="A78" s="257">
        <v>440595.0</v>
      </c>
      <c r="B78" s="259" t="s">
        <v>1978</v>
      </c>
      <c r="C78" s="23" t="s">
        <v>264</v>
      </c>
      <c r="D78" s="23" t="s">
        <v>835</v>
      </c>
    </row>
    <row r="79">
      <c r="A79" s="257">
        <v>440374.0</v>
      </c>
      <c r="B79" s="259" t="s">
        <v>1979</v>
      </c>
      <c r="C79" s="23" t="s">
        <v>264</v>
      </c>
      <c r="D79" s="23" t="s">
        <v>835</v>
      </c>
    </row>
    <row r="80">
      <c r="A80" s="257">
        <v>440201.0</v>
      </c>
      <c r="B80" s="259" t="s">
        <v>1980</v>
      </c>
      <c r="C80" s="23" t="s">
        <v>264</v>
      </c>
      <c r="D80" s="23" t="s">
        <v>853</v>
      </c>
    </row>
    <row r="81">
      <c r="A81" s="257">
        <v>440104.0</v>
      </c>
      <c r="B81" s="259" t="s">
        <v>1981</v>
      </c>
      <c r="C81" s="23" t="s">
        <v>264</v>
      </c>
      <c r="D81" s="23" t="s">
        <v>856</v>
      </c>
    </row>
    <row r="82">
      <c r="A82" s="257">
        <v>440434.0</v>
      </c>
      <c r="B82" s="259" t="s">
        <v>1982</v>
      </c>
      <c r="C82" s="23" t="s">
        <v>264</v>
      </c>
    </row>
    <row r="83">
      <c r="A83" s="257">
        <v>440350.0</v>
      </c>
      <c r="B83" s="259" t="s">
        <v>1983</v>
      </c>
      <c r="C83" s="23" t="s">
        <v>264</v>
      </c>
    </row>
    <row r="84">
      <c r="A84" s="257">
        <v>440338.0</v>
      </c>
      <c r="B84" s="259" t="s">
        <v>1984</v>
      </c>
      <c r="C84" s="23" t="s">
        <v>264</v>
      </c>
    </row>
    <row r="85">
      <c r="A85" s="257">
        <v>440048.0</v>
      </c>
      <c r="B85" s="259" t="s">
        <v>1985</v>
      </c>
      <c r="C85" s="23" t="s">
        <v>264</v>
      </c>
    </row>
    <row r="86">
      <c r="A86" s="257">
        <v>440406.0</v>
      </c>
      <c r="B86" s="259" t="s">
        <v>1986</v>
      </c>
      <c r="C86" s="23" t="s">
        <v>264</v>
      </c>
    </row>
    <row r="87">
      <c r="A87" s="257">
        <v>440181.0</v>
      </c>
      <c r="B87" s="259" t="s">
        <v>1987</v>
      </c>
      <c r="C87" s="23" t="s">
        <v>264</v>
      </c>
    </row>
    <row r="88">
      <c r="A88" s="257">
        <v>441067.0</v>
      </c>
      <c r="B88" s="259" t="s">
        <v>1988</v>
      </c>
      <c r="C88" s="23" t="s">
        <v>264</v>
      </c>
      <c r="D88" s="23" t="s">
        <v>1969</v>
      </c>
    </row>
    <row r="89">
      <c r="A89" s="260">
        <v>440125.0</v>
      </c>
      <c r="B89" s="259" t="s">
        <v>1989</v>
      </c>
      <c r="C89" s="23" t="s">
        <v>264</v>
      </c>
    </row>
    <row r="90">
      <c r="A90" s="260">
        <v>440108.0</v>
      </c>
      <c r="B90" s="259" t="s">
        <v>1990</v>
      </c>
      <c r="C90" s="23" t="s">
        <v>264</v>
      </c>
      <c r="D90" s="23" t="s">
        <v>999</v>
      </c>
    </row>
    <row r="91">
      <c r="A91" s="260">
        <v>440354.0</v>
      </c>
      <c r="B91" s="259" t="s">
        <v>1991</v>
      </c>
      <c r="C91" s="23" t="s">
        <v>264</v>
      </c>
      <c r="D91" s="23" t="s">
        <v>835</v>
      </c>
    </row>
    <row r="92">
      <c r="A92" s="260">
        <v>440442.0</v>
      </c>
      <c r="B92" s="259" t="s">
        <v>1992</v>
      </c>
      <c r="C92" s="23" t="s">
        <v>264</v>
      </c>
    </row>
    <row r="93">
      <c r="A93" s="260">
        <v>440430.0</v>
      </c>
      <c r="B93" s="259" t="s">
        <v>1993</v>
      </c>
      <c r="C93" s="23" t="s">
        <v>264</v>
      </c>
    </row>
    <row r="94">
      <c r="A94" s="260">
        <v>440438.0</v>
      </c>
      <c r="B94" s="259" t="s">
        <v>1994</v>
      </c>
      <c r="C94" s="23" t="s">
        <v>264</v>
      </c>
    </row>
    <row r="95">
      <c r="A95" s="260">
        <v>440282.0</v>
      </c>
      <c r="B95" s="259" t="s">
        <v>1995</v>
      </c>
      <c r="C95" s="23" t="s">
        <v>264</v>
      </c>
    </row>
    <row r="96">
      <c r="A96" s="260">
        <v>440342.0</v>
      </c>
      <c r="B96" s="259" t="s">
        <v>1996</v>
      </c>
      <c r="C96" s="23" t="s">
        <v>264</v>
      </c>
    </row>
    <row r="97">
      <c r="A97" s="260">
        <v>440378.0</v>
      </c>
      <c r="B97" s="259" t="s">
        <v>1997</v>
      </c>
      <c r="C97" s="23" t="s">
        <v>264</v>
      </c>
    </row>
    <row r="98">
      <c r="A98" s="260">
        <v>440306.0</v>
      </c>
      <c r="B98" s="259" t="s">
        <v>1998</v>
      </c>
      <c r="C98" s="23" t="s">
        <v>890</v>
      </c>
    </row>
    <row r="99">
      <c r="A99" s="260">
        <v>440161.0</v>
      </c>
      <c r="B99" s="259" t="s">
        <v>1999</v>
      </c>
      <c r="C99" s="23" t="s">
        <v>264</v>
      </c>
    </row>
    <row r="100">
      <c r="A100" s="260">
        <v>440616.0</v>
      </c>
      <c r="B100" s="259" t="s">
        <v>2000</v>
      </c>
      <c r="C100" s="23" t="s">
        <v>264</v>
      </c>
    </row>
    <row r="101">
      <c r="A101" s="260">
        <v>440358.0</v>
      </c>
      <c r="B101" s="259" t="s">
        <v>2001</v>
      </c>
      <c r="C101" s="23" t="s">
        <v>264</v>
      </c>
    </row>
    <row r="102">
      <c r="A102" s="260">
        <v>440029.0</v>
      </c>
      <c r="B102" s="259" t="s">
        <v>2002</v>
      </c>
      <c r="C102" s="23" t="s">
        <v>264</v>
      </c>
    </row>
    <row r="103">
      <c r="A103" s="260">
        <v>440008.0</v>
      </c>
      <c r="B103" s="259" t="s">
        <v>2003</v>
      </c>
      <c r="C103" s="23" t="s">
        <v>264</v>
      </c>
      <c r="D103" s="23" t="s">
        <v>878</v>
      </c>
    </row>
    <row r="104">
      <c r="A104" s="260">
        <v>440193.0</v>
      </c>
      <c r="B104" s="259" t="s">
        <v>2004</v>
      </c>
      <c r="C104" s="23" t="s">
        <v>264</v>
      </c>
      <c r="D104" s="23" t="s">
        <v>1101</v>
      </c>
    </row>
    <row r="105">
      <c r="A105" s="260">
        <v>440445.0</v>
      </c>
      <c r="B105" s="259" t="s">
        <v>2005</v>
      </c>
      <c r="C105" s="23" t="s">
        <v>264</v>
      </c>
    </row>
    <row r="106">
      <c r="A106" s="260">
        <v>440270.0</v>
      </c>
      <c r="B106" s="259" t="s">
        <v>2006</v>
      </c>
      <c r="C106" s="23" t="s">
        <v>264</v>
      </c>
    </row>
    <row r="107">
      <c r="A107" s="260">
        <v>440314.0</v>
      </c>
      <c r="B107" s="259" t="s">
        <v>2007</v>
      </c>
      <c r="C107" s="23" t="s">
        <v>264</v>
      </c>
    </row>
    <row r="108">
      <c r="A108" s="260">
        <v>440249.0</v>
      </c>
      <c r="B108" s="259" t="s">
        <v>2008</v>
      </c>
      <c r="C108" s="23" t="s">
        <v>264</v>
      </c>
    </row>
    <row r="109">
      <c r="A109" s="260">
        <v>440398.0</v>
      </c>
      <c r="B109" s="259" t="s">
        <v>2009</v>
      </c>
      <c r="C109" s="23" t="s">
        <v>264</v>
      </c>
    </row>
    <row r="110">
      <c r="A110" s="260">
        <v>440141.0</v>
      </c>
      <c r="B110" s="259" t="s">
        <v>2010</v>
      </c>
      <c r="C110" s="23" t="s">
        <v>264</v>
      </c>
    </row>
    <row r="111">
      <c r="A111" s="260">
        <v>440003.0</v>
      </c>
      <c r="B111" s="259" t="s">
        <v>2011</v>
      </c>
      <c r="C111" s="23" t="s">
        <v>264</v>
      </c>
    </row>
    <row r="112">
      <c r="A112" s="260">
        <v>440145.0</v>
      </c>
      <c r="B112" s="259" t="s">
        <v>2012</v>
      </c>
      <c r="C112" s="23" t="s">
        <v>264</v>
      </c>
    </row>
    <row r="113">
      <c r="A113" s="260">
        <v>440063.0</v>
      </c>
      <c r="B113" s="259" t="s">
        <v>2013</v>
      </c>
      <c r="C113" s="23" t="s">
        <v>264</v>
      </c>
      <c r="D113" s="23" t="s">
        <v>1114</v>
      </c>
    </row>
    <row r="114">
      <c r="A114" s="260">
        <v>440266.0</v>
      </c>
      <c r="B114" s="259" t="s">
        <v>2014</v>
      </c>
      <c r="C114" s="23" t="s">
        <v>264</v>
      </c>
      <c r="D114" s="23" t="s">
        <v>1101</v>
      </c>
    </row>
    <row r="115">
      <c r="A115" s="260">
        <v>440470.0</v>
      </c>
      <c r="B115" s="259" t="s">
        <v>2015</v>
      </c>
      <c r="C115" s="23" t="s">
        <v>264</v>
      </c>
      <c r="D115" s="23" t="s">
        <v>1101</v>
      </c>
    </row>
    <row r="116">
      <c r="A116" s="260">
        <v>440390.0</v>
      </c>
      <c r="B116" s="259" t="s">
        <v>2016</v>
      </c>
      <c r="C116" s="23" t="s">
        <v>264</v>
      </c>
      <c r="D116" s="23" t="s">
        <v>1101</v>
      </c>
    </row>
    <row r="117">
      <c r="A117" s="260">
        <v>440262.0</v>
      </c>
      <c r="B117" s="259" t="s">
        <v>2017</v>
      </c>
      <c r="C117" s="23" t="s">
        <v>264</v>
      </c>
      <c r="D117" s="23" t="s">
        <v>1101</v>
      </c>
    </row>
    <row r="118">
      <c r="A118" s="260">
        <v>440302.0</v>
      </c>
      <c r="B118" s="259" t="s">
        <v>2018</v>
      </c>
      <c r="C118" s="23" t="s">
        <v>264</v>
      </c>
      <c r="D118" s="23" t="s">
        <v>1101</v>
      </c>
    </row>
    <row r="119">
      <c r="A119" s="260">
        <v>440362.0</v>
      </c>
      <c r="B119" s="259" t="s">
        <v>2019</v>
      </c>
      <c r="C119" s="23" t="s">
        <v>264</v>
      </c>
      <c r="D119" s="23" t="s">
        <v>1114</v>
      </c>
    </row>
    <row r="120">
      <c r="A120" s="260">
        <v>440386.0</v>
      </c>
      <c r="B120" s="259" t="s">
        <v>2020</v>
      </c>
      <c r="C120" s="23" t="s">
        <v>264</v>
      </c>
      <c r="D120" s="23" t="s">
        <v>1114</v>
      </c>
    </row>
    <row r="121">
      <c r="A121" s="260">
        <v>440294.0</v>
      </c>
      <c r="B121" s="259" t="s">
        <v>2021</v>
      </c>
      <c r="C121" s="23" t="s">
        <v>264</v>
      </c>
      <c r="D121" s="23" t="s">
        <v>1114</v>
      </c>
    </row>
    <row r="122">
      <c r="A122" s="260">
        <v>440084.0</v>
      </c>
      <c r="B122" s="259" t="s">
        <v>2022</v>
      </c>
      <c r="C122" s="23" t="s">
        <v>264</v>
      </c>
    </row>
    <row r="123">
      <c r="A123" s="260">
        <v>440157.0</v>
      </c>
      <c r="B123" s="259" t="s">
        <v>2023</v>
      </c>
      <c r="C123" s="23" t="s">
        <v>264</v>
      </c>
    </row>
    <row r="124">
      <c r="A124" s="260">
        <v>440410.0</v>
      </c>
      <c r="B124" s="259" t="s">
        <v>2024</v>
      </c>
      <c r="C124" s="23" t="s">
        <v>264</v>
      </c>
    </row>
    <row r="125">
      <c r="B125" s="108"/>
    </row>
    <row r="126">
      <c r="B126" s="108"/>
    </row>
    <row r="127">
      <c r="B127" s="108"/>
    </row>
    <row r="128">
      <c r="B128" s="108"/>
    </row>
    <row r="129">
      <c r="B129" s="108"/>
    </row>
    <row r="130">
      <c r="B130" s="108"/>
    </row>
    <row r="131">
      <c r="B131" s="108"/>
    </row>
    <row r="132">
      <c r="B132" s="108"/>
    </row>
    <row r="133">
      <c r="B133" s="261" t="s">
        <v>2025</v>
      </c>
    </row>
    <row r="134">
      <c r="B134" s="108"/>
    </row>
    <row r="135">
      <c r="B135" s="108"/>
    </row>
    <row r="136">
      <c r="B136" s="108"/>
    </row>
    <row r="137">
      <c r="B137" s="108"/>
    </row>
    <row r="138">
      <c r="B138" s="108"/>
    </row>
    <row r="139">
      <c r="B139" s="108"/>
    </row>
    <row r="140">
      <c r="B140" s="108"/>
    </row>
    <row r="141">
      <c r="B141" s="108"/>
    </row>
    <row r="142">
      <c r="B142" s="108"/>
    </row>
    <row r="143">
      <c r="B143" s="108"/>
    </row>
    <row r="144">
      <c r="B144" s="108"/>
    </row>
    <row r="145">
      <c r="B145" s="108"/>
    </row>
    <row r="146">
      <c r="B146" s="108"/>
    </row>
    <row r="147">
      <c r="B147" s="108"/>
    </row>
    <row r="148">
      <c r="B148" s="108"/>
    </row>
    <row r="149">
      <c r="B149" s="108"/>
    </row>
    <row r="150">
      <c r="B150" s="108"/>
    </row>
    <row r="151">
      <c r="B151" s="108"/>
    </row>
    <row r="152">
      <c r="B152" s="108"/>
    </row>
    <row r="153">
      <c r="B153" s="108"/>
    </row>
    <row r="154">
      <c r="B154" s="108"/>
    </row>
    <row r="155">
      <c r="B155" s="108"/>
    </row>
    <row r="156">
      <c r="B156" s="108"/>
    </row>
    <row r="157">
      <c r="B157" s="108"/>
    </row>
    <row r="158">
      <c r="B158" s="108"/>
    </row>
    <row r="159">
      <c r="B159" s="108"/>
    </row>
    <row r="160">
      <c r="B160" s="108"/>
    </row>
    <row r="161">
      <c r="B161" s="108"/>
    </row>
    <row r="162">
      <c r="B162" s="108"/>
    </row>
    <row r="163">
      <c r="B163" s="108"/>
    </row>
    <row r="164">
      <c r="B164" s="108"/>
    </row>
    <row r="165">
      <c r="B165" s="108"/>
    </row>
    <row r="166">
      <c r="B166" s="108"/>
    </row>
    <row r="167">
      <c r="B167" s="108"/>
    </row>
    <row r="168">
      <c r="B168" s="108"/>
    </row>
    <row r="169">
      <c r="B169" s="108"/>
    </row>
    <row r="170">
      <c r="B170" s="108"/>
    </row>
    <row r="171">
      <c r="B171" s="108"/>
    </row>
    <row r="172">
      <c r="B172" s="108"/>
    </row>
    <row r="173">
      <c r="B173" s="108"/>
    </row>
    <row r="174">
      <c r="B174" s="108"/>
    </row>
    <row r="175">
      <c r="B175" s="108"/>
    </row>
    <row r="176">
      <c r="B176" s="108"/>
    </row>
    <row r="177">
      <c r="B177" s="108"/>
    </row>
    <row r="178">
      <c r="B178" s="108"/>
    </row>
    <row r="179">
      <c r="B179" s="108"/>
    </row>
    <row r="180">
      <c r="B180" s="108"/>
    </row>
    <row r="181">
      <c r="B181" s="108"/>
    </row>
    <row r="182">
      <c r="B182" s="108"/>
    </row>
    <row r="183">
      <c r="B183" s="108"/>
    </row>
    <row r="184">
      <c r="B184" s="108"/>
    </row>
    <row r="185">
      <c r="B185" s="108"/>
    </row>
    <row r="186">
      <c r="B186" s="108"/>
    </row>
    <row r="187">
      <c r="B187" s="108"/>
    </row>
    <row r="188">
      <c r="B188" s="108"/>
    </row>
    <row r="189">
      <c r="B189" s="108"/>
    </row>
    <row r="190">
      <c r="B190" s="108"/>
    </row>
    <row r="191">
      <c r="B191" s="108"/>
    </row>
    <row r="192">
      <c r="B192" s="108"/>
    </row>
    <row r="193">
      <c r="B193" s="108"/>
    </row>
    <row r="194">
      <c r="B194" s="108"/>
    </row>
    <row r="195">
      <c r="B195" s="108"/>
    </row>
    <row r="196">
      <c r="B196" s="108"/>
    </row>
    <row r="197">
      <c r="B197" s="108"/>
    </row>
    <row r="198">
      <c r="B198" s="108"/>
    </row>
    <row r="199">
      <c r="B199" s="108"/>
    </row>
    <row r="200">
      <c r="B200" s="108"/>
    </row>
    <row r="201">
      <c r="B201" s="108"/>
    </row>
    <row r="202">
      <c r="B202" s="108"/>
    </row>
    <row r="203">
      <c r="B203" s="108"/>
    </row>
    <row r="204">
      <c r="B204" s="108"/>
    </row>
    <row r="205">
      <c r="B205" s="108"/>
    </row>
    <row r="206">
      <c r="B206" s="108"/>
    </row>
    <row r="207">
      <c r="B207" s="108"/>
    </row>
    <row r="208">
      <c r="B208" s="108"/>
    </row>
    <row r="209">
      <c r="B209" s="108"/>
    </row>
    <row r="210">
      <c r="B210" s="108"/>
    </row>
    <row r="211">
      <c r="B211" s="108"/>
    </row>
    <row r="212">
      <c r="B212" s="108"/>
    </row>
    <row r="213">
      <c r="B213" s="108"/>
    </row>
    <row r="214">
      <c r="B214" s="108"/>
    </row>
    <row r="215">
      <c r="B215" s="108"/>
    </row>
    <row r="216">
      <c r="B216" s="108"/>
    </row>
    <row r="217">
      <c r="B217" s="108"/>
    </row>
    <row r="218">
      <c r="B218" s="108"/>
    </row>
    <row r="219">
      <c r="B219" s="108"/>
    </row>
    <row r="220">
      <c r="B220" s="108"/>
    </row>
    <row r="221">
      <c r="B221" s="108"/>
    </row>
    <row r="222">
      <c r="B222" s="108"/>
    </row>
    <row r="223">
      <c r="B223" s="108"/>
    </row>
    <row r="224">
      <c r="B224" s="108"/>
    </row>
    <row r="225">
      <c r="B225" s="108"/>
    </row>
    <row r="226">
      <c r="B226" s="108"/>
    </row>
    <row r="227">
      <c r="B227" s="108"/>
    </row>
    <row r="228">
      <c r="B228" s="108"/>
    </row>
    <row r="229">
      <c r="B229" s="108"/>
    </row>
    <row r="230">
      <c r="B230" s="108"/>
    </row>
    <row r="231">
      <c r="B231" s="108"/>
    </row>
    <row r="232">
      <c r="B232" s="108"/>
    </row>
    <row r="233">
      <c r="B233" s="108"/>
    </row>
    <row r="234">
      <c r="B234" s="108"/>
    </row>
    <row r="235">
      <c r="B235" s="108"/>
    </row>
    <row r="236">
      <c r="B236" s="108"/>
    </row>
    <row r="237">
      <c r="B237" s="108"/>
    </row>
    <row r="238">
      <c r="B238" s="108"/>
    </row>
    <row r="239">
      <c r="B239" s="108"/>
    </row>
    <row r="240">
      <c r="B240" s="108"/>
    </row>
    <row r="241">
      <c r="B241" s="108"/>
    </row>
    <row r="242">
      <c r="B242" s="108"/>
    </row>
    <row r="243">
      <c r="B243" s="108"/>
    </row>
    <row r="244">
      <c r="B244" s="108"/>
    </row>
    <row r="245">
      <c r="B245" s="108"/>
    </row>
    <row r="246">
      <c r="B246" s="108"/>
    </row>
    <row r="247">
      <c r="B247" s="108"/>
    </row>
    <row r="248">
      <c r="B248" s="108"/>
    </row>
    <row r="249">
      <c r="B249" s="108"/>
    </row>
    <row r="250">
      <c r="B250" s="108"/>
    </row>
    <row r="251">
      <c r="B251" s="108"/>
    </row>
    <row r="252">
      <c r="B252" s="108"/>
    </row>
    <row r="253">
      <c r="B253" s="108"/>
    </row>
    <row r="254">
      <c r="B254" s="108"/>
    </row>
    <row r="255">
      <c r="B255" s="108"/>
    </row>
    <row r="256">
      <c r="B256" s="108"/>
    </row>
    <row r="257">
      <c r="B257" s="108"/>
    </row>
    <row r="258">
      <c r="B258" s="108"/>
    </row>
    <row r="259">
      <c r="B259" s="108"/>
    </row>
    <row r="260">
      <c r="B260" s="108"/>
    </row>
    <row r="261">
      <c r="B261" s="108"/>
    </row>
    <row r="262">
      <c r="B262" s="108"/>
    </row>
    <row r="263">
      <c r="B263" s="108"/>
    </row>
    <row r="264">
      <c r="B264" s="108"/>
    </row>
    <row r="265">
      <c r="B265" s="108"/>
    </row>
    <row r="266">
      <c r="B266" s="108"/>
    </row>
    <row r="267">
      <c r="B267" s="108"/>
    </row>
    <row r="268">
      <c r="B268" s="108"/>
    </row>
    <row r="269">
      <c r="B269" s="108"/>
    </row>
    <row r="270">
      <c r="B270" s="108"/>
    </row>
    <row r="271">
      <c r="B271" s="108"/>
    </row>
    <row r="272">
      <c r="B272" s="108"/>
    </row>
    <row r="273">
      <c r="B273" s="108"/>
    </row>
    <row r="274">
      <c r="B274" s="108"/>
    </row>
    <row r="275">
      <c r="B275" s="108"/>
    </row>
    <row r="276">
      <c r="B276" s="108"/>
    </row>
    <row r="277">
      <c r="B277" s="108"/>
    </row>
    <row r="278">
      <c r="B278" s="108"/>
    </row>
    <row r="279">
      <c r="B279" s="108"/>
    </row>
    <row r="280">
      <c r="B280" s="108"/>
    </row>
    <row r="281">
      <c r="B281" s="108"/>
    </row>
    <row r="282">
      <c r="B282" s="108"/>
    </row>
    <row r="283">
      <c r="B283" s="108"/>
    </row>
    <row r="284">
      <c r="B284" s="108"/>
    </row>
    <row r="285">
      <c r="B285" s="108"/>
    </row>
    <row r="286">
      <c r="B286" s="108"/>
    </row>
    <row r="287">
      <c r="B287" s="108"/>
    </row>
    <row r="288">
      <c r="B288" s="108"/>
    </row>
    <row r="289">
      <c r="B289" s="108"/>
    </row>
    <row r="290">
      <c r="B290" s="108"/>
    </row>
    <row r="291">
      <c r="B291" s="108"/>
    </row>
    <row r="292">
      <c r="B292" s="108"/>
    </row>
    <row r="293">
      <c r="B293" s="108"/>
    </row>
    <row r="294">
      <c r="B294" s="108"/>
    </row>
    <row r="295">
      <c r="B295" s="108"/>
    </row>
    <row r="296">
      <c r="B296" s="108"/>
    </row>
    <row r="297">
      <c r="B297" s="108"/>
    </row>
    <row r="298">
      <c r="B298" s="108"/>
    </row>
    <row r="299">
      <c r="B299" s="108"/>
    </row>
    <row r="300">
      <c r="B300" s="108"/>
    </row>
    <row r="301">
      <c r="B301" s="108"/>
    </row>
    <row r="302">
      <c r="B302" s="108"/>
    </row>
    <row r="303">
      <c r="B303" s="108"/>
    </row>
    <row r="304">
      <c r="B304" s="108"/>
    </row>
    <row r="305">
      <c r="B305" s="108"/>
    </row>
    <row r="306">
      <c r="B306" s="108"/>
    </row>
    <row r="307">
      <c r="B307" s="108"/>
    </row>
    <row r="308">
      <c r="B308" s="108"/>
    </row>
    <row r="309">
      <c r="B309" s="108"/>
    </row>
    <row r="310">
      <c r="B310" s="108"/>
    </row>
    <row r="311">
      <c r="B311" s="108"/>
    </row>
    <row r="312">
      <c r="B312" s="108"/>
    </row>
    <row r="313">
      <c r="B313" s="108"/>
    </row>
    <row r="314">
      <c r="B314" s="108"/>
    </row>
    <row r="315">
      <c r="B315" s="108"/>
    </row>
    <row r="316">
      <c r="B316" s="108"/>
    </row>
    <row r="317">
      <c r="B317" s="108"/>
    </row>
    <row r="318">
      <c r="B318" s="108"/>
    </row>
    <row r="319">
      <c r="B319" s="108"/>
    </row>
    <row r="320">
      <c r="B320" s="108"/>
    </row>
    <row r="321">
      <c r="B321" s="108"/>
    </row>
    <row r="322">
      <c r="B322" s="108"/>
    </row>
    <row r="323">
      <c r="B323" s="108"/>
    </row>
    <row r="324">
      <c r="B324" s="108"/>
    </row>
    <row r="325">
      <c r="B325" s="108"/>
    </row>
    <row r="326">
      <c r="B326" s="108"/>
    </row>
    <row r="327">
      <c r="B327" s="108"/>
    </row>
    <row r="328">
      <c r="B328" s="108"/>
    </row>
    <row r="329">
      <c r="B329" s="108"/>
    </row>
    <row r="330">
      <c r="B330" s="108"/>
    </row>
    <row r="331">
      <c r="B331" s="108"/>
    </row>
    <row r="332">
      <c r="B332" s="108"/>
    </row>
    <row r="333">
      <c r="B333" s="108"/>
    </row>
    <row r="334">
      <c r="B334" s="108"/>
    </row>
    <row r="335">
      <c r="B335" s="108"/>
    </row>
    <row r="336">
      <c r="B336" s="108"/>
    </row>
    <row r="337">
      <c r="B337" s="108"/>
    </row>
    <row r="338">
      <c r="B338" s="108"/>
    </row>
    <row r="339">
      <c r="B339" s="108"/>
    </row>
    <row r="340">
      <c r="B340" s="108"/>
    </row>
    <row r="341">
      <c r="B341" s="108"/>
    </row>
    <row r="342">
      <c r="B342" s="108"/>
    </row>
    <row r="343">
      <c r="B343" s="108"/>
    </row>
    <row r="344">
      <c r="B344" s="108"/>
    </row>
    <row r="345">
      <c r="B345" s="108"/>
    </row>
    <row r="346">
      <c r="B346" s="108"/>
    </row>
    <row r="347">
      <c r="B347" s="108"/>
    </row>
    <row r="348">
      <c r="B348" s="108"/>
    </row>
    <row r="349">
      <c r="B349" s="108"/>
    </row>
    <row r="350">
      <c r="B350" s="108"/>
    </row>
    <row r="351">
      <c r="B351" s="108"/>
    </row>
    <row r="352">
      <c r="B352" s="108"/>
    </row>
    <row r="353">
      <c r="B353" s="108"/>
    </row>
    <row r="354">
      <c r="B354" s="108"/>
    </row>
    <row r="355">
      <c r="B355" s="108"/>
    </row>
    <row r="356">
      <c r="B356" s="108"/>
    </row>
    <row r="357">
      <c r="B357" s="108"/>
    </row>
    <row r="358">
      <c r="B358" s="108"/>
    </row>
    <row r="359">
      <c r="B359" s="108"/>
    </row>
    <row r="360">
      <c r="B360" s="108"/>
    </row>
    <row r="361">
      <c r="B361" s="108"/>
    </row>
    <row r="362">
      <c r="B362" s="108"/>
    </row>
    <row r="363">
      <c r="B363" s="108"/>
    </row>
    <row r="364">
      <c r="B364" s="108"/>
    </row>
    <row r="365">
      <c r="B365" s="108"/>
    </row>
    <row r="366">
      <c r="B366" s="108"/>
    </row>
    <row r="367">
      <c r="B367" s="108"/>
    </row>
    <row r="368">
      <c r="B368" s="108"/>
    </row>
    <row r="369">
      <c r="B369" s="108"/>
    </row>
    <row r="370">
      <c r="B370" s="108"/>
    </row>
    <row r="371">
      <c r="B371" s="108"/>
    </row>
    <row r="372">
      <c r="B372" s="108"/>
    </row>
    <row r="373">
      <c r="B373" s="108"/>
    </row>
    <row r="374">
      <c r="B374" s="108"/>
    </row>
    <row r="375">
      <c r="B375" s="108"/>
    </row>
    <row r="376">
      <c r="B376" s="108"/>
    </row>
    <row r="377">
      <c r="B377" s="108"/>
    </row>
    <row r="378">
      <c r="B378" s="108"/>
    </row>
    <row r="379">
      <c r="B379" s="108"/>
    </row>
    <row r="380">
      <c r="B380" s="108"/>
    </row>
    <row r="381">
      <c r="B381" s="108"/>
    </row>
    <row r="382">
      <c r="B382" s="108"/>
    </row>
    <row r="383">
      <c r="B383" s="108"/>
    </row>
    <row r="384">
      <c r="B384" s="108"/>
    </row>
    <row r="385">
      <c r="B385" s="108"/>
    </row>
    <row r="386">
      <c r="B386" s="108"/>
    </row>
    <row r="387">
      <c r="B387" s="108"/>
    </row>
    <row r="388">
      <c r="B388" s="108"/>
    </row>
    <row r="389">
      <c r="B389" s="108"/>
    </row>
    <row r="390">
      <c r="B390" s="108"/>
    </row>
    <row r="391">
      <c r="B391" s="108"/>
    </row>
    <row r="392">
      <c r="B392" s="108"/>
    </row>
    <row r="393">
      <c r="B393" s="108"/>
    </row>
    <row r="394">
      <c r="B394" s="108"/>
    </row>
    <row r="395">
      <c r="B395" s="108"/>
    </row>
    <row r="396">
      <c r="B396" s="108"/>
    </row>
    <row r="397">
      <c r="B397" s="108"/>
    </row>
    <row r="398">
      <c r="B398" s="108"/>
    </row>
    <row r="399">
      <c r="B399" s="108"/>
    </row>
    <row r="400">
      <c r="B400" s="108"/>
    </row>
    <row r="401">
      <c r="B401" s="108"/>
    </row>
    <row r="402">
      <c r="B402" s="108"/>
    </row>
    <row r="403">
      <c r="B403" s="108"/>
    </row>
    <row r="404">
      <c r="B404" s="108"/>
    </row>
    <row r="405">
      <c r="B405" s="108"/>
    </row>
    <row r="406">
      <c r="B406" s="108"/>
    </row>
    <row r="407">
      <c r="B407" s="108"/>
    </row>
    <row r="408">
      <c r="B408" s="108"/>
    </row>
    <row r="409">
      <c r="B409" s="108"/>
    </row>
    <row r="410">
      <c r="B410" s="108"/>
    </row>
    <row r="411">
      <c r="B411" s="108"/>
    </row>
    <row r="412">
      <c r="B412" s="108"/>
    </row>
    <row r="413">
      <c r="B413" s="108"/>
    </row>
    <row r="414">
      <c r="B414" s="108"/>
    </row>
    <row r="415">
      <c r="B415" s="108"/>
    </row>
    <row r="416">
      <c r="B416" s="108"/>
    </row>
    <row r="417">
      <c r="B417" s="108"/>
    </row>
    <row r="418">
      <c r="B418" s="108"/>
    </row>
    <row r="419">
      <c r="B419" s="108"/>
    </row>
    <row r="420">
      <c r="B420" s="108"/>
    </row>
    <row r="421">
      <c r="B421" s="108"/>
    </row>
    <row r="422">
      <c r="B422" s="108"/>
    </row>
    <row r="423">
      <c r="B423" s="108"/>
    </row>
    <row r="424">
      <c r="B424" s="108"/>
    </row>
    <row r="425">
      <c r="B425" s="108"/>
    </row>
    <row r="426">
      <c r="B426" s="108"/>
    </row>
    <row r="427">
      <c r="B427" s="108"/>
    </row>
    <row r="428">
      <c r="B428" s="108"/>
    </row>
    <row r="429">
      <c r="B429" s="108"/>
    </row>
    <row r="430">
      <c r="B430" s="108"/>
    </row>
    <row r="431">
      <c r="B431" s="108"/>
    </row>
    <row r="432">
      <c r="B432" s="108"/>
    </row>
    <row r="433">
      <c r="B433" s="108"/>
    </row>
    <row r="434">
      <c r="B434" s="108"/>
    </row>
    <row r="435">
      <c r="B435" s="108"/>
    </row>
    <row r="436">
      <c r="B436" s="108"/>
    </row>
    <row r="437">
      <c r="B437" s="108"/>
    </row>
    <row r="438">
      <c r="B438" s="108"/>
    </row>
    <row r="439">
      <c r="B439" s="108"/>
    </row>
    <row r="440">
      <c r="B440" s="108"/>
    </row>
    <row r="441">
      <c r="B441" s="108"/>
    </row>
    <row r="442">
      <c r="B442" s="108"/>
    </row>
    <row r="443">
      <c r="B443" s="108"/>
    </row>
    <row r="444">
      <c r="B444" s="108"/>
    </row>
    <row r="445">
      <c r="B445" s="108"/>
    </row>
    <row r="446">
      <c r="B446" s="108"/>
    </row>
    <row r="447">
      <c r="B447" s="108"/>
    </row>
    <row r="448">
      <c r="B448" s="108"/>
    </row>
    <row r="449">
      <c r="B449" s="108"/>
    </row>
    <row r="450">
      <c r="B450" s="108"/>
    </row>
    <row r="451">
      <c r="B451" s="108"/>
    </row>
    <row r="452">
      <c r="B452" s="108"/>
    </row>
    <row r="453">
      <c r="B453" s="108"/>
    </row>
    <row r="454">
      <c r="B454" s="108"/>
    </row>
    <row r="455">
      <c r="B455" s="108"/>
    </row>
    <row r="456">
      <c r="B456" s="108"/>
    </row>
    <row r="457">
      <c r="B457" s="108"/>
    </row>
    <row r="458">
      <c r="B458" s="108"/>
    </row>
    <row r="459">
      <c r="B459" s="108"/>
    </row>
    <row r="460">
      <c r="B460" s="108"/>
    </row>
    <row r="461">
      <c r="B461" s="108"/>
    </row>
    <row r="462">
      <c r="B462" s="108"/>
    </row>
    <row r="463">
      <c r="B463" s="108"/>
    </row>
    <row r="464">
      <c r="B464" s="108"/>
    </row>
    <row r="465">
      <c r="B465" s="108"/>
    </row>
    <row r="466">
      <c r="B466" s="108"/>
    </row>
    <row r="467">
      <c r="B467" s="108"/>
    </row>
    <row r="468">
      <c r="B468" s="108"/>
    </row>
    <row r="469">
      <c r="B469" s="108"/>
    </row>
    <row r="470">
      <c r="B470" s="108"/>
    </row>
    <row r="471">
      <c r="B471" s="108"/>
    </row>
    <row r="472">
      <c r="B472" s="108"/>
    </row>
    <row r="473">
      <c r="B473" s="108"/>
    </row>
    <row r="474">
      <c r="B474" s="108"/>
    </row>
    <row r="475">
      <c r="B475" s="108"/>
    </row>
    <row r="476">
      <c r="B476" s="108"/>
    </row>
    <row r="477">
      <c r="B477" s="108"/>
    </row>
    <row r="478">
      <c r="B478" s="108"/>
    </row>
    <row r="479">
      <c r="B479" s="108"/>
    </row>
    <row r="480">
      <c r="B480" s="108"/>
    </row>
    <row r="481">
      <c r="B481" s="108"/>
    </row>
    <row r="482">
      <c r="B482" s="108"/>
    </row>
    <row r="483">
      <c r="B483" s="108"/>
    </row>
    <row r="484">
      <c r="B484" s="108"/>
    </row>
    <row r="485">
      <c r="B485" s="108"/>
    </row>
    <row r="486">
      <c r="B486" s="108"/>
    </row>
    <row r="487">
      <c r="B487" s="108"/>
    </row>
    <row r="488">
      <c r="B488" s="108"/>
    </row>
    <row r="489">
      <c r="B489" s="108"/>
    </row>
    <row r="490">
      <c r="B490" s="108"/>
    </row>
    <row r="491">
      <c r="B491" s="108"/>
    </row>
    <row r="492">
      <c r="B492" s="108"/>
    </row>
    <row r="493">
      <c r="B493" s="108"/>
    </row>
    <row r="494">
      <c r="B494" s="108"/>
    </row>
    <row r="495">
      <c r="B495" s="108"/>
    </row>
    <row r="496">
      <c r="B496" s="108"/>
    </row>
    <row r="497">
      <c r="B497" s="108"/>
    </row>
    <row r="498">
      <c r="B498" s="108"/>
    </row>
    <row r="499">
      <c r="B499" s="108"/>
    </row>
    <row r="500">
      <c r="B500" s="108"/>
    </row>
    <row r="501">
      <c r="B501" s="108"/>
    </row>
    <row r="502">
      <c r="B502" s="108"/>
    </row>
    <row r="503">
      <c r="B503" s="108"/>
    </row>
    <row r="504">
      <c r="B504" s="108"/>
    </row>
    <row r="505">
      <c r="B505" s="108"/>
    </row>
    <row r="506">
      <c r="B506" s="108"/>
    </row>
    <row r="507">
      <c r="B507" s="108"/>
    </row>
    <row r="508">
      <c r="B508" s="108"/>
    </row>
    <row r="509">
      <c r="B509" s="108"/>
    </row>
    <row r="510">
      <c r="B510" s="108"/>
    </row>
    <row r="511">
      <c r="B511" s="108"/>
    </row>
    <row r="512">
      <c r="B512" s="108"/>
    </row>
    <row r="513">
      <c r="B513" s="108"/>
    </row>
    <row r="514">
      <c r="B514" s="108"/>
    </row>
    <row r="515">
      <c r="B515" s="108"/>
    </row>
    <row r="516">
      <c r="B516" s="108"/>
    </row>
    <row r="517">
      <c r="B517" s="108"/>
    </row>
    <row r="518">
      <c r="B518" s="108"/>
    </row>
    <row r="519">
      <c r="B519" s="108"/>
    </row>
    <row r="520">
      <c r="B520" s="108"/>
    </row>
    <row r="521">
      <c r="B521" s="108"/>
    </row>
    <row r="522">
      <c r="B522" s="108"/>
    </row>
    <row r="523">
      <c r="B523" s="108"/>
    </row>
    <row r="524">
      <c r="B524" s="108"/>
    </row>
    <row r="525">
      <c r="B525" s="108"/>
    </row>
    <row r="526">
      <c r="B526" s="108"/>
    </row>
    <row r="527">
      <c r="B527" s="108"/>
    </row>
    <row r="528">
      <c r="B528" s="108"/>
    </row>
    <row r="529">
      <c r="B529" s="108"/>
    </row>
    <row r="530">
      <c r="B530" s="108"/>
    </row>
    <row r="531">
      <c r="B531" s="108"/>
    </row>
    <row r="532">
      <c r="B532" s="108"/>
    </row>
    <row r="533">
      <c r="B533" s="108"/>
    </row>
    <row r="534">
      <c r="B534" s="108"/>
    </row>
    <row r="535">
      <c r="B535" s="108"/>
    </row>
    <row r="536">
      <c r="B536" s="108"/>
    </row>
    <row r="537">
      <c r="B537" s="108"/>
    </row>
    <row r="538">
      <c r="B538" s="108"/>
    </row>
    <row r="539">
      <c r="B539" s="108"/>
    </row>
    <row r="540">
      <c r="B540" s="108"/>
    </row>
    <row r="541">
      <c r="B541" s="108"/>
    </row>
    <row r="542">
      <c r="B542" s="108"/>
    </row>
    <row r="543">
      <c r="B543" s="108"/>
    </row>
    <row r="544">
      <c r="B544" s="108"/>
    </row>
    <row r="545">
      <c r="B545" s="108"/>
    </row>
    <row r="546">
      <c r="B546" s="108"/>
    </row>
    <row r="547">
      <c r="B547" s="108"/>
    </row>
    <row r="548">
      <c r="B548" s="108"/>
    </row>
    <row r="549">
      <c r="B549" s="108"/>
    </row>
    <row r="550">
      <c r="B550" s="108"/>
    </row>
    <row r="551">
      <c r="B551" s="108"/>
    </row>
    <row r="552">
      <c r="B552" s="108"/>
    </row>
    <row r="553">
      <c r="B553" s="108"/>
    </row>
    <row r="554">
      <c r="B554" s="108"/>
    </row>
    <row r="555">
      <c r="B555" s="108"/>
    </row>
    <row r="556">
      <c r="B556" s="108"/>
    </row>
    <row r="557">
      <c r="B557" s="108"/>
    </row>
    <row r="558">
      <c r="B558" s="108"/>
    </row>
    <row r="559">
      <c r="B559" s="108"/>
    </row>
    <row r="560">
      <c r="B560" s="108"/>
    </row>
    <row r="561">
      <c r="B561" s="108"/>
    </row>
    <row r="562">
      <c r="B562" s="108"/>
    </row>
    <row r="563">
      <c r="B563" s="108"/>
    </row>
    <row r="564">
      <c r="B564" s="108"/>
    </row>
    <row r="565">
      <c r="B565" s="108"/>
    </row>
    <row r="566">
      <c r="B566" s="108"/>
    </row>
    <row r="567">
      <c r="B567" s="108"/>
    </row>
    <row r="568">
      <c r="B568" s="108"/>
    </row>
    <row r="569">
      <c r="B569" s="108"/>
    </row>
    <row r="570">
      <c r="B570" s="108"/>
    </row>
    <row r="571">
      <c r="B571" s="108"/>
    </row>
    <row r="572">
      <c r="B572" s="108"/>
    </row>
    <row r="573">
      <c r="B573" s="108"/>
    </row>
    <row r="574">
      <c r="B574" s="108"/>
    </row>
    <row r="575">
      <c r="B575" s="108"/>
    </row>
    <row r="576">
      <c r="B576" s="108"/>
    </row>
    <row r="577">
      <c r="B577" s="108"/>
    </row>
    <row r="578">
      <c r="B578" s="108"/>
    </row>
    <row r="579">
      <c r="B579" s="108"/>
    </row>
    <row r="580">
      <c r="B580" s="108"/>
    </row>
    <row r="581">
      <c r="B581" s="108"/>
    </row>
    <row r="582">
      <c r="B582" s="108"/>
    </row>
    <row r="583">
      <c r="B583" s="108"/>
    </row>
    <row r="584">
      <c r="B584" s="108"/>
    </row>
    <row r="585">
      <c r="B585" s="108"/>
    </row>
    <row r="586">
      <c r="B586" s="108"/>
    </row>
    <row r="587">
      <c r="B587" s="108"/>
    </row>
    <row r="588">
      <c r="B588" s="108"/>
    </row>
    <row r="589">
      <c r="B589" s="108"/>
    </row>
    <row r="590">
      <c r="B590" s="108"/>
    </row>
    <row r="591">
      <c r="B591" s="108"/>
    </row>
    <row r="592">
      <c r="B592" s="108"/>
    </row>
    <row r="593">
      <c r="B593" s="108"/>
    </row>
    <row r="594">
      <c r="B594" s="108"/>
    </row>
    <row r="595">
      <c r="B595" s="108"/>
    </row>
    <row r="596">
      <c r="B596" s="108"/>
    </row>
    <row r="597">
      <c r="B597" s="108"/>
    </row>
    <row r="598">
      <c r="B598" s="108"/>
    </row>
    <row r="599">
      <c r="B599" s="108"/>
    </row>
    <row r="600">
      <c r="B600" s="108"/>
    </row>
    <row r="601">
      <c r="B601" s="108"/>
    </row>
    <row r="602">
      <c r="B602" s="108"/>
    </row>
    <row r="603">
      <c r="B603" s="108"/>
    </row>
    <row r="604">
      <c r="B604" s="108"/>
    </row>
    <row r="605">
      <c r="B605" s="108"/>
    </row>
    <row r="606">
      <c r="B606" s="108"/>
    </row>
    <row r="607">
      <c r="B607" s="108"/>
    </row>
    <row r="608">
      <c r="B608" s="108"/>
    </row>
    <row r="609">
      <c r="B609" s="108"/>
    </row>
    <row r="610">
      <c r="B610" s="108"/>
    </row>
    <row r="611">
      <c r="B611" s="108"/>
    </row>
    <row r="612">
      <c r="B612" s="108"/>
    </row>
    <row r="613">
      <c r="B613" s="108"/>
    </row>
    <row r="614">
      <c r="B614" s="108"/>
    </row>
    <row r="615">
      <c r="B615" s="108"/>
    </row>
    <row r="616">
      <c r="B616" s="108"/>
    </row>
    <row r="617">
      <c r="B617" s="108"/>
    </row>
    <row r="618">
      <c r="B618" s="108"/>
    </row>
    <row r="619">
      <c r="B619" s="108"/>
    </row>
    <row r="620">
      <c r="B620" s="108"/>
    </row>
    <row r="621">
      <c r="B621" s="108"/>
    </row>
    <row r="622">
      <c r="B622" s="108"/>
    </row>
    <row r="623">
      <c r="B623" s="108"/>
    </row>
    <row r="624">
      <c r="B624" s="108"/>
    </row>
    <row r="625">
      <c r="B625" s="108"/>
    </row>
    <row r="626">
      <c r="B626" s="108"/>
    </row>
    <row r="627">
      <c r="B627" s="108"/>
    </row>
    <row r="628">
      <c r="B628" s="108"/>
    </row>
    <row r="629">
      <c r="B629" s="108"/>
    </row>
    <row r="630">
      <c r="B630" s="108"/>
    </row>
    <row r="631">
      <c r="B631" s="108"/>
    </row>
    <row r="632">
      <c r="B632" s="108"/>
    </row>
    <row r="633">
      <c r="B633" s="108"/>
    </row>
    <row r="634">
      <c r="B634" s="108"/>
    </row>
    <row r="635">
      <c r="B635" s="108"/>
    </row>
    <row r="636">
      <c r="B636" s="108"/>
    </row>
    <row r="637">
      <c r="B637" s="108"/>
    </row>
    <row r="638">
      <c r="B638" s="108"/>
    </row>
    <row r="639">
      <c r="B639" s="108"/>
    </row>
    <row r="640">
      <c r="B640" s="108"/>
    </row>
    <row r="641">
      <c r="B641" s="108"/>
    </row>
    <row r="642">
      <c r="B642" s="108"/>
    </row>
    <row r="643">
      <c r="B643" s="108"/>
    </row>
    <row r="644">
      <c r="B644" s="108"/>
    </row>
    <row r="645">
      <c r="B645" s="108"/>
    </row>
    <row r="646">
      <c r="B646" s="108"/>
    </row>
    <row r="647">
      <c r="B647" s="108"/>
    </row>
    <row r="648">
      <c r="B648" s="108"/>
    </row>
    <row r="649">
      <c r="B649" s="108"/>
    </row>
    <row r="650">
      <c r="B650" s="108"/>
    </row>
    <row r="651">
      <c r="B651" s="108"/>
    </row>
    <row r="652">
      <c r="B652" s="108"/>
    </row>
    <row r="653">
      <c r="B653" s="108"/>
    </row>
    <row r="654">
      <c r="B654" s="108"/>
    </row>
    <row r="655">
      <c r="B655" s="108"/>
    </row>
    <row r="656">
      <c r="B656" s="108"/>
    </row>
    <row r="657">
      <c r="B657" s="108"/>
    </row>
    <row r="658">
      <c r="B658" s="108"/>
    </row>
    <row r="659">
      <c r="B659" s="108"/>
    </row>
    <row r="660">
      <c r="B660" s="108"/>
    </row>
    <row r="661">
      <c r="B661" s="108"/>
    </row>
    <row r="662">
      <c r="B662" s="108"/>
    </row>
    <row r="663">
      <c r="B663" s="108"/>
    </row>
    <row r="664">
      <c r="B664" s="108"/>
    </row>
    <row r="665">
      <c r="B665" s="108"/>
    </row>
    <row r="666">
      <c r="B666" s="108"/>
    </row>
    <row r="667">
      <c r="B667" s="108"/>
    </row>
    <row r="668">
      <c r="B668" s="108"/>
    </row>
    <row r="669">
      <c r="B669" s="108"/>
    </row>
    <row r="670">
      <c r="B670" s="108"/>
    </row>
    <row r="671">
      <c r="B671" s="108"/>
    </row>
    <row r="672">
      <c r="B672" s="108"/>
    </row>
    <row r="673">
      <c r="B673" s="108"/>
    </row>
    <row r="674">
      <c r="B674" s="108"/>
    </row>
    <row r="675">
      <c r="B675" s="108"/>
    </row>
    <row r="676">
      <c r="B676" s="108"/>
    </row>
    <row r="677">
      <c r="B677" s="108"/>
    </row>
    <row r="678">
      <c r="B678" s="108"/>
    </row>
    <row r="679">
      <c r="B679" s="108"/>
    </row>
    <row r="680">
      <c r="B680" s="108"/>
    </row>
    <row r="681">
      <c r="B681" s="108"/>
    </row>
    <row r="682">
      <c r="B682" s="108"/>
    </row>
    <row r="683">
      <c r="B683" s="108"/>
    </row>
    <row r="684">
      <c r="B684" s="108"/>
    </row>
    <row r="685">
      <c r="B685" s="108"/>
    </row>
    <row r="686">
      <c r="B686" s="108"/>
    </row>
    <row r="687">
      <c r="B687" s="108"/>
    </row>
    <row r="688">
      <c r="B688" s="108"/>
    </row>
    <row r="689">
      <c r="B689" s="108"/>
    </row>
    <row r="690">
      <c r="B690" s="108"/>
    </row>
    <row r="691">
      <c r="B691" s="108"/>
    </row>
    <row r="692">
      <c r="B692" s="108"/>
    </row>
    <row r="693">
      <c r="B693" s="108"/>
    </row>
    <row r="694">
      <c r="B694" s="108"/>
    </row>
    <row r="695">
      <c r="B695" s="108"/>
    </row>
    <row r="696">
      <c r="B696" s="108"/>
    </row>
    <row r="697">
      <c r="B697" s="108"/>
    </row>
    <row r="698">
      <c r="B698" s="108"/>
    </row>
    <row r="699">
      <c r="B699" s="108"/>
    </row>
    <row r="700">
      <c r="B700" s="108"/>
    </row>
    <row r="701">
      <c r="B701" s="108"/>
    </row>
    <row r="702">
      <c r="B702" s="108"/>
    </row>
    <row r="703">
      <c r="B703" s="108"/>
    </row>
    <row r="704">
      <c r="B704" s="108"/>
    </row>
    <row r="705">
      <c r="B705" s="108"/>
    </row>
    <row r="706">
      <c r="B706" s="108"/>
    </row>
    <row r="707">
      <c r="B707" s="108"/>
    </row>
    <row r="708">
      <c r="B708" s="108"/>
    </row>
    <row r="709">
      <c r="B709" s="108"/>
    </row>
    <row r="710">
      <c r="B710" s="108"/>
    </row>
    <row r="711">
      <c r="B711" s="108"/>
    </row>
    <row r="712">
      <c r="B712" s="108"/>
    </row>
    <row r="713">
      <c r="B713" s="108"/>
    </row>
    <row r="714">
      <c r="B714" s="108"/>
    </row>
    <row r="715">
      <c r="B715" s="108"/>
    </row>
    <row r="716">
      <c r="B716" s="108"/>
    </row>
    <row r="717">
      <c r="B717" s="108"/>
    </row>
    <row r="718">
      <c r="B718" s="108"/>
    </row>
    <row r="719">
      <c r="B719" s="108"/>
    </row>
    <row r="720">
      <c r="B720" s="108"/>
    </row>
    <row r="721">
      <c r="B721" s="108"/>
    </row>
    <row r="722">
      <c r="B722" s="108"/>
    </row>
    <row r="723">
      <c r="B723" s="108"/>
    </row>
    <row r="724">
      <c r="B724" s="108"/>
    </row>
    <row r="725">
      <c r="B725" s="108"/>
    </row>
    <row r="726">
      <c r="B726" s="108"/>
    </row>
    <row r="727">
      <c r="B727" s="108"/>
    </row>
    <row r="728">
      <c r="B728" s="108"/>
    </row>
    <row r="729">
      <c r="B729" s="108"/>
    </row>
    <row r="730">
      <c r="B730" s="108"/>
    </row>
    <row r="731">
      <c r="B731" s="108"/>
    </row>
    <row r="732">
      <c r="B732" s="108"/>
    </row>
    <row r="733">
      <c r="B733" s="108"/>
    </row>
    <row r="734">
      <c r="B734" s="108"/>
    </row>
    <row r="735">
      <c r="B735" s="108"/>
    </row>
    <row r="736">
      <c r="B736" s="108"/>
    </row>
    <row r="737">
      <c r="B737" s="108"/>
    </row>
    <row r="738">
      <c r="B738" s="108"/>
    </row>
    <row r="739">
      <c r="B739" s="108"/>
    </row>
    <row r="740">
      <c r="B740" s="108"/>
    </row>
    <row r="741">
      <c r="B741" s="108"/>
    </row>
    <row r="742">
      <c r="B742" s="108"/>
    </row>
    <row r="743">
      <c r="B743" s="108"/>
    </row>
    <row r="744">
      <c r="B744" s="108"/>
    </row>
    <row r="745">
      <c r="B745" s="108"/>
    </row>
    <row r="746">
      <c r="B746" s="108"/>
    </row>
    <row r="747">
      <c r="B747" s="108"/>
    </row>
    <row r="748">
      <c r="B748" s="108"/>
    </row>
    <row r="749">
      <c r="B749" s="108"/>
    </row>
    <row r="750">
      <c r="B750" s="108"/>
    </row>
    <row r="751">
      <c r="B751" s="108"/>
    </row>
    <row r="752">
      <c r="B752" s="108"/>
    </row>
    <row r="753">
      <c r="B753" s="108"/>
    </row>
    <row r="754">
      <c r="B754" s="108"/>
    </row>
    <row r="755">
      <c r="B755" s="108"/>
    </row>
    <row r="756">
      <c r="B756" s="108"/>
    </row>
    <row r="757">
      <c r="B757" s="108"/>
    </row>
    <row r="758">
      <c r="B758" s="108"/>
    </row>
    <row r="759">
      <c r="B759" s="108"/>
    </row>
    <row r="760">
      <c r="B760" s="108"/>
    </row>
    <row r="761">
      <c r="B761" s="108"/>
    </row>
    <row r="762">
      <c r="B762" s="108"/>
    </row>
    <row r="763">
      <c r="B763" s="108"/>
    </row>
    <row r="764">
      <c r="B764" s="108"/>
    </row>
    <row r="765">
      <c r="B765" s="108"/>
    </row>
    <row r="766">
      <c r="B766" s="108"/>
    </row>
    <row r="767">
      <c r="B767" s="108"/>
    </row>
    <row r="768">
      <c r="B768" s="108"/>
    </row>
    <row r="769">
      <c r="B769" s="108"/>
    </row>
    <row r="770">
      <c r="B770" s="108"/>
    </row>
    <row r="771">
      <c r="B771" s="108"/>
    </row>
    <row r="772">
      <c r="B772" s="108"/>
    </row>
    <row r="773">
      <c r="B773" s="108"/>
    </row>
    <row r="774">
      <c r="B774" s="108"/>
    </row>
    <row r="775">
      <c r="B775" s="108"/>
    </row>
    <row r="776">
      <c r="B776" s="108"/>
    </row>
    <row r="777">
      <c r="B777" s="108"/>
    </row>
    <row r="778">
      <c r="B778" s="108"/>
    </row>
    <row r="779">
      <c r="B779" s="108"/>
    </row>
    <row r="780">
      <c r="B780" s="108"/>
    </row>
    <row r="781">
      <c r="B781" s="108"/>
    </row>
    <row r="782">
      <c r="B782" s="108"/>
    </row>
    <row r="783">
      <c r="B783" s="108"/>
    </row>
    <row r="784">
      <c r="B784" s="108"/>
    </row>
    <row r="785">
      <c r="B785" s="108"/>
    </row>
    <row r="786">
      <c r="B786" s="108"/>
    </row>
    <row r="787">
      <c r="B787" s="108"/>
    </row>
    <row r="788">
      <c r="B788" s="108"/>
    </row>
    <row r="789">
      <c r="B789" s="108"/>
    </row>
    <row r="790">
      <c r="B790" s="108"/>
    </row>
    <row r="791">
      <c r="B791" s="108"/>
    </row>
    <row r="792">
      <c r="B792" s="108"/>
    </row>
    <row r="793">
      <c r="B793" s="108"/>
    </row>
    <row r="794">
      <c r="B794" s="108"/>
    </row>
    <row r="795">
      <c r="B795" s="108"/>
    </row>
    <row r="796">
      <c r="B796" s="108"/>
    </row>
    <row r="797">
      <c r="B797" s="108"/>
    </row>
    <row r="798">
      <c r="B798" s="108"/>
    </row>
    <row r="799">
      <c r="B799" s="108"/>
    </row>
    <row r="800">
      <c r="B800" s="108"/>
    </row>
    <row r="801">
      <c r="B801" s="108"/>
    </row>
    <row r="802">
      <c r="B802" s="108"/>
    </row>
    <row r="803">
      <c r="B803" s="108"/>
    </row>
    <row r="804">
      <c r="B804" s="108"/>
    </row>
    <row r="805">
      <c r="B805" s="108"/>
    </row>
    <row r="806">
      <c r="B806" s="108"/>
    </row>
    <row r="807">
      <c r="B807" s="108"/>
    </row>
    <row r="808">
      <c r="B808" s="108"/>
    </row>
    <row r="809">
      <c r="B809" s="108"/>
    </row>
    <row r="810">
      <c r="B810" s="108"/>
    </row>
    <row r="811">
      <c r="B811" s="108"/>
    </row>
    <row r="812">
      <c r="B812" s="108"/>
    </row>
    <row r="813">
      <c r="B813" s="108"/>
    </row>
    <row r="814">
      <c r="B814" s="108"/>
    </row>
    <row r="815">
      <c r="B815" s="108"/>
    </row>
    <row r="816">
      <c r="B816" s="108"/>
    </row>
    <row r="817">
      <c r="B817" s="108"/>
    </row>
    <row r="818">
      <c r="B818" s="108"/>
    </row>
    <row r="819">
      <c r="B819" s="108"/>
    </row>
    <row r="820">
      <c r="B820" s="108"/>
    </row>
    <row r="821">
      <c r="B821" s="108"/>
    </row>
    <row r="822">
      <c r="B822" s="108"/>
    </row>
    <row r="823">
      <c r="B823" s="108"/>
    </row>
    <row r="824">
      <c r="B824" s="108"/>
    </row>
    <row r="825">
      <c r="B825" s="108"/>
    </row>
    <row r="826">
      <c r="B826" s="108"/>
    </row>
    <row r="827">
      <c r="B827" s="108"/>
    </row>
    <row r="828">
      <c r="B828" s="108"/>
    </row>
    <row r="829">
      <c r="B829" s="108"/>
    </row>
    <row r="830">
      <c r="B830" s="108"/>
    </row>
    <row r="831">
      <c r="B831" s="108"/>
    </row>
    <row r="832">
      <c r="B832" s="108"/>
    </row>
    <row r="833">
      <c r="B833" s="108"/>
    </row>
    <row r="834">
      <c r="B834" s="108"/>
    </row>
    <row r="835">
      <c r="B835" s="108"/>
    </row>
    <row r="836">
      <c r="B836" s="108"/>
    </row>
    <row r="837">
      <c r="B837" s="108"/>
    </row>
    <row r="838">
      <c r="B838" s="108"/>
    </row>
    <row r="839">
      <c r="B839" s="108"/>
    </row>
    <row r="840">
      <c r="B840" s="108"/>
    </row>
    <row r="841">
      <c r="B841" s="108"/>
    </row>
    <row r="842">
      <c r="B842" s="108"/>
    </row>
    <row r="843">
      <c r="B843" s="108"/>
    </row>
    <row r="844">
      <c r="B844" s="108"/>
    </row>
    <row r="845">
      <c r="B845" s="108"/>
    </row>
    <row r="846">
      <c r="B846" s="108"/>
    </row>
    <row r="847">
      <c r="B847" s="108"/>
    </row>
    <row r="848">
      <c r="B848" s="108"/>
    </row>
    <row r="849">
      <c r="B849" s="108"/>
    </row>
    <row r="850">
      <c r="B850" s="108"/>
    </row>
    <row r="851">
      <c r="B851" s="108"/>
    </row>
    <row r="852">
      <c r="B852" s="108"/>
    </row>
    <row r="853">
      <c r="B853" s="108"/>
    </row>
    <row r="854">
      <c r="B854" s="108"/>
    </row>
    <row r="855">
      <c r="B855" s="108"/>
    </row>
    <row r="856">
      <c r="B856" s="108"/>
    </row>
    <row r="857">
      <c r="B857" s="108"/>
    </row>
    <row r="858">
      <c r="B858" s="108"/>
    </row>
    <row r="859">
      <c r="B859" s="108"/>
    </row>
    <row r="860">
      <c r="B860" s="108"/>
    </row>
    <row r="861">
      <c r="B861" s="108"/>
    </row>
    <row r="862">
      <c r="B862" s="108"/>
    </row>
    <row r="863">
      <c r="B863" s="108"/>
    </row>
    <row r="864">
      <c r="B864" s="108"/>
    </row>
    <row r="865">
      <c r="B865" s="108"/>
    </row>
    <row r="866">
      <c r="B866" s="108"/>
    </row>
    <row r="867">
      <c r="B867" s="108"/>
    </row>
    <row r="868">
      <c r="B868" s="108"/>
    </row>
    <row r="869">
      <c r="B869" s="108"/>
    </row>
    <row r="870">
      <c r="B870" s="108"/>
    </row>
    <row r="871">
      <c r="B871" s="108"/>
    </row>
    <row r="872">
      <c r="B872" s="108"/>
    </row>
    <row r="873">
      <c r="B873" s="108"/>
    </row>
    <row r="874">
      <c r="B874" s="108"/>
    </row>
    <row r="875">
      <c r="B875" s="108"/>
    </row>
    <row r="876">
      <c r="B876" s="108"/>
    </row>
    <row r="877">
      <c r="B877" s="108"/>
    </row>
    <row r="878">
      <c r="B878" s="108"/>
    </row>
    <row r="879">
      <c r="B879" s="108"/>
    </row>
    <row r="880">
      <c r="B880" s="108"/>
    </row>
    <row r="881">
      <c r="B881" s="108"/>
    </row>
    <row r="882">
      <c r="B882" s="108"/>
    </row>
    <row r="883">
      <c r="B883" s="108"/>
    </row>
    <row r="884">
      <c r="B884" s="108"/>
    </row>
    <row r="885">
      <c r="B885" s="108"/>
    </row>
    <row r="886">
      <c r="B886" s="108"/>
    </row>
    <row r="887">
      <c r="B887" s="108"/>
    </row>
    <row r="888">
      <c r="B888" s="108"/>
    </row>
    <row r="889">
      <c r="B889" s="108"/>
    </row>
    <row r="890">
      <c r="B890" s="108"/>
    </row>
    <row r="891">
      <c r="B891" s="108"/>
    </row>
    <row r="892">
      <c r="B892" s="108"/>
    </row>
    <row r="893">
      <c r="B893" s="108"/>
    </row>
    <row r="894">
      <c r="B894" s="108"/>
    </row>
    <row r="895">
      <c r="B895" s="108"/>
    </row>
    <row r="896">
      <c r="B896" s="108"/>
    </row>
    <row r="897">
      <c r="B897" s="108"/>
    </row>
    <row r="898">
      <c r="B898" s="108"/>
    </row>
    <row r="899">
      <c r="B899" s="108"/>
    </row>
    <row r="900">
      <c r="B900" s="108"/>
    </row>
    <row r="901">
      <c r="B901" s="108"/>
    </row>
    <row r="902">
      <c r="B902" s="108"/>
    </row>
    <row r="903">
      <c r="B903" s="108"/>
    </row>
    <row r="904">
      <c r="B904" s="108"/>
    </row>
    <row r="905">
      <c r="B905" s="108"/>
    </row>
    <row r="906">
      <c r="B906" s="108"/>
    </row>
    <row r="907">
      <c r="B907" s="108"/>
    </row>
    <row r="908">
      <c r="B908" s="108"/>
    </row>
    <row r="909">
      <c r="B909" s="108"/>
    </row>
    <row r="910">
      <c r="B910" s="108"/>
    </row>
    <row r="911">
      <c r="B911" s="108"/>
    </row>
    <row r="912">
      <c r="B912" s="108"/>
    </row>
    <row r="913">
      <c r="B913" s="108"/>
    </row>
    <row r="914">
      <c r="B914" s="108"/>
    </row>
    <row r="915">
      <c r="B915" s="108"/>
    </row>
    <row r="916">
      <c r="B916" s="108"/>
    </row>
    <row r="917">
      <c r="B917" s="108"/>
    </row>
    <row r="918">
      <c r="B918" s="108"/>
    </row>
    <row r="919">
      <c r="B919" s="108"/>
    </row>
    <row r="920">
      <c r="B920" s="108"/>
    </row>
    <row r="921">
      <c r="B921" s="108"/>
    </row>
    <row r="922">
      <c r="B922" s="108"/>
    </row>
    <row r="923">
      <c r="B923" s="108"/>
    </row>
    <row r="924">
      <c r="B924" s="108"/>
    </row>
    <row r="925">
      <c r="B925" s="108"/>
    </row>
    <row r="926">
      <c r="B926" s="108"/>
    </row>
    <row r="927">
      <c r="B927" s="108"/>
    </row>
    <row r="928">
      <c r="B928" s="108"/>
    </row>
    <row r="929">
      <c r="B929" s="108"/>
    </row>
    <row r="930">
      <c r="B930" s="108"/>
    </row>
    <row r="931">
      <c r="B931" s="108"/>
    </row>
    <row r="932">
      <c r="B932" s="108"/>
    </row>
    <row r="933">
      <c r="B933" s="108"/>
    </row>
    <row r="934">
      <c r="B934" s="108"/>
    </row>
    <row r="935">
      <c r="B935" s="108"/>
    </row>
    <row r="936">
      <c r="B936" s="108"/>
    </row>
    <row r="937">
      <c r="B937" s="108"/>
    </row>
    <row r="938">
      <c r="B938" s="108"/>
    </row>
    <row r="939">
      <c r="B939" s="108"/>
    </row>
    <row r="940">
      <c r="B940" s="108"/>
    </row>
    <row r="941">
      <c r="B941" s="108"/>
    </row>
    <row r="942">
      <c r="B942" s="108"/>
    </row>
    <row r="943">
      <c r="B943" s="108"/>
    </row>
    <row r="944">
      <c r="B944" s="108"/>
    </row>
    <row r="945">
      <c r="B945" s="108"/>
    </row>
    <row r="946">
      <c r="B946" s="108"/>
    </row>
    <row r="947">
      <c r="B947" s="108"/>
    </row>
    <row r="948">
      <c r="B948" s="108"/>
    </row>
    <row r="949">
      <c r="B949" s="108"/>
    </row>
    <row r="950">
      <c r="B950" s="108"/>
    </row>
    <row r="951">
      <c r="B951" s="108"/>
    </row>
    <row r="952">
      <c r="B952" s="108"/>
    </row>
    <row r="953">
      <c r="B953" s="108"/>
    </row>
    <row r="954">
      <c r="B954" s="108"/>
    </row>
    <row r="955">
      <c r="B955" s="108"/>
    </row>
    <row r="956">
      <c r="B956" s="108"/>
    </row>
    <row r="957">
      <c r="B957" s="108"/>
    </row>
    <row r="958">
      <c r="B958" s="108"/>
    </row>
    <row r="959">
      <c r="B959" s="108"/>
    </row>
    <row r="960">
      <c r="B960" s="108"/>
    </row>
    <row r="961">
      <c r="B961" s="108"/>
    </row>
    <row r="962">
      <c r="B962" s="108"/>
    </row>
    <row r="963">
      <c r="B963" s="108"/>
    </row>
    <row r="964">
      <c r="B964" s="108"/>
    </row>
    <row r="965">
      <c r="B965" s="108"/>
    </row>
    <row r="966">
      <c r="B966" s="108"/>
    </row>
    <row r="967">
      <c r="B967" s="108"/>
    </row>
    <row r="968">
      <c r="B968" s="108"/>
    </row>
    <row r="969">
      <c r="B969" s="108"/>
    </row>
    <row r="970">
      <c r="B970" s="108"/>
    </row>
    <row r="971">
      <c r="B971" s="108"/>
    </row>
    <row r="972">
      <c r="B972" s="108"/>
    </row>
    <row r="973">
      <c r="B973" s="108"/>
    </row>
    <row r="974">
      <c r="B974" s="108"/>
    </row>
    <row r="975">
      <c r="B975" s="108"/>
    </row>
    <row r="976">
      <c r="B976" s="108"/>
    </row>
    <row r="977">
      <c r="B977" s="108"/>
    </row>
    <row r="978">
      <c r="B978" s="108"/>
    </row>
    <row r="979">
      <c r="B979" s="108"/>
    </row>
    <row r="980">
      <c r="B980" s="108"/>
    </row>
    <row r="981">
      <c r="B981" s="108"/>
    </row>
    <row r="982">
      <c r="B982" s="108"/>
    </row>
    <row r="983">
      <c r="B983" s="108"/>
    </row>
    <row r="984">
      <c r="B984" s="108"/>
    </row>
    <row r="985">
      <c r="B985" s="108"/>
    </row>
    <row r="986">
      <c r="B986" s="108"/>
    </row>
    <row r="987">
      <c r="B987" s="108"/>
    </row>
    <row r="988">
      <c r="B988" s="108"/>
    </row>
    <row r="989">
      <c r="B989" s="108"/>
    </row>
    <row r="990">
      <c r="B990" s="108"/>
    </row>
    <row r="991">
      <c r="B991" s="108"/>
    </row>
    <row r="992">
      <c r="B992" s="108"/>
    </row>
    <row r="993">
      <c r="B993" s="108"/>
    </row>
    <row r="994">
      <c r="B994" s="108"/>
    </row>
    <row r="995">
      <c r="B995" s="108"/>
    </row>
    <row r="996">
      <c r="B996" s="108"/>
    </row>
    <row r="997">
      <c r="B997" s="108"/>
    </row>
    <row r="998">
      <c r="B998" s="108"/>
    </row>
    <row r="999">
      <c r="B999" s="108"/>
    </row>
    <row r="1000">
      <c r="B1000" s="108"/>
    </row>
  </sheetData>
  <hyperlinks>
    <hyperlink r:id="rId1" ref="B133"/>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2" max="2" width="17.57"/>
    <col customWidth="1" min="3" max="3" width="14.43"/>
    <col customWidth="1" min="4" max="4" width="16.29"/>
    <col customWidth="1" min="5" max="5" width="39.0"/>
    <col customWidth="1" min="6" max="6" width="28.57"/>
    <col customWidth="1" min="7" max="7" width="39.0"/>
    <col customWidth="1" min="8" max="8" width="37.29"/>
    <col customWidth="1" min="9" max="9" width="39.0"/>
    <col customWidth="1" min="10" max="10" width="37.86"/>
    <col customWidth="1" min="11" max="11" width="45.57"/>
  </cols>
  <sheetData>
    <row r="1">
      <c r="A1" s="23" t="s">
        <v>2026</v>
      </c>
      <c r="B1" s="152" t="s">
        <v>2027</v>
      </c>
    </row>
    <row r="2">
      <c r="B2" s="23"/>
      <c r="D2" s="23"/>
      <c r="F2" s="23"/>
      <c r="H2" s="23"/>
    </row>
    <row r="3">
      <c r="B3" s="15" t="s">
        <v>2028</v>
      </c>
      <c r="C3" s="262"/>
      <c r="D3" s="15" t="s">
        <v>2029</v>
      </c>
      <c r="E3" s="262"/>
      <c r="F3" s="15" t="s">
        <v>2030</v>
      </c>
      <c r="G3" s="262"/>
      <c r="H3" s="15" t="s">
        <v>2031</v>
      </c>
      <c r="I3" s="262"/>
    </row>
    <row r="4">
      <c r="B4" s="15" t="s">
        <v>2032</v>
      </c>
      <c r="C4" s="15" t="s">
        <v>2033</v>
      </c>
      <c r="D4" s="15" t="s">
        <v>2034</v>
      </c>
      <c r="E4" s="15" t="s">
        <v>2035</v>
      </c>
      <c r="F4" s="15" t="s">
        <v>816</v>
      </c>
      <c r="G4" s="15" t="s">
        <v>2036</v>
      </c>
      <c r="H4" s="15" t="s">
        <v>2037</v>
      </c>
      <c r="I4" s="15" t="s">
        <v>2038</v>
      </c>
    </row>
    <row r="5">
      <c r="B5" s="18" t="s">
        <v>2039</v>
      </c>
      <c r="C5" s="18" t="s">
        <v>2040</v>
      </c>
      <c r="D5" s="18" t="s">
        <v>172</v>
      </c>
      <c r="E5" s="263" t="s">
        <v>636</v>
      </c>
      <c r="F5" s="18" t="s">
        <v>2041</v>
      </c>
      <c r="G5" s="263" t="s">
        <v>636</v>
      </c>
      <c r="H5" s="18" t="s">
        <v>2042</v>
      </c>
      <c r="I5" s="18" t="s">
        <v>2040</v>
      </c>
      <c r="J5" s="23" t="s">
        <v>2043</v>
      </c>
      <c r="K5" s="97" t="str">
        <f>CONCATENATE(F5,J5,H5)</f>
        <v>Chemicals &amp; Petrochemicals - Commodity
Chemicals</v>
      </c>
    </row>
    <row r="6">
      <c r="B6" s="18" t="s">
        <v>2039</v>
      </c>
      <c r="C6" s="18" t="s">
        <v>2040</v>
      </c>
      <c r="D6" s="18" t="s">
        <v>172</v>
      </c>
      <c r="E6" s="263" t="s">
        <v>636</v>
      </c>
      <c r="F6" s="18" t="s">
        <v>2041</v>
      </c>
      <c r="G6" s="263" t="s">
        <v>636</v>
      </c>
      <c r="H6" s="18" t="s">
        <v>2044</v>
      </c>
      <c r="I6" s="18" t="s">
        <v>2040</v>
      </c>
      <c r="J6" s="23" t="s">
        <v>2043</v>
      </c>
    </row>
    <row r="7">
      <c r="B7" s="18" t="s">
        <v>2039</v>
      </c>
      <c r="C7" s="18" t="s">
        <v>2040</v>
      </c>
      <c r="D7" s="18" t="s">
        <v>172</v>
      </c>
      <c r="E7" s="263" t="s">
        <v>636</v>
      </c>
      <c r="F7" s="18" t="s">
        <v>2041</v>
      </c>
      <c r="G7" s="263" t="s">
        <v>636</v>
      </c>
      <c r="H7" s="18" t="s">
        <v>2045</v>
      </c>
      <c r="I7" s="18" t="s">
        <v>2040</v>
      </c>
      <c r="J7" s="23" t="s">
        <v>2043</v>
      </c>
    </row>
    <row r="8">
      <c r="B8" s="18" t="s">
        <v>2039</v>
      </c>
      <c r="C8" s="18" t="s">
        <v>2040</v>
      </c>
      <c r="D8" s="18" t="s">
        <v>172</v>
      </c>
      <c r="E8" s="263" t="s">
        <v>636</v>
      </c>
      <c r="F8" s="18" t="s">
        <v>2041</v>
      </c>
      <c r="G8" s="263" t="s">
        <v>636</v>
      </c>
      <c r="H8" s="18" t="s">
        <v>2046</v>
      </c>
      <c r="I8" s="18" t="s">
        <v>2040</v>
      </c>
      <c r="J8" s="23" t="s">
        <v>2043</v>
      </c>
    </row>
    <row r="9">
      <c r="B9" s="18" t="s">
        <v>2039</v>
      </c>
      <c r="C9" s="18" t="s">
        <v>2040</v>
      </c>
      <c r="D9" s="18" t="s">
        <v>172</v>
      </c>
      <c r="E9" s="263" t="s">
        <v>636</v>
      </c>
      <c r="F9" s="18" t="s">
        <v>2041</v>
      </c>
      <c r="G9" s="263" t="s">
        <v>636</v>
      </c>
      <c r="H9" s="18" t="s">
        <v>2047</v>
      </c>
      <c r="I9" s="18" t="s">
        <v>2040</v>
      </c>
      <c r="J9" s="23" t="s">
        <v>2043</v>
      </c>
    </row>
    <row r="10">
      <c r="B10" s="18" t="s">
        <v>2039</v>
      </c>
      <c r="C10" s="18" t="s">
        <v>2040</v>
      </c>
      <c r="D10" s="18" t="s">
        <v>172</v>
      </c>
      <c r="E10" s="263" t="s">
        <v>636</v>
      </c>
      <c r="F10" s="18" t="s">
        <v>2041</v>
      </c>
      <c r="G10" s="263" t="s">
        <v>636</v>
      </c>
      <c r="H10" s="18" t="s">
        <v>773</v>
      </c>
      <c r="I10" s="18" t="s">
        <v>2040</v>
      </c>
      <c r="J10" s="23" t="s">
        <v>2043</v>
      </c>
    </row>
    <row r="11">
      <c r="B11" s="18" t="s">
        <v>2039</v>
      </c>
      <c r="C11" s="18" t="s">
        <v>2040</v>
      </c>
      <c r="D11" s="18" t="s">
        <v>172</v>
      </c>
      <c r="E11" s="263" t="s">
        <v>636</v>
      </c>
      <c r="F11" s="18" t="s">
        <v>2041</v>
      </c>
      <c r="G11" s="263" t="s">
        <v>636</v>
      </c>
      <c r="H11" s="18" t="s">
        <v>2048</v>
      </c>
      <c r="I11" s="18" t="s">
        <v>2040</v>
      </c>
      <c r="J11" s="23" t="s">
        <v>2043</v>
      </c>
    </row>
    <row r="12">
      <c r="B12" s="18" t="s">
        <v>2039</v>
      </c>
      <c r="C12" s="18" t="s">
        <v>2040</v>
      </c>
      <c r="D12" s="18" t="s">
        <v>172</v>
      </c>
      <c r="E12" s="263" t="s">
        <v>636</v>
      </c>
      <c r="F12" s="18" t="s">
        <v>2041</v>
      </c>
      <c r="G12" s="263" t="s">
        <v>636</v>
      </c>
      <c r="H12" s="18" t="s">
        <v>2049</v>
      </c>
      <c r="I12" s="18" t="s">
        <v>2040</v>
      </c>
      <c r="J12" s="23" t="s">
        <v>2043</v>
      </c>
    </row>
    <row r="13">
      <c r="B13" s="18" t="s">
        <v>2039</v>
      </c>
      <c r="C13" s="18" t="s">
        <v>2040</v>
      </c>
      <c r="D13" s="18" t="s">
        <v>172</v>
      </c>
      <c r="E13" s="263" t="s">
        <v>636</v>
      </c>
      <c r="F13" s="18" t="s">
        <v>2041</v>
      </c>
      <c r="G13" s="263" t="s">
        <v>636</v>
      </c>
      <c r="H13" s="18" t="s">
        <v>720</v>
      </c>
      <c r="I13" s="18" t="s">
        <v>2040</v>
      </c>
      <c r="J13" s="23" t="s">
        <v>2043</v>
      </c>
    </row>
    <row r="14">
      <c r="B14" s="23"/>
      <c r="C14" s="23"/>
      <c r="D14" s="23"/>
      <c r="E14" s="23"/>
      <c r="H14" s="23"/>
      <c r="J14" s="23" t="s">
        <v>2043</v>
      </c>
    </row>
    <row r="15">
      <c r="B15" s="18" t="s">
        <v>2039</v>
      </c>
      <c r="C15" s="18" t="s">
        <v>2040</v>
      </c>
      <c r="D15" s="18" t="s">
        <v>172</v>
      </c>
      <c r="E15" s="263" t="s">
        <v>636</v>
      </c>
      <c r="F15" s="18" t="s">
        <v>2050</v>
      </c>
      <c r="G15" s="263" t="s">
        <v>635</v>
      </c>
      <c r="H15" s="18" t="s">
        <v>693</v>
      </c>
      <c r="I15" s="18" t="s">
        <v>2040</v>
      </c>
      <c r="J15" s="23" t="s">
        <v>2043</v>
      </c>
    </row>
    <row r="16">
      <c r="B16" s="18" t="s">
        <v>2039</v>
      </c>
      <c r="C16" s="18" t="s">
        <v>2040</v>
      </c>
      <c r="D16" s="18" t="s">
        <v>172</v>
      </c>
      <c r="E16" s="263" t="s">
        <v>636</v>
      </c>
      <c r="F16" s="18" t="s">
        <v>2050</v>
      </c>
      <c r="G16" s="263" t="s">
        <v>635</v>
      </c>
      <c r="H16" s="18" t="s">
        <v>2051</v>
      </c>
      <c r="I16" s="263" t="s">
        <v>635</v>
      </c>
      <c r="J16" s="23" t="s">
        <v>2043</v>
      </c>
    </row>
    <row r="17">
      <c r="J17" s="23" t="s">
        <v>2043</v>
      </c>
    </row>
    <row r="18">
      <c r="B18" s="18" t="s">
        <v>2039</v>
      </c>
      <c r="C18" s="18" t="s">
        <v>2040</v>
      </c>
      <c r="D18" s="18" t="s">
        <v>2052</v>
      </c>
      <c r="E18" s="18" t="s">
        <v>923</v>
      </c>
      <c r="F18" s="18" t="s">
        <v>659</v>
      </c>
      <c r="G18" s="18" t="s">
        <v>923</v>
      </c>
      <c r="H18" s="18" t="s">
        <v>659</v>
      </c>
      <c r="I18" s="18" t="s">
        <v>923</v>
      </c>
      <c r="J18" s="23" t="s">
        <v>2043</v>
      </c>
    </row>
    <row r="19">
      <c r="B19" s="23"/>
      <c r="C19" s="23"/>
      <c r="D19" s="23"/>
      <c r="E19" s="23"/>
      <c r="F19" s="23"/>
      <c r="G19" s="23"/>
      <c r="H19" s="23"/>
      <c r="I19" s="264"/>
      <c r="J19" s="23" t="s">
        <v>2043</v>
      </c>
    </row>
    <row r="20">
      <c r="B20" s="18" t="s">
        <v>2039</v>
      </c>
      <c r="C20" s="18" t="s">
        <v>2040</v>
      </c>
      <c r="D20" s="18" t="s">
        <v>2053</v>
      </c>
      <c r="E20" s="18" t="s">
        <v>923</v>
      </c>
      <c r="F20" s="18" t="s">
        <v>2054</v>
      </c>
      <c r="G20" s="18" t="s">
        <v>923</v>
      </c>
      <c r="H20" s="18" t="s">
        <v>2054</v>
      </c>
      <c r="I20" s="18" t="s">
        <v>923</v>
      </c>
      <c r="J20" s="23" t="s">
        <v>2043</v>
      </c>
    </row>
    <row r="21">
      <c r="J21" s="23" t="s">
        <v>2043</v>
      </c>
    </row>
    <row r="22">
      <c r="B22" s="18" t="s">
        <v>2039</v>
      </c>
      <c r="C22" s="265"/>
      <c r="D22" s="18" t="s">
        <v>2055</v>
      </c>
      <c r="E22" s="265"/>
      <c r="F22" s="18" t="s">
        <v>2056</v>
      </c>
      <c r="G22" s="265"/>
      <c r="H22" s="18" t="s">
        <v>2057</v>
      </c>
      <c r="I22" s="23" t="s">
        <v>2058</v>
      </c>
      <c r="J22" s="23" t="s">
        <v>2043</v>
      </c>
    </row>
    <row r="23">
      <c r="B23" s="18" t="s">
        <v>2039</v>
      </c>
      <c r="C23" s="265"/>
      <c r="D23" s="18" t="s">
        <v>2055</v>
      </c>
      <c r="E23" s="265"/>
      <c r="F23" s="18" t="s">
        <v>2056</v>
      </c>
      <c r="G23" s="265"/>
      <c r="H23" s="18" t="s">
        <v>2059</v>
      </c>
      <c r="I23" s="23" t="s">
        <v>2060</v>
      </c>
      <c r="J23" s="23" t="s">
        <v>2043</v>
      </c>
    </row>
    <row r="24">
      <c r="B24" s="18" t="s">
        <v>2039</v>
      </c>
      <c r="C24" s="265"/>
      <c r="D24" s="18" t="s">
        <v>2055</v>
      </c>
      <c r="E24" s="265"/>
      <c r="F24" s="18" t="s">
        <v>2056</v>
      </c>
      <c r="G24" s="265"/>
      <c r="H24" s="18" t="s">
        <v>2061</v>
      </c>
      <c r="I24" s="23" t="s">
        <v>2061</v>
      </c>
      <c r="J24" s="23" t="s">
        <v>2043</v>
      </c>
    </row>
    <row r="25">
      <c r="B25" s="18" t="s">
        <v>2039</v>
      </c>
      <c r="C25" s="265"/>
      <c r="D25" s="18" t="s">
        <v>2062</v>
      </c>
      <c r="E25" s="265"/>
      <c r="F25" s="18" t="s">
        <v>2056</v>
      </c>
      <c r="G25" s="265"/>
      <c r="H25" s="18" t="s">
        <v>2063</v>
      </c>
      <c r="J25" s="23" t="s">
        <v>2043</v>
      </c>
    </row>
    <row r="26">
      <c r="J26" s="23" t="s">
        <v>2043</v>
      </c>
    </row>
    <row r="27">
      <c r="B27" s="18" t="s">
        <v>2039</v>
      </c>
      <c r="C27" s="265"/>
      <c r="D27" s="18" t="s">
        <v>2055</v>
      </c>
      <c r="E27" s="265"/>
      <c r="F27" s="18" t="s">
        <v>2064</v>
      </c>
      <c r="G27" s="265"/>
      <c r="H27" s="18" t="s">
        <v>942</v>
      </c>
      <c r="J27" s="23" t="s">
        <v>2043</v>
      </c>
    </row>
    <row r="28">
      <c r="B28" s="266" t="s">
        <v>2039</v>
      </c>
      <c r="C28" s="265"/>
      <c r="D28" s="18" t="s">
        <v>2062</v>
      </c>
      <c r="E28" s="265"/>
      <c r="F28" s="18" t="s">
        <v>2064</v>
      </c>
      <c r="G28" s="265"/>
      <c r="H28" s="18" t="s">
        <v>679</v>
      </c>
      <c r="J28" s="23" t="s">
        <v>2043</v>
      </c>
    </row>
    <row r="29">
      <c r="B29" s="18" t="s">
        <v>2039</v>
      </c>
      <c r="C29" s="265"/>
      <c r="D29" s="18" t="s">
        <v>2055</v>
      </c>
      <c r="E29" s="265"/>
      <c r="F29" s="18" t="s">
        <v>2064</v>
      </c>
      <c r="G29" s="265"/>
      <c r="H29" s="18" t="s">
        <v>814</v>
      </c>
      <c r="J29" s="23" t="s">
        <v>2043</v>
      </c>
    </row>
    <row r="30">
      <c r="B30" s="266" t="s">
        <v>2039</v>
      </c>
      <c r="C30" s="265"/>
      <c r="D30" s="18" t="s">
        <v>2062</v>
      </c>
      <c r="E30" s="265"/>
      <c r="F30" s="18" t="s">
        <v>2064</v>
      </c>
      <c r="G30" s="265"/>
      <c r="H30" s="18" t="s">
        <v>2065</v>
      </c>
      <c r="J30" s="23" t="s">
        <v>2043</v>
      </c>
    </row>
    <row r="31">
      <c r="J31" s="23" t="s">
        <v>2043</v>
      </c>
    </row>
    <row r="32">
      <c r="B32" s="18" t="s">
        <v>2039</v>
      </c>
      <c r="C32" s="265"/>
      <c r="D32" s="18" t="s">
        <v>2066</v>
      </c>
      <c r="E32" s="265"/>
      <c r="F32" s="18" t="s">
        <v>2067</v>
      </c>
      <c r="G32" s="265"/>
      <c r="H32" s="18" t="s">
        <v>2067</v>
      </c>
      <c r="J32" s="23" t="s">
        <v>2043</v>
      </c>
    </row>
    <row r="33">
      <c r="J33" s="23" t="s">
        <v>2043</v>
      </c>
    </row>
    <row r="34">
      <c r="B34" s="18" t="s">
        <v>2039</v>
      </c>
      <c r="C34" s="265"/>
      <c r="D34" s="18" t="s">
        <v>2066</v>
      </c>
      <c r="E34" s="265"/>
      <c r="F34" s="18" t="s">
        <v>2068</v>
      </c>
      <c r="G34" s="265"/>
      <c r="H34" s="18" t="s">
        <v>2068</v>
      </c>
      <c r="J34" s="23" t="s">
        <v>2043</v>
      </c>
    </row>
    <row r="35">
      <c r="J35" s="23" t="s">
        <v>2043</v>
      </c>
    </row>
    <row r="36">
      <c r="B36" s="18" t="s">
        <v>2039</v>
      </c>
      <c r="C36" s="265"/>
      <c r="D36" s="18" t="s">
        <v>2066</v>
      </c>
      <c r="E36" s="265"/>
      <c r="F36" s="18" t="s">
        <v>2069</v>
      </c>
      <c r="G36" s="265"/>
      <c r="H36" s="18" t="s">
        <v>2070</v>
      </c>
      <c r="J36" s="23" t="s">
        <v>2043</v>
      </c>
    </row>
    <row r="37">
      <c r="B37" s="18" t="s">
        <v>2039</v>
      </c>
      <c r="C37" s="265"/>
      <c r="D37" s="18" t="s">
        <v>2066</v>
      </c>
      <c r="E37" s="265"/>
      <c r="F37" s="18" t="s">
        <v>2069</v>
      </c>
      <c r="G37" s="265"/>
      <c r="H37" s="18" t="s">
        <v>2071</v>
      </c>
      <c r="J37" s="23" t="s">
        <v>2043</v>
      </c>
    </row>
    <row r="38">
      <c r="J38" s="23" t="s">
        <v>2043</v>
      </c>
    </row>
    <row r="39">
      <c r="B39" s="18" t="s">
        <v>2039</v>
      </c>
      <c r="C39" s="265"/>
      <c r="D39" s="18" t="s">
        <v>2072</v>
      </c>
      <c r="E39" s="265"/>
      <c r="F39" s="18" t="s">
        <v>2073</v>
      </c>
      <c r="G39" s="265"/>
      <c r="H39" s="138" t="s">
        <v>770</v>
      </c>
      <c r="J39" s="23" t="s">
        <v>2043</v>
      </c>
    </row>
    <row r="40">
      <c r="B40" s="18" t="s">
        <v>2039</v>
      </c>
      <c r="C40" s="265"/>
      <c r="D40" s="18" t="s">
        <v>2072</v>
      </c>
      <c r="E40" s="265"/>
      <c r="F40" s="18" t="s">
        <v>2073</v>
      </c>
      <c r="G40" s="265"/>
      <c r="H40" s="138" t="s">
        <v>700</v>
      </c>
      <c r="J40" s="23" t="s">
        <v>2043</v>
      </c>
    </row>
    <row r="41">
      <c r="B41" s="18" t="s">
        <v>2039</v>
      </c>
      <c r="C41" s="265"/>
      <c r="D41" s="18" t="s">
        <v>2072</v>
      </c>
      <c r="E41" s="265"/>
      <c r="F41" s="18" t="s">
        <v>2073</v>
      </c>
      <c r="H41" s="18" t="s">
        <v>2074</v>
      </c>
      <c r="J41" s="23" t="s">
        <v>2043</v>
      </c>
    </row>
    <row r="42">
      <c r="J42" s="23" t="s">
        <v>2043</v>
      </c>
    </row>
    <row r="43">
      <c r="B43" s="18" t="s">
        <v>2075</v>
      </c>
      <c r="C43" s="265"/>
      <c r="D43" s="138" t="s">
        <v>2076</v>
      </c>
      <c r="E43" s="265"/>
      <c r="F43" s="18" t="s">
        <v>200</v>
      </c>
      <c r="G43" s="265"/>
      <c r="H43" s="138" t="s">
        <v>2077</v>
      </c>
      <c r="J43" s="23" t="s">
        <v>2043</v>
      </c>
    </row>
    <row r="44">
      <c r="B44" s="18" t="s">
        <v>2075</v>
      </c>
      <c r="C44" s="265"/>
      <c r="D44" s="138" t="s">
        <v>2076</v>
      </c>
      <c r="E44" s="265"/>
      <c r="F44" s="18" t="s">
        <v>200</v>
      </c>
      <c r="G44" s="265"/>
      <c r="H44" s="18" t="s">
        <v>623</v>
      </c>
      <c r="J44" s="23" t="s">
        <v>2043</v>
      </c>
    </row>
    <row r="45">
      <c r="B45" s="18" t="s">
        <v>2075</v>
      </c>
      <c r="C45" s="265"/>
      <c r="D45" s="138" t="s">
        <v>2076</v>
      </c>
      <c r="E45" s="265"/>
      <c r="F45" s="18" t="s">
        <v>200</v>
      </c>
      <c r="G45" s="265"/>
      <c r="H45" s="18" t="s">
        <v>2078</v>
      </c>
      <c r="J45" s="23" t="s">
        <v>2043</v>
      </c>
    </row>
    <row r="46">
      <c r="J46" s="23" t="s">
        <v>2043</v>
      </c>
    </row>
    <row r="47">
      <c r="B47" s="18" t="s">
        <v>2075</v>
      </c>
      <c r="C47" s="265"/>
      <c r="D47" s="138" t="s">
        <v>2076</v>
      </c>
      <c r="E47" s="265"/>
      <c r="F47" s="18" t="s">
        <v>2079</v>
      </c>
      <c r="G47" s="265"/>
      <c r="H47" s="138" t="s">
        <v>2080</v>
      </c>
      <c r="J47" s="23" t="s">
        <v>2043</v>
      </c>
    </row>
    <row r="48">
      <c r="B48" s="18" t="s">
        <v>2075</v>
      </c>
      <c r="C48" s="265"/>
      <c r="D48" s="138" t="s">
        <v>2076</v>
      </c>
      <c r="E48" s="265"/>
      <c r="F48" s="18" t="s">
        <v>2079</v>
      </c>
      <c r="G48" s="265"/>
      <c r="H48" s="18" t="s">
        <v>2081</v>
      </c>
      <c r="J48" s="23" t="s">
        <v>2043</v>
      </c>
    </row>
    <row r="49">
      <c r="B49" s="18" t="s">
        <v>2075</v>
      </c>
      <c r="C49" s="265"/>
      <c r="D49" s="138" t="s">
        <v>2076</v>
      </c>
      <c r="E49" s="265"/>
      <c r="F49" s="18" t="s">
        <v>2079</v>
      </c>
      <c r="G49" s="265"/>
      <c r="H49" s="18" t="s">
        <v>2082</v>
      </c>
      <c r="J49" s="23" t="s">
        <v>2043</v>
      </c>
    </row>
    <row r="50">
      <c r="B50" s="18" t="s">
        <v>2075</v>
      </c>
      <c r="C50" s="265"/>
      <c r="D50" s="138" t="s">
        <v>2076</v>
      </c>
      <c r="E50" s="265"/>
      <c r="F50" s="18" t="s">
        <v>2079</v>
      </c>
      <c r="G50" s="265"/>
      <c r="H50" s="18" t="s">
        <v>2083</v>
      </c>
      <c r="J50" s="23" t="s">
        <v>2043</v>
      </c>
    </row>
    <row r="51">
      <c r="B51" s="18" t="s">
        <v>2075</v>
      </c>
      <c r="C51" s="265"/>
      <c r="D51" s="138" t="s">
        <v>2076</v>
      </c>
      <c r="E51" s="265"/>
      <c r="F51" s="18" t="s">
        <v>2079</v>
      </c>
      <c r="G51" s="265"/>
      <c r="H51" s="18" t="s">
        <v>2084</v>
      </c>
      <c r="J51" s="23" t="s">
        <v>2043</v>
      </c>
    </row>
    <row r="52">
      <c r="B52" s="18" t="s">
        <v>2075</v>
      </c>
      <c r="C52" s="265"/>
      <c r="D52" s="138" t="s">
        <v>2076</v>
      </c>
      <c r="E52" s="265"/>
      <c r="F52" s="18" t="s">
        <v>2079</v>
      </c>
      <c r="G52" s="265"/>
      <c r="H52" s="18" t="s">
        <v>2085</v>
      </c>
      <c r="J52" s="23" t="s">
        <v>2043</v>
      </c>
    </row>
    <row r="53">
      <c r="J53" s="23" t="s">
        <v>2043</v>
      </c>
    </row>
    <row r="54">
      <c r="B54" s="18" t="s">
        <v>2075</v>
      </c>
      <c r="C54" s="265"/>
      <c r="D54" s="138" t="s">
        <v>2086</v>
      </c>
      <c r="E54" s="265"/>
      <c r="F54" s="18" t="s">
        <v>2087</v>
      </c>
      <c r="G54" s="265"/>
      <c r="H54" s="18" t="s">
        <v>2088</v>
      </c>
      <c r="J54" s="23" t="s">
        <v>2043</v>
      </c>
    </row>
    <row r="55">
      <c r="B55" s="18" t="s">
        <v>2075</v>
      </c>
      <c r="C55" s="265"/>
      <c r="D55" s="138" t="s">
        <v>2086</v>
      </c>
      <c r="E55" s="265"/>
      <c r="F55" s="18" t="s">
        <v>2087</v>
      </c>
      <c r="G55" s="265"/>
      <c r="H55" s="18" t="s">
        <v>2089</v>
      </c>
      <c r="J55" s="23" t="s">
        <v>2043</v>
      </c>
    </row>
    <row r="56">
      <c r="B56" s="18" t="s">
        <v>2075</v>
      </c>
      <c r="C56" s="265"/>
      <c r="D56" s="138" t="s">
        <v>2086</v>
      </c>
      <c r="E56" s="265"/>
      <c r="F56" s="18" t="s">
        <v>2087</v>
      </c>
      <c r="G56" s="265"/>
      <c r="H56" s="138" t="s">
        <v>677</v>
      </c>
      <c r="J56" s="23" t="s">
        <v>2043</v>
      </c>
    </row>
    <row r="57">
      <c r="B57" s="18" t="s">
        <v>2075</v>
      </c>
      <c r="C57" s="265"/>
      <c r="D57" s="138" t="s">
        <v>2086</v>
      </c>
      <c r="E57" s="265"/>
      <c r="F57" s="18" t="s">
        <v>2087</v>
      </c>
      <c r="G57" s="265"/>
      <c r="H57" s="18" t="s">
        <v>2090</v>
      </c>
      <c r="J57" s="23" t="s">
        <v>2043</v>
      </c>
    </row>
    <row r="58">
      <c r="B58" s="18" t="s">
        <v>2075</v>
      </c>
      <c r="C58" s="265"/>
      <c r="D58" s="138" t="s">
        <v>2086</v>
      </c>
      <c r="E58" s="265"/>
      <c r="F58" s="18" t="s">
        <v>2087</v>
      </c>
      <c r="G58" s="265"/>
      <c r="H58" s="18" t="s">
        <v>2091</v>
      </c>
      <c r="J58" s="23" t="s">
        <v>2043</v>
      </c>
    </row>
    <row r="59">
      <c r="B59" s="18" t="s">
        <v>2075</v>
      </c>
      <c r="C59" s="265"/>
      <c r="D59" s="138" t="s">
        <v>2086</v>
      </c>
      <c r="E59" s="265"/>
      <c r="F59" s="18" t="s">
        <v>2087</v>
      </c>
      <c r="G59" s="265"/>
      <c r="H59" s="18" t="s">
        <v>2092</v>
      </c>
      <c r="J59" s="23" t="s">
        <v>2043</v>
      </c>
    </row>
    <row r="60">
      <c r="B60" s="18" t="s">
        <v>2075</v>
      </c>
      <c r="C60" s="265"/>
      <c r="D60" s="138" t="s">
        <v>2086</v>
      </c>
      <c r="E60" s="265"/>
      <c r="F60" s="18" t="s">
        <v>2087</v>
      </c>
      <c r="G60" s="265"/>
      <c r="H60" s="18" t="s">
        <v>716</v>
      </c>
      <c r="J60" s="23" t="s">
        <v>2043</v>
      </c>
    </row>
    <row r="61">
      <c r="B61" s="18" t="s">
        <v>2075</v>
      </c>
      <c r="C61" s="265"/>
      <c r="D61" s="138" t="s">
        <v>2086</v>
      </c>
      <c r="E61" s="265"/>
      <c r="F61" s="18" t="s">
        <v>2087</v>
      </c>
      <c r="G61" s="265"/>
      <c r="H61" s="18" t="s">
        <v>718</v>
      </c>
      <c r="J61" s="23" t="s">
        <v>2043</v>
      </c>
    </row>
    <row r="62">
      <c r="B62" s="18" t="s">
        <v>2075</v>
      </c>
      <c r="C62" s="265"/>
      <c r="D62" s="138" t="s">
        <v>2086</v>
      </c>
      <c r="E62" s="265"/>
      <c r="F62" s="18" t="s">
        <v>2087</v>
      </c>
      <c r="G62" s="265"/>
      <c r="H62" s="18" t="s">
        <v>2093</v>
      </c>
      <c r="J62" s="23" t="s">
        <v>2043</v>
      </c>
    </row>
    <row r="63">
      <c r="B63" s="18" t="s">
        <v>2075</v>
      </c>
      <c r="C63" s="265"/>
      <c r="D63" s="138" t="s">
        <v>2086</v>
      </c>
      <c r="E63" s="265"/>
      <c r="F63" s="18" t="s">
        <v>2087</v>
      </c>
      <c r="G63" s="265"/>
      <c r="H63" s="18" t="s">
        <v>2094</v>
      </c>
      <c r="J63" s="23" t="s">
        <v>2043</v>
      </c>
    </row>
    <row r="64">
      <c r="B64" s="18" t="s">
        <v>2075</v>
      </c>
      <c r="C64" s="265"/>
      <c r="D64" s="138" t="s">
        <v>2086</v>
      </c>
      <c r="E64" s="265"/>
      <c r="F64" s="18" t="s">
        <v>2087</v>
      </c>
      <c r="G64" s="265"/>
      <c r="H64" s="18" t="s">
        <v>2095</v>
      </c>
      <c r="J64" s="23" t="s">
        <v>2043</v>
      </c>
    </row>
    <row r="65">
      <c r="B65" s="18" t="s">
        <v>2075</v>
      </c>
      <c r="C65" s="265"/>
      <c r="D65" s="138" t="s">
        <v>2086</v>
      </c>
      <c r="E65" s="265"/>
      <c r="F65" s="18" t="s">
        <v>2087</v>
      </c>
      <c r="G65" s="265"/>
      <c r="H65" s="18" t="s">
        <v>2096</v>
      </c>
      <c r="J65" s="23" t="s">
        <v>2043</v>
      </c>
    </row>
    <row r="66">
      <c r="B66" s="18" t="s">
        <v>2075</v>
      </c>
      <c r="C66" s="265"/>
      <c r="D66" s="138" t="s">
        <v>2086</v>
      </c>
      <c r="E66" s="265"/>
      <c r="F66" s="18" t="s">
        <v>2087</v>
      </c>
      <c r="G66" s="265"/>
      <c r="H66" s="18" t="s">
        <v>2097</v>
      </c>
      <c r="J66" s="23" t="s">
        <v>2043</v>
      </c>
    </row>
    <row r="67">
      <c r="B67" s="18" t="s">
        <v>2075</v>
      </c>
      <c r="C67" s="265"/>
      <c r="D67" s="138" t="s">
        <v>2086</v>
      </c>
      <c r="E67" s="265"/>
      <c r="F67" s="18" t="s">
        <v>2087</v>
      </c>
      <c r="G67" s="265"/>
      <c r="H67" s="18" t="s">
        <v>2098</v>
      </c>
      <c r="J67" s="23" t="s">
        <v>2043</v>
      </c>
    </row>
    <row r="68">
      <c r="B68" s="18" t="s">
        <v>2075</v>
      </c>
      <c r="C68" s="267"/>
      <c r="D68" s="268" t="s">
        <v>2086</v>
      </c>
      <c r="E68" s="267"/>
      <c r="F68" s="18" t="s">
        <v>2087</v>
      </c>
      <c r="G68" s="267"/>
      <c r="H68" s="142" t="s">
        <v>1521</v>
      </c>
      <c r="J68" s="23" t="s">
        <v>2043</v>
      </c>
    </row>
    <row r="69">
      <c r="B69" s="18" t="s">
        <v>2075</v>
      </c>
      <c r="C69" s="267"/>
      <c r="D69" s="268" t="s">
        <v>2086</v>
      </c>
      <c r="E69" s="267"/>
      <c r="F69" s="18" t="s">
        <v>2087</v>
      </c>
      <c r="G69" s="267"/>
      <c r="H69" s="142" t="s">
        <v>2099</v>
      </c>
      <c r="J69" s="23" t="s">
        <v>2043</v>
      </c>
    </row>
    <row r="70">
      <c r="B70" s="18" t="s">
        <v>2075</v>
      </c>
      <c r="C70" s="265"/>
      <c r="D70" s="138" t="s">
        <v>2086</v>
      </c>
      <c r="E70" s="265"/>
      <c r="F70" s="18" t="s">
        <v>2087</v>
      </c>
      <c r="G70" s="265"/>
      <c r="H70" s="18" t="s">
        <v>698</v>
      </c>
      <c r="J70" s="23" t="s">
        <v>2043</v>
      </c>
    </row>
    <row r="71">
      <c r="J71" s="23" t="s">
        <v>2043</v>
      </c>
    </row>
    <row r="72">
      <c r="B72" s="18" t="s">
        <v>2075</v>
      </c>
      <c r="C72" s="265"/>
      <c r="D72" s="138" t="s">
        <v>807</v>
      </c>
      <c r="E72" s="265"/>
      <c r="F72" s="18" t="s">
        <v>2100</v>
      </c>
      <c r="G72" s="265"/>
      <c r="H72" s="18" t="s">
        <v>2101</v>
      </c>
      <c r="J72" s="23" t="s">
        <v>2043</v>
      </c>
    </row>
    <row r="73">
      <c r="B73" s="18" t="s">
        <v>2075</v>
      </c>
      <c r="C73" s="265"/>
      <c r="D73" s="138" t="s">
        <v>807</v>
      </c>
      <c r="E73" s="265"/>
      <c r="F73" s="18" t="s">
        <v>2100</v>
      </c>
      <c r="G73" s="265"/>
      <c r="H73" s="18" t="s">
        <v>2102</v>
      </c>
      <c r="J73" s="23" t="s">
        <v>2043</v>
      </c>
    </row>
    <row r="74">
      <c r="B74" s="18" t="s">
        <v>2075</v>
      </c>
      <c r="C74" s="265"/>
      <c r="D74" s="138" t="s">
        <v>807</v>
      </c>
      <c r="E74" s="265"/>
      <c r="F74" s="18" t="s">
        <v>2100</v>
      </c>
      <c r="G74" s="265"/>
      <c r="H74" s="18" t="s">
        <v>2103</v>
      </c>
      <c r="J74" s="23" t="s">
        <v>2043</v>
      </c>
    </row>
    <row r="75">
      <c r="J75" s="23" t="s">
        <v>2043</v>
      </c>
    </row>
    <row r="76">
      <c r="B76" s="18" t="s">
        <v>2075</v>
      </c>
      <c r="C76" s="265"/>
      <c r="D76" s="138" t="s">
        <v>2104</v>
      </c>
      <c r="E76" s="265"/>
      <c r="F76" s="18" t="s">
        <v>2105</v>
      </c>
      <c r="G76" s="265"/>
      <c r="H76" s="18" t="s">
        <v>2106</v>
      </c>
      <c r="J76" s="23" t="s">
        <v>2043</v>
      </c>
    </row>
    <row r="77">
      <c r="B77" s="18" t="s">
        <v>2075</v>
      </c>
      <c r="C77" s="265"/>
      <c r="D77" s="138" t="s">
        <v>2104</v>
      </c>
      <c r="E77" s="265"/>
      <c r="F77" s="18" t="s">
        <v>2105</v>
      </c>
      <c r="G77" s="265"/>
      <c r="H77" s="18" t="s">
        <v>2107</v>
      </c>
      <c r="J77" s="23" t="s">
        <v>2043</v>
      </c>
    </row>
    <row r="78">
      <c r="B78" s="18" t="s">
        <v>2075</v>
      </c>
      <c r="C78" s="265"/>
      <c r="D78" s="138" t="s">
        <v>2104</v>
      </c>
      <c r="E78" s="265"/>
      <c r="F78" s="18" t="s">
        <v>2105</v>
      </c>
      <c r="G78" s="265"/>
      <c r="H78" s="18" t="s">
        <v>2108</v>
      </c>
      <c r="J78" s="23" t="s">
        <v>2043</v>
      </c>
    </row>
    <row r="79">
      <c r="B79" s="18" t="s">
        <v>2075</v>
      </c>
      <c r="C79" s="265"/>
      <c r="D79" s="138" t="s">
        <v>2104</v>
      </c>
      <c r="E79" s="265"/>
      <c r="F79" s="18" t="s">
        <v>2105</v>
      </c>
      <c r="G79" s="265"/>
      <c r="H79" s="18" t="s">
        <v>2109</v>
      </c>
      <c r="J79" s="23" t="s">
        <v>2043</v>
      </c>
    </row>
    <row r="80">
      <c r="J80" s="23" t="s">
        <v>2043</v>
      </c>
    </row>
    <row r="81">
      <c r="B81" s="18" t="s">
        <v>2075</v>
      </c>
      <c r="C81" s="265"/>
      <c r="D81" s="138" t="s">
        <v>2104</v>
      </c>
      <c r="E81" s="265"/>
      <c r="F81" s="18" t="s">
        <v>2110</v>
      </c>
      <c r="G81" s="265"/>
      <c r="H81" s="18" t="s">
        <v>2111</v>
      </c>
      <c r="J81" s="23" t="s">
        <v>2043</v>
      </c>
    </row>
    <row r="82">
      <c r="B82" s="18" t="s">
        <v>2075</v>
      </c>
      <c r="C82" s="265"/>
      <c r="D82" s="138" t="s">
        <v>2104</v>
      </c>
      <c r="E82" s="265"/>
      <c r="F82" s="18" t="s">
        <v>2110</v>
      </c>
      <c r="G82" s="265"/>
      <c r="H82" s="18" t="s">
        <v>2112</v>
      </c>
      <c r="J82" s="23" t="s">
        <v>2043</v>
      </c>
    </row>
    <row r="83">
      <c r="B83" s="18" t="s">
        <v>2075</v>
      </c>
      <c r="C83" s="265"/>
      <c r="D83" s="138" t="s">
        <v>2104</v>
      </c>
      <c r="E83" s="265"/>
      <c r="F83" s="18" t="s">
        <v>2110</v>
      </c>
      <c r="G83" s="265"/>
      <c r="H83" s="18" t="s">
        <v>2113</v>
      </c>
      <c r="J83" s="23" t="s">
        <v>2043</v>
      </c>
    </row>
    <row r="84">
      <c r="B84" s="18" t="s">
        <v>2075</v>
      </c>
      <c r="C84" s="265"/>
      <c r="D84" s="138" t="s">
        <v>2104</v>
      </c>
      <c r="E84" s="265"/>
      <c r="F84" s="18" t="s">
        <v>2110</v>
      </c>
      <c r="G84" s="265"/>
      <c r="H84" s="18" t="s">
        <v>2114</v>
      </c>
      <c r="J84" s="23" t="s">
        <v>2043</v>
      </c>
    </row>
    <row r="85">
      <c r="J85" s="23" t="s">
        <v>2043</v>
      </c>
    </row>
    <row r="86">
      <c r="B86" s="18" t="s">
        <v>2075</v>
      </c>
      <c r="C86" s="265"/>
      <c r="D86" s="138" t="s">
        <v>2104</v>
      </c>
      <c r="E86" s="265"/>
      <c r="F86" s="18" t="s">
        <v>2115</v>
      </c>
      <c r="G86" s="265"/>
      <c r="H86" s="18" t="s">
        <v>2115</v>
      </c>
      <c r="J86" s="23" t="s">
        <v>2043</v>
      </c>
    </row>
    <row r="87">
      <c r="J87" s="23" t="s">
        <v>2043</v>
      </c>
    </row>
    <row r="88">
      <c r="B88" s="18" t="s">
        <v>2075</v>
      </c>
      <c r="C88" s="265"/>
      <c r="D88" s="138" t="s">
        <v>781</v>
      </c>
      <c r="E88" s="265"/>
      <c r="F88" s="18" t="s">
        <v>781</v>
      </c>
      <c r="G88" s="265"/>
      <c r="H88" s="18" t="s">
        <v>2116</v>
      </c>
      <c r="J88" s="23" t="s">
        <v>2043</v>
      </c>
    </row>
    <row r="89">
      <c r="B89" s="18" t="s">
        <v>2075</v>
      </c>
      <c r="C89" s="265"/>
      <c r="D89" s="138" t="s">
        <v>781</v>
      </c>
      <c r="E89" s="265"/>
      <c r="F89" s="18" t="s">
        <v>781</v>
      </c>
      <c r="G89" s="265"/>
      <c r="H89" s="18" t="s">
        <v>2117</v>
      </c>
      <c r="J89" s="23" t="s">
        <v>2043</v>
      </c>
    </row>
    <row r="90">
      <c r="B90" s="18" t="s">
        <v>2075</v>
      </c>
      <c r="C90" s="265"/>
      <c r="D90" s="138" t="s">
        <v>781</v>
      </c>
      <c r="E90" s="265"/>
      <c r="F90" s="18" t="s">
        <v>781</v>
      </c>
      <c r="G90" s="265"/>
      <c r="H90" s="18" t="s">
        <v>2118</v>
      </c>
      <c r="J90" s="23" t="s">
        <v>2043</v>
      </c>
    </row>
    <row r="91">
      <c r="J91" s="23" t="s">
        <v>2043</v>
      </c>
    </row>
    <row r="92">
      <c r="B92" s="18" t="s">
        <v>2075</v>
      </c>
      <c r="C92" s="265"/>
      <c r="D92" s="138" t="s">
        <v>2119</v>
      </c>
      <c r="E92" s="265"/>
      <c r="F92" s="18" t="s">
        <v>2120</v>
      </c>
      <c r="G92" s="265"/>
      <c r="H92" s="18" t="s">
        <v>2121</v>
      </c>
      <c r="J92" s="23" t="s">
        <v>2043</v>
      </c>
    </row>
    <row r="93">
      <c r="B93" s="18" t="s">
        <v>2075</v>
      </c>
      <c r="C93" s="265"/>
      <c r="D93" s="138" t="s">
        <v>2119</v>
      </c>
      <c r="E93" s="265"/>
      <c r="F93" s="18" t="s">
        <v>2120</v>
      </c>
      <c r="G93" s="265"/>
      <c r="H93" s="18" t="s">
        <v>785</v>
      </c>
      <c r="J93" s="23" t="s">
        <v>2043</v>
      </c>
    </row>
    <row r="94">
      <c r="B94" s="18" t="s">
        <v>2075</v>
      </c>
      <c r="C94" s="265"/>
      <c r="D94" s="138" t="s">
        <v>2119</v>
      </c>
      <c r="E94" s="265"/>
      <c r="F94" s="18" t="s">
        <v>2120</v>
      </c>
      <c r="G94" s="265"/>
      <c r="H94" s="18" t="s">
        <v>2122</v>
      </c>
      <c r="J94" s="23" t="s">
        <v>2043</v>
      </c>
    </row>
    <row r="95">
      <c r="B95" s="18" t="s">
        <v>2075</v>
      </c>
      <c r="C95" s="265"/>
      <c r="D95" s="138" t="s">
        <v>2119</v>
      </c>
      <c r="E95" s="265"/>
      <c r="F95" s="18" t="s">
        <v>2120</v>
      </c>
      <c r="G95" s="265"/>
      <c r="H95" s="18" t="s">
        <v>2123</v>
      </c>
      <c r="J95" s="23" t="s">
        <v>2043</v>
      </c>
    </row>
    <row r="96">
      <c r="B96" s="18" t="s">
        <v>2075</v>
      </c>
      <c r="C96" s="265"/>
      <c r="D96" s="138" t="s">
        <v>2119</v>
      </c>
      <c r="E96" s="265"/>
      <c r="F96" s="18" t="s">
        <v>2120</v>
      </c>
      <c r="G96" s="265"/>
      <c r="H96" s="18" t="s">
        <v>2124</v>
      </c>
      <c r="J96" s="23" t="s">
        <v>2043</v>
      </c>
    </row>
    <row r="97">
      <c r="J97" s="23" t="s">
        <v>2043</v>
      </c>
    </row>
    <row r="98">
      <c r="B98" s="18" t="s">
        <v>2075</v>
      </c>
      <c r="C98" s="265"/>
      <c r="D98" s="138" t="s">
        <v>2119</v>
      </c>
      <c r="E98" s="265"/>
      <c r="F98" s="18" t="s">
        <v>2125</v>
      </c>
      <c r="G98" s="265"/>
      <c r="H98" s="18" t="s">
        <v>370</v>
      </c>
      <c r="J98" s="23" t="s">
        <v>2043</v>
      </c>
    </row>
    <row r="99">
      <c r="B99" s="18" t="s">
        <v>2075</v>
      </c>
      <c r="C99" s="265"/>
      <c r="D99" s="138" t="s">
        <v>2119</v>
      </c>
      <c r="E99" s="265"/>
      <c r="F99" s="18" t="s">
        <v>2125</v>
      </c>
      <c r="G99" s="265"/>
      <c r="H99" s="18" t="s">
        <v>2126</v>
      </c>
      <c r="J99" s="23" t="s">
        <v>2043</v>
      </c>
    </row>
    <row r="100">
      <c r="B100" s="18" t="s">
        <v>2075</v>
      </c>
      <c r="C100" s="265"/>
      <c r="D100" s="138" t="s">
        <v>2119</v>
      </c>
      <c r="E100" s="265"/>
      <c r="F100" s="18" t="s">
        <v>2125</v>
      </c>
      <c r="G100" s="265"/>
      <c r="H100" s="18" t="s">
        <v>2127</v>
      </c>
      <c r="J100" s="23" t="s">
        <v>2043</v>
      </c>
    </row>
    <row r="101">
      <c r="B101" s="18" t="s">
        <v>2075</v>
      </c>
      <c r="C101" s="265"/>
      <c r="D101" s="138" t="s">
        <v>2119</v>
      </c>
      <c r="E101" s="265"/>
      <c r="F101" s="18" t="s">
        <v>2125</v>
      </c>
      <c r="G101" s="265"/>
      <c r="H101" s="18" t="s">
        <v>2125</v>
      </c>
      <c r="J101" s="23" t="s">
        <v>2043</v>
      </c>
    </row>
    <row r="102">
      <c r="J102" s="23" t="s">
        <v>2043</v>
      </c>
    </row>
    <row r="103">
      <c r="B103" s="18" t="s">
        <v>2128</v>
      </c>
      <c r="C103" s="265"/>
      <c r="D103" s="138" t="s">
        <v>2119</v>
      </c>
      <c r="E103" s="265"/>
      <c r="F103" s="18" t="s">
        <v>2129</v>
      </c>
      <c r="G103" s="265"/>
      <c r="H103" s="18" t="s">
        <v>2130</v>
      </c>
      <c r="J103" s="23" t="s">
        <v>2043</v>
      </c>
    </row>
    <row r="104">
      <c r="B104" s="18" t="s">
        <v>2128</v>
      </c>
      <c r="C104" s="265"/>
      <c r="D104" s="138" t="s">
        <v>2119</v>
      </c>
      <c r="E104" s="265"/>
      <c r="F104" s="18" t="s">
        <v>2129</v>
      </c>
      <c r="G104" s="265"/>
      <c r="H104" s="18" t="s">
        <v>2131</v>
      </c>
      <c r="J104" s="23" t="s">
        <v>2043</v>
      </c>
    </row>
    <row r="105">
      <c r="B105" s="18" t="s">
        <v>2128</v>
      </c>
      <c r="C105" s="265"/>
      <c r="D105" s="138" t="s">
        <v>2119</v>
      </c>
      <c r="E105" s="265"/>
      <c r="F105" s="18" t="s">
        <v>2129</v>
      </c>
      <c r="G105" s="265"/>
      <c r="H105" s="18" t="s">
        <v>2132</v>
      </c>
      <c r="J105" s="23" t="s">
        <v>2043</v>
      </c>
    </row>
    <row r="106">
      <c r="B106" s="18" t="s">
        <v>2128</v>
      </c>
      <c r="C106" s="265"/>
      <c r="D106" s="138" t="s">
        <v>2119</v>
      </c>
      <c r="E106" s="265"/>
      <c r="F106" s="18" t="s">
        <v>2129</v>
      </c>
      <c r="G106" s="265"/>
      <c r="H106" s="18" t="s">
        <v>2133</v>
      </c>
      <c r="J106" s="23" t="s">
        <v>2043</v>
      </c>
    </row>
    <row r="107">
      <c r="B107" s="18" t="s">
        <v>2128</v>
      </c>
      <c r="C107" s="265"/>
      <c r="D107" s="138" t="s">
        <v>2119</v>
      </c>
      <c r="E107" s="265"/>
      <c r="F107" s="18" t="s">
        <v>2129</v>
      </c>
      <c r="G107" s="265"/>
      <c r="H107" s="18" t="s">
        <v>2134</v>
      </c>
      <c r="J107" s="23" t="s">
        <v>2043</v>
      </c>
    </row>
    <row r="108">
      <c r="B108" s="18" t="s">
        <v>2128</v>
      </c>
      <c r="C108" s="265"/>
      <c r="D108" s="138" t="s">
        <v>2119</v>
      </c>
      <c r="E108" s="265"/>
      <c r="F108" s="18" t="s">
        <v>2129</v>
      </c>
      <c r="G108" s="265"/>
      <c r="H108" s="18" t="s">
        <v>685</v>
      </c>
      <c r="J108" s="23" t="s">
        <v>2043</v>
      </c>
    </row>
    <row r="109">
      <c r="J109" s="23" t="s">
        <v>2043</v>
      </c>
    </row>
    <row r="110">
      <c r="B110" s="18" t="s">
        <v>2135</v>
      </c>
      <c r="C110" s="265"/>
      <c r="D110" s="138" t="s">
        <v>2136</v>
      </c>
      <c r="E110" s="265"/>
      <c r="F110" s="18" t="s">
        <v>2137</v>
      </c>
      <c r="G110" s="265"/>
      <c r="H110" s="18" t="s">
        <v>2138</v>
      </c>
      <c r="J110" s="23" t="s">
        <v>2043</v>
      </c>
    </row>
    <row r="111">
      <c r="B111" s="18" t="s">
        <v>2135</v>
      </c>
      <c r="C111" s="265"/>
      <c r="D111" s="138" t="s">
        <v>2136</v>
      </c>
      <c r="E111" s="265"/>
      <c r="F111" s="18" t="s">
        <v>2137</v>
      </c>
      <c r="G111" s="265"/>
      <c r="H111" s="18" t="s">
        <v>2139</v>
      </c>
      <c r="J111" s="23" t="s">
        <v>2043</v>
      </c>
    </row>
    <row r="112">
      <c r="B112" s="18" t="s">
        <v>2135</v>
      </c>
      <c r="C112" s="265"/>
      <c r="D112" s="138" t="s">
        <v>2136</v>
      </c>
      <c r="E112" s="265"/>
      <c r="F112" s="18" t="s">
        <v>2137</v>
      </c>
      <c r="G112" s="265"/>
      <c r="H112" s="18" t="s">
        <v>2140</v>
      </c>
      <c r="J112" s="23" t="s">
        <v>2043</v>
      </c>
    </row>
    <row r="113">
      <c r="B113" s="18" t="s">
        <v>2135</v>
      </c>
      <c r="C113" s="265"/>
      <c r="D113" s="138" t="s">
        <v>2136</v>
      </c>
      <c r="E113" s="265"/>
      <c r="F113" s="18" t="s">
        <v>2137</v>
      </c>
      <c r="G113" s="265"/>
      <c r="H113" s="18" t="s">
        <v>2141</v>
      </c>
      <c r="J113" s="23" t="s">
        <v>2043</v>
      </c>
    </row>
    <row r="114">
      <c r="J114" s="23" t="s">
        <v>2043</v>
      </c>
    </row>
    <row r="115">
      <c r="B115" s="18" t="s">
        <v>2135</v>
      </c>
      <c r="C115" s="265"/>
      <c r="D115" s="138" t="s">
        <v>2136</v>
      </c>
      <c r="E115" s="265"/>
      <c r="F115" s="18" t="s">
        <v>2142</v>
      </c>
      <c r="G115" s="265"/>
      <c r="H115" s="18" t="s">
        <v>2143</v>
      </c>
      <c r="J115" s="23" t="s">
        <v>2043</v>
      </c>
    </row>
    <row r="116">
      <c r="B116" s="18" t="s">
        <v>2135</v>
      </c>
      <c r="C116" s="265"/>
      <c r="D116" s="138" t="s">
        <v>2136</v>
      </c>
      <c r="E116" s="265"/>
      <c r="F116" s="18" t="s">
        <v>2142</v>
      </c>
      <c r="G116" s="265"/>
      <c r="H116" s="18" t="s">
        <v>2144</v>
      </c>
      <c r="J116" s="23" t="s">
        <v>2043</v>
      </c>
    </row>
    <row r="117">
      <c r="B117" s="18" t="s">
        <v>2135</v>
      </c>
      <c r="C117" s="265"/>
      <c r="D117" s="138" t="s">
        <v>2136</v>
      </c>
      <c r="E117" s="265"/>
      <c r="F117" s="18" t="s">
        <v>2142</v>
      </c>
      <c r="G117" s="265"/>
      <c r="H117" s="18" t="s">
        <v>2145</v>
      </c>
      <c r="J117" s="23" t="s">
        <v>2043</v>
      </c>
    </row>
    <row r="118">
      <c r="B118" s="18" t="s">
        <v>2135</v>
      </c>
      <c r="C118" s="265"/>
      <c r="D118" s="138" t="s">
        <v>2136</v>
      </c>
      <c r="E118" s="265"/>
      <c r="F118" s="18" t="s">
        <v>2142</v>
      </c>
      <c r="G118" s="265"/>
      <c r="H118" s="18" t="s">
        <v>753</v>
      </c>
      <c r="J118" s="23" t="s">
        <v>2043</v>
      </c>
    </row>
    <row r="119">
      <c r="J119" s="23" t="s">
        <v>2043</v>
      </c>
    </row>
    <row r="120">
      <c r="B120" s="18" t="s">
        <v>2135</v>
      </c>
      <c r="C120" s="265"/>
      <c r="D120" s="138" t="s">
        <v>2136</v>
      </c>
      <c r="E120" s="265"/>
      <c r="F120" s="18" t="s">
        <v>2146</v>
      </c>
      <c r="G120" s="265"/>
      <c r="H120" s="18" t="s">
        <v>2147</v>
      </c>
      <c r="J120" s="23" t="s">
        <v>2043</v>
      </c>
    </row>
    <row r="121">
      <c r="B121" s="18" t="s">
        <v>2135</v>
      </c>
      <c r="C121" s="265"/>
      <c r="D121" s="138" t="s">
        <v>2136</v>
      </c>
      <c r="E121" s="265"/>
      <c r="F121" s="18" t="s">
        <v>2146</v>
      </c>
      <c r="G121" s="265"/>
      <c r="H121" s="18" t="s">
        <v>2148</v>
      </c>
      <c r="J121" s="23" t="s">
        <v>2043</v>
      </c>
    </row>
    <row r="122">
      <c r="J122" s="23" t="s">
        <v>2043</v>
      </c>
    </row>
    <row r="123">
      <c r="B123" s="18" t="s">
        <v>2135</v>
      </c>
      <c r="C123" s="265"/>
      <c r="D123" s="138" t="s">
        <v>2136</v>
      </c>
      <c r="E123" s="265"/>
      <c r="F123" s="18" t="s">
        <v>2149</v>
      </c>
      <c r="G123" s="265"/>
      <c r="H123" s="18" t="s">
        <v>663</v>
      </c>
      <c r="J123" s="23" t="s">
        <v>2043</v>
      </c>
    </row>
    <row r="124">
      <c r="J124" s="23" t="s">
        <v>2043</v>
      </c>
    </row>
    <row r="125">
      <c r="B125" s="18" t="s">
        <v>2150</v>
      </c>
      <c r="C125" s="265"/>
      <c r="D125" s="138" t="s">
        <v>2150</v>
      </c>
      <c r="E125" s="265"/>
      <c r="F125" s="18" t="s">
        <v>2151</v>
      </c>
      <c r="G125" s="265"/>
      <c r="H125" s="18" t="s">
        <v>2152</v>
      </c>
      <c r="J125" s="23" t="s">
        <v>2043</v>
      </c>
    </row>
    <row r="126">
      <c r="B126" s="18" t="s">
        <v>2150</v>
      </c>
      <c r="C126" s="265"/>
      <c r="D126" s="138" t="s">
        <v>2150</v>
      </c>
      <c r="E126" s="265"/>
      <c r="F126" s="18" t="s">
        <v>2151</v>
      </c>
      <c r="G126" s="265"/>
      <c r="H126" s="18" t="s">
        <v>797</v>
      </c>
      <c r="J126" s="23" t="s">
        <v>2043</v>
      </c>
    </row>
    <row r="127">
      <c r="B127" s="18" t="s">
        <v>2150</v>
      </c>
      <c r="C127" s="265"/>
      <c r="D127" s="138" t="s">
        <v>2150</v>
      </c>
      <c r="E127" s="265"/>
      <c r="F127" s="18" t="s">
        <v>2151</v>
      </c>
      <c r="G127" s="265"/>
      <c r="H127" s="18" t="s">
        <v>801</v>
      </c>
      <c r="J127" s="23" t="s">
        <v>2043</v>
      </c>
    </row>
    <row r="128">
      <c r="B128" s="18" t="s">
        <v>2150</v>
      </c>
      <c r="C128" s="265"/>
      <c r="D128" s="138" t="s">
        <v>2150</v>
      </c>
      <c r="E128" s="265"/>
      <c r="F128" s="18" t="s">
        <v>2151</v>
      </c>
      <c r="G128" s="265"/>
      <c r="H128" s="18" t="s">
        <v>755</v>
      </c>
      <c r="J128" s="23" t="s">
        <v>2043</v>
      </c>
    </row>
    <row r="129">
      <c r="J129" s="23" t="s">
        <v>2043</v>
      </c>
    </row>
    <row r="130">
      <c r="B130" s="18" t="s">
        <v>2150</v>
      </c>
      <c r="C130" s="265"/>
      <c r="D130" s="138" t="s">
        <v>2150</v>
      </c>
      <c r="E130" s="265"/>
      <c r="F130" s="18" t="s">
        <v>857</v>
      </c>
      <c r="G130" s="265"/>
      <c r="H130" s="18" t="s">
        <v>2153</v>
      </c>
      <c r="J130" s="23" t="s">
        <v>2043</v>
      </c>
    </row>
    <row r="131">
      <c r="B131" s="18" t="s">
        <v>2150</v>
      </c>
      <c r="C131" s="265"/>
      <c r="D131" s="138" t="s">
        <v>2150</v>
      </c>
      <c r="E131" s="265"/>
      <c r="F131" s="18" t="s">
        <v>857</v>
      </c>
      <c r="G131" s="265"/>
      <c r="H131" s="18" t="s">
        <v>2154</v>
      </c>
      <c r="J131" s="23" t="s">
        <v>2043</v>
      </c>
    </row>
    <row r="132">
      <c r="J132" s="23" t="s">
        <v>2043</v>
      </c>
    </row>
    <row r="133">
      <c r="B133" s="18" t="s">
        <v>2150</v>
      </c>
      <c r="C133" s="265"/>
      <c r="D133" s="138" t="s">
        <v>2150</v>
      </c>
      <c r="E133" s="265"/>
      <c r="F133" s="18" t="s">
        <v>2155</v>
      </c>
      <c r="G133" s="265"/>
      <c r="H133" s="18" t="s">
        <v>2155</v>
      </c>
      <c r="J133" s="23" t="s">
        <v>2043</v>
      </c>
    </row>
    <row r="134">
      <c r="J134" s="23" t="s">
        <v>2043</v>
      </c>
    </row>
    <row r="135">
      <c r="B135" s="18" t="s">
        <v>2150</v>
      </c>
      <c r="C135" s="265"/>
      <c r="D135" s="138" t="s">
        <v>2150</v>
      </c>
      <c r="E135" s="265"/>
      <c r="F135" s="18" t="s">
        <v>2156</v>
      </c>
      <c r="G135" s="265"/>
      <c r="H135" s="18" t="s">
        <v>2157</v>
      </c>
      <c r="J135" s="23" t="s">
        <v>2043</v>
      </c>
    </row>
    <row r="136">
      <c r="B136" s="18" t="s">
        <v>2150</v>
      </c>
      <c r="C136" s="265"/>
      <c r="D136" s="138" t="s">
        <v>2150</v>
      </c>
      <c r="E136" s="265"/>
      <c r="F136" s="18" t="s">
        <v>2156</v>
      </c>
      <c r="G136" s="265"/>
      <c r="H136" s="18" t="s">
        <v>2158</v>
      </c>
      <c r="J136" s="23" t="s">
        <v>2043</v>
      </c>
    </row>
    <row r="137">
      <c r="B137" s="18" t="s">
        <v>2150</v>
      </c>
      <c r="C137" s="265"/>
      <c r="D137" s="138" t="s">
        <v>2150</v>
      </c>
      <c r="E137" s="265"/>
      <c r="F137" s="18" t="s">
        <v>2156</v>
      </c>
      <c r="G137" s="265"/>
      <c r="H137" s="18" t="s">
        <v>760</v>
      </c>
      <c r="J137" s="23" t="s">
        <v>2043</v>
      </c>
    </row>
    <row r="138">
      <c r="B138" s="18" t="s">
        <v>2150</v>
      </c>
      <c r="C138" s="265"/>
      <c r="D138" s="138" t="s">
        <v>2150</v>
      </c>
      <c r="E138" s="265"/>
      <c r="F138" s="18" t="s">
        <v>2156</v>
      </c>
      <c r="G138" s="265"/>
      <c r="H138" s="18" t="s">
        <v>2159</v>
      </c>
      <c r="J138" s="23" t="s">
        <v>2043</v>
      </c>
    </row>
    <row r="139">
      <c r="J139" s="23" t="s">
        <v>2043</v>
      </c>
    </row>
    <row r="140">
      <c r="B140" s="18" t="s">
        <v>2150</v>
      </c>
      <c r="C140" s="265"/>
      <c r="D140" s="138" t="s">
        <v>2150</v>
      </c>
      <c r="E140" s="265"/>
      <c r="F140" s="18" t="s">
        <v>772</v>
      </c>
      <c r="G140" s="265"/>
      <c r="H140" s="18" t="s">
        <v>2160</v>
      </c>
      <c r="J140" s="23" t="s">
        <v>2043</v>
      </c>
    </row>
    <row r="141">
      <c r="J141" s="23" t="s">
        <v>2043</v>
      </c>
    </row>
    <row r="142">
      <c r="B142" s="18" t="s">
        <v>2150</v>
      </c>
      <c r="C142" s="265"/>
      <c r="D142" s="138" t="s">
        <v>2150</v>
      </c>
      <c r="E142" s="265"/>
      <c r="F142" s="18" t="s">
        <v>717</v>
      </c>
      <c r="G142" s="265"/>
      <c r="H142" s="266" t="s">
        <v>717</v>
      </c>
      <c r="J142" s="23" t="s">
        <v>2043</v>
      </c>
    </row>
    <row r="143">
      <c r="B143" s="18" t="s">
        <v>2150</v>
      </c>
      <c r="C143" s="265"/>
      <c r="D143" s="138" t="s">
        <v>2150</v>
      </c>
      <c r="E143" s="265"/>
      <c r="F143" s="18" t="s">
        <v>717</v>
      </c>
      <c r="G143" s="265"/>
      <c r="H143" s="18" t="s">
        <v>2161</v>
      </c>
      <c r="J143" s="23" t="s">
        <v>2043</v>
      </c>
    </row>
    <row r="144">
      <c r="B144" s="18" t="s">
        <v>2150</v>
      </c>
      <c r="C144" s="265"/>
      <c r="D144" s="138" t="s">
        <v>2150</v>
      </c>
      <c r="E144" s="265"/>
      <c r="F144" s="18" t="s">
        <v>717</v>
      </c>
      <c r="G144" s="265"/>
      <c r="H144" s="18" t="s">
        <v>2162</v>
      </c>
      <c r="J144" s="23" t="s">
        <v>2043</v>
      </c>
    </row>
    <row r="145">
      <c r="B145" s="18" t="s">
        <v>2150</v>
      </c>
      <c r="C145" s="265"/>
      <c r="D145" s="138" t="s">
        <v>2150</v>
      </c>
      <c r="E145" s="265"/>
      <c r="F145" s="18" t="s">
        <v>717</v>
      </c>
      <c r="G145" s="265"/>
      <c r="H145" s="18" t="s">
        <v>2163</v>
      </c>
      <c r="J145" s="23" t="s">
        <v>2043</v>
      </c>
    </row>
    <row r="146">
      <c r="J146" s="23" t="s">
        <v>2043</v>
      </c>
    </row>
    <row r="147">
      <c r="B147" s="18" t="s">
        <v>2150</v>
      </c>
      <c r="C147" s="265"/>
      <c r="D147" s="138" t="s">
        <v>2150</v>
      </c>
      <c r="E147" s="265"/>
      <c r="F147" s="18" t="s">
        <v>2164</v>
      </c>
      <c r="G147" s="265"/>
      <c r="H147" s="18" t="s">
        <v>2165</v>
      </c>
      <c r="J147" s="23" t="s">
        <v>2043</v>
      </c>
    </row>
    <row r="148">
      <c r="J148" s="23" t="s">
        <v>2043</v>
      </c>
    </row>
    <row r="149">
      <c r="B149" s="18" t="s">
        <v>37</v>
      </c>
      <c r="C149" s="265"/>
      <c r="D149" s="138" t="s">
        <v>37</v>
      </c>
      <c r="E149" s="265"/>
      <c r="F149" s="18" t="s">
        <v>2166</v>
      </c>
      <c r="G149" s="265"/>
      <c r="H149" s="18" t="s">
        <v>2167</v>
      </c>
      <c r="J149" s="23" t="s">
        <v>2043</v>
      </c>
    </row>
    <row r="150">
      <c r="B150" s="18" t="s">
        <v>37</v>
      </c>
      <c r="C150" s="265"/>
      <c r="D150" s="138" t="s">
        <v>37</v>
      </c>
      <c r="E150" s="265"/>
      <c r="F150" s="18" t="s">
        <v>2166</v>
      </c>
      <c r="G150" s="265"/>
      <c r="H150" s="18" t="s">
        <v>2168</v>
      </c>
      <c r="J150" s="23" t="s">
        <v>2043</v>
      </c>
    </row>
    <row r="151">
      <c r="B151" s="18" t="s">
        <v>37</v>
      </c>
      <c r="C151" s="265"/>
      <c r="D151" s="138" t="s">
        <v>37</v>
      </c>
      <c r="E151" s="265"/>
      <c r="F151" s="18" t="s">
        <v>2166</v>
      </c>
      <c r="G151" s="265"/>
      <c r="H151" s="18" t="s">
        <v>2169</v>
      </c>
      <c r="J151" s="23" t="s">
        <v>2043</v>
      </c>
    </row>
    <row r="152">
      <c r="B152" s="18" t="s">
        <v>37</v>
      </c>
      <c r="C152" s="265"/>
      <c r="D152" s="138" t="s">
        <v>37</v>
      </c>
      <c r="E152" s="265"/>
      <c r="F152" s="18" t="s">
        <v>2166</v>
      </c>
      <c r="G152" s="265"/>
      <c r="H152" s="18" t="s">
        <v>2170</v>
      </c>
      <c r="J152" s="23" t="s">
        <v>2043</v>
      </c>
    </row>
    <row r="153">
      <c r="B153" s="18" t="s">
        <v>37</v>
      </c>
      <c r="C153" s="265"/>
      <c r="D153" s="138" t="s">
        <v>37</v>
      </c>
      <c r="E153" s="265"/>
      <c r="F153" s="18" t="s">
        <v>2166</v>
      </c>
      <c r="G153" s="265"/>
      <c r="H153" s="18" t="s">
        <v>758</v>
      </c>
      <c r="J153" s="23" t="s">
        <v>2043</v>
      </c>
    </row>
    <row r="154">
      <c r="B154" s="18" t="s">
        <v>37</v>
      </c>
      <c r="C154" s="265"/>
      <c r="D154" s="138" t="s">
        <v>37</v>
      </c>
      <c r="E154" s="265"/>
      <c r="F154" s="18" t="s">
        <v>2166</v>
      </c>
      <c r="G154" s="265"/>
      <c r="H154" s="18" t="s">
        <v>2171</v>
      </c>
      <c r="J154" s="23" t="s">
        <v>2043</v>
      </c>
    </row>
    <row r="155">
      <c r="J155" s="23" t="s">
        <v>2043</v>
      </c>
    </row>
    <row r="156">
      <c r="B156" s="18" t="s">
        <v>37</v>
      </c>
      <c r="C156" s="265"/>
      <c r="D156" s="138" t="s">
        <v>37</v>
      </c>
      <c r="E156" s="265"/>
      <c r="F156" s="18" t="s">
        <v>649</v>
      </c>
      <c r="G156" s="265"/>
      <c r="H156" s="18" t="s">
        <v>2172</v>
      </c>
      <c r="J156" s="23" t="s">
        <v>2043</v>
      </c>
    </row>
    <row r="157">
      <c r="B157" s="18" t="s">
        <v>37</v>
      </c>
      <c r="C157" s="265"/>
      <c r="D157" s="138" t="s">
        <v>37</v>
      </c>
      <c r="E157" s="265"/>
      <c r="F157" s="18" t="s">
        <v>649</v>
      </c>
      <c r="G157" s="265"/>
      <c r="H157" s="18" t="s">
        <v>2173</v>
      </c>
      <c r="J157" s="23" t="s">
        <v>2043</v>
      </c>
    </row>
    <row r="158">
      <c r="B158" s="18" t="s">
        <v>37</v>
      </c>
      <c r="C158" s="265"/>
      <c r="D158" s="138" t="s">
        <v>37</v>
      </c>
      <c r="E158" s="265"/>
      <c r="F158" s="18" t="s">
        <v>649</v>
      </c>
      <c r="G158" s="265"/>
      <c r="H158" s="18" t="s">
        <v>2174</v>
      </c>
      <c r="J158" s="23" t="s">
        <v>2043</v>
      </c>
    </row>
    <row r="159">
      <c r="J159" s="23" t="s">
        <v>2043</v>
      </c>
    </row>
    <row r="160">
      <c r="B160" s="18" t="s">
        <v>37</v>
      </c>
      <c r="C160" s="265"/>
      <c r="D160" s="138" t="s">
        <v>37</v>
      </c>
      <c r="E160" s="265"/>
      <c r="F160" s="18" t="s">
        <v>2175</v>
      </c>
      <c r="G160" s="265"/>
      <c r="H160" s="18" t="s">
        <v>2176</v>
      </c>
      <c r="J160" s="23" t="s">
        <v>2043</v>
      </c>
    </row>
    <row r="161">
      <c r="B161" s="18" t="s">
        <v>37</v>
      </c>
      <c r="C161" s="265"/>
      <c r="D161" s="138" t="s">
        <v>37</v>
      </c>
      <c r="E161" s="265"/>
      <c r="F161" s="18" t="s">
        <v>2175</v>
      </c>
      <c r="G161" s="265"/>
      <c r="H161" s="18" t="s">
        <v>2177</v>
      </c>
      <c r="J161" s="23" t="s">
        <v>2043</v>
      </c>
    </row>
    <row r="162">
      <c r="B162" s="18" t="s">
        <v>37</v>
      </c>
      <c r="C162" s="265"/>
      <c r="D162" s="138" t="s">
        <v>37</v>
      </c>
      <c r="E162" s="265"/>
      <c r="F162" s="18" t="s">
        <v>2175</v>
      </c>
      <c r="G162" s="265"/>
      <c r="H162" s="18" t="s">
        <v>2178</v>
      </c>
      <c r="J162" s="23" t="s">
        <v>2043</v>
      </c>
    </row>
    <row r="163">
      <c r="B163" s="18" t="s">
        <v>37</v>
      </c>
      <c r="C163" s="265"/>
      <c r="D163" s="138" t="s">
        <v>37</v>
      </c>
      <c r="E163" s="265"/>
      <c r="F163" s="18" t="s">
        <v>2175</v>
      </c>
      <c r="G163" s="265"/>
      <c r="H163" s="18" t="s">
        <v>2179</v>
      </c>
      <c r="J163" s="23" t="s">
        <v>2043</v>
      </c>
    </row>
    <row r="164">
      <c r="B164" s="18" t="s">
        <v>37</v>
      </c>
      <c r="C164" s="265"/>
      <c r="D164" s="138" t="s">
        <v>37</v>
      </c>
      <c r="E164" s="265"/>
      <c r="F164" s="18" t="s">
        <v>2175</v>
      </c>
      <c r="G164" s="265"/>
      <c r="H164" s="18" t="s">
        <v>2180</v>
      </c>
      <c r="J164" s="23" t="s">
        <v>2043</v>
      </c>
    </row>
    <row r="165">
      <c r="B165" s="18" t="s">
        <v>37</v>
      </c>
      <c r="C165" s="265"/>
      <c r="D165" s="138" t="s">
        <v>37</v>
      </c>
      <c r="E165" s="265"/>
      <c r="F165" s="18" t="s">
        <v>2175</v>
      </c>
      <c r="G165" s="265"/>
      <c r="H165" s="18" t="s">
        <v>2181</v>
      </c>
      <c r="J165" s="23" t="s">
        <v>2043</v>
      </c>
    </row>
    <row r="166">
      <c r="B166" s="18" t="s">
        <v>37</v>
      </c>
      <c r="C166" s="265"/>
      <c r="D166" s="138" t="s">
        <v>37</v>
      </c>
      <c r="E166" s="265"/>
      <c r="F166" s="18" t="s">
        <v>2175</v>
      </c>
      <c r="G166" s="265"/>
      <c r="H166" s="18" t="s">
        <v>2182</v>
      </c>
      <c r="J166" s="23" t="s">
        <v>2043</v>
      </c>
    </row>
    <row r="167">
      <c r="J167" s="23" t="s">
        <v>2043</v>
      </c>
    </row>
    <row r="168">
      <c r="B168" s="18" t="s">
        <v>37</v>
      </c>
      <c r="C168" s="265"/>
      <c r="D168" s="138" t="s">
        <v>37</v>
      </c>
      <c r="E168" s="265"/>
      <c r="F168" s="18" t="s">
        <v>2183</v>
      </c>
      <c r="G168" s="265"/>
      <c r="H168" s="18" t="s">
        <v>703</v>
      </c>
      <c r="J168" s="23" t="s">
        <v>2043</v>
      </c>
    </row>
    <row r="169">
      <c r="B169" s="18" t="s">
        <v>37</v>
      </c>
      <c r="C169" s="265"/>
      <c r="D169" s="138" t="s">
        <v>37</v>
      </c>
      <c r="E169" s="265"/>
      <c r="F169" s="18" t="s">
        <v>2183</v>
      </c>
      <c r="G169" s="265"/>
      <c r="H169" s="18" t="s">
        <v>739</v>
      </c>
      <c r="J169" s="23" t="s">
        <v>2043</v>
      </c>
    </row>
    <row r="170">
      <c r="B170" s="18" t="s">
        <v>37</v>
      </c>
      <c r="C170" s="265"/>
      <c r="D170" s="138" t="s">
        <v>37</v>
      </c>
      <c r="E170" s="265"/>
      <c r="F170" s="18" t="s">
        <v>2183</v>
      </c>
      <c r="G170" s="265"/>
      <c r="H170" s="18" t="s">
        <v>2184</v>
      </c>
      <c r="J170" s="23" t="s">
        <v>2043</v>
      </c>
    </row>
    <row r="171">
      <c r="B171" s="18" t="s">
        <v>37</v>
      </c>
      <c r="C171" s="265"/>
      <c r="D171" s="138" t="s">
        <v>37</v>
      </c>
      <c r="E171" s="265"/>
      <c r="F171" s="18" t="s">
        <v>2183</v>
      </c>
      <c r="G171" s="265"/>
      <c r="H171" s="18" t="s">
        <v>2185</v>
      </c>
      <c r="J171" s="23" t="s">
        <v>2043</v>
      </c>
    </row>
    <row r="172">
      <c r="J172" s="23" t="s">
        <v>2043</v>
      </c>
    </row>
    <row r="173">
      <c r="B173" s="18" t="s">
        <v>37</v>
      </c>
      <c r="C173" s="265"/>
      <c r="D173" s="138" t="s">
        <v>37</v>
      </c>
      <c r="E173" s="265"/>
      <c r="F173" s="18" t="s">
        <v>2186</v>
      </c>
      <c r="G173" s="265"/>
      <c r="H173" s="18" t="s">
        <v>2186</v>
      </c>
      <c r="J173" s="23" t="s">
        <v>2043</v>
      </c>
    </row>
    <row r="174">
      <c r="J174" s="23" t="s">
        <v>2043</v>
      </c>
    </row>
    <row r="175">
      <c r="B175" s="18" t="s">
        <v>382</v>
      </c>
      <c r="C175" s="265"/>
      <c r="D175" s="138" t="s">
        <v>382</v>
      </c>
      <c r="E175" s="265"/>
      <c r="F175" s="18" t="s">
        <v>2187</v>
      </c>
      <c r="G175" s="265"/>
      <c r="H175" s="18" t="s">
        <v>2188</v>
      </c>
      <c r="J175" s="23" t="s">
        <v>2043</v>
      </c>
    </row>
    <row r="176">
      <c r="B176" s="18" t="s">
        <v>382</v>
      </c>
      <c r="C176" s="265"/>
      <c r="D176" s="138" t="s">
        <v>382</v>
      </c>
      <c r="E176" s="265"/>
      <c r="F176" s="18" t="s">
        <v>2187</v>
      </c>
      <c r="G176" s="265"/>
      <c r="H176" s="18" t="s">
        <v>651</v>
      </c>
      <c r="J176" s="23" t="s">
        <v>2043</v>
      </c>
    </row>
    <row r="177">
      <c r="J177" s="23" t="s">
        <v>2043</v>
      </c>
    </row>
    <row r="178">
      <c r="B178" s="18" t="s">
        <v>382</v>
      </c>
      <c r="C178" s="265"/>
      <c r="D178" s="138" t="s">
        <v>382</v>
      </c>
      <c r="E178" s="265"/>
      <c r="F178" s="18" t="s">
        <v>2189</v>
      </c>
      <c r="G178" s="265"/>
      <c r="H178" s="18" t="s">
        <v>2190</v>
      </c>
      <c r="J178" s="23" t="s">
        <v>2043</v>
      </c>
    </row>
    <row r="179">
      <c r="J179" s="23" t="s">
        <v>2043</v>
      </c>
    </row>
    <row r="180">
      <c r="B180" s="18" t="s">
        <v>382</v>
      </c>
      <c r="C180" s="265"/>
      <c r="D180" s="138" t="s">
        <v>382</v>
      </c>
      <c r="E180" s="265"/>
      <c r="F180" s="18" t="s">
        <v>709</v>
      </c>
      <c r="G180" s="265"/>
      <c r="H180" s="18" t="s">
        <v>2191</v>
      </c>
      <c r="J180" s="23" t="s">
        <v>2043</v>
      </c>
    </row>
    <row r="181">
      <c r="B181" s="18" t="s">
        <v>382</v>
      </c>
      <c r="C181" s="265"/>
      <c r="D181" s="138" t="s">
        <v>382</v>
      </c>
      <c r="E181" s="265"/>
      <c r="F181" s="18" t="s">
        <v>709</v>
      </c>
      <c r="G181" s="265"/>
      <c r="H181" s="18" t="s">
        <v>709</v>
      </c>
      <c r="J181" s="23" t="s">
        <v>2043</v>
      </c>
    </row>
    <row r="182">
      <c r="B182" s="18" t="s">
        <v>382</v>
      </c>
      <c r="C182" s="265"/>
      <c r="D182" s="138" t="s">
        <v>382</v>
      </c>
      <c r="E182" s="265"/>
      <c r="F182" s="18" t="s">
        <v>709</v>
      </c>
      <c r="G182" s="265"/>
      <c r="H182" s="18" t="s">
        <v>2192</v>
      </c>
      <c r="J182" s="23" t="s">
        <v>2043</v>
      </c>
    </row>
    <row r="183">
      <c r="J183" s="23" t="s">
        <v>2043</v>
      </c>
    </row>
    <row r="184">
      <c r="B184" s="18" t="s">
        <v>2193</v>
      </c>
      <c r="C184" s="265"/>
      <c r="D184" s="138" t="s">
        <v>890</v>
      </c>
      <c r="E184" s="265"/>
      <c r="F184" s="18" t="s">
        <v>890</v>
      </c>
      <c r="G184" s="265"/>
      <c r="H184" s="18" t="s">
        <v>2194</v>
      </c>
      <c r="J184" s="23" t="s">
        <v>2043</v>
      </c>
    </row>
    <row r="185">
      <c r="B185" s="18" t="s">
        <v>2193</v>
      </c>
      <c r="C185" s="265"/>
      <c r="D185" s="138" t="s">
        <v>890</v>
      </c>
      <c r="E185" s="265"/>
      <c r="F185" s="18" t="s">
        <v>890</v>
      </c>
      <c r="G185" s="265"/>
      <c r="H185" s="18" t="s">
        <v>2195</v>
      </c>
      <c r="J185" s="23" t="s">
        <v>2043</v>
      </c>
    </row>
    <row r="186">
      <c r="J186" s="23" t="s">
        <v>2043</v>
      </c>
    </row>
    <row r="187">
      <c r="B187" s="18" t="s">
        <v>2193</v>
      </c>
      <c r="C187" s="265"/>
      <c r="D187" s="138" t="s">
        <v>2196</v>
      </c>
      <c r="E187" s="265"/>
      <c r="F187" s="18" t="s">
        <v>2197</v>
      </c>
      <c r="G187" s="265"/>
      <c r="H187" s="18" t="s">
        <v>2197</v>
      </c>
      <c r="J187" s="23" t="s">
        <v>2043</v>
      </c>
    </row>
    <row r="188">
      <c r="J188" s="23" t="s">
        <v>2043</v>
      </c>
    </row>
    <row r="189">
      <c r="B189" s="18" t="s">
        <v>2193</v>
      </c>
      <c r="C189" s="265"/>
      <c r="D189" s="138" t="s">
        <v>2196</v>
      </c>
      <c r="E189" s="265"/>
      <c r="F189" s="18" t="s">
        <v>2198</v>
      </c>
      <c r="G189" s="265"/>
      <c r="H189" s="18" t="s">
        <v>976</v>
      </c>
      <c r="J189" s="23" t="s">
        <v>2043</v>
      </c>
    </row>
    <row r="190">
      <c r="B190" s="18" t="s">
        <v>2193</v>
      </c>
      <c r="C190" s="265"/>
      <c r="D190" s="138" t="s">
        <v>2196</v>
      </c>
      <c r="E190" s="265"/>
      <c r="F190" s="18" t="s">
        <v>2198</v>
      </c>
      <c r="G190" s="265"/>
      <c r="H190" s="18" t="s">
        <v>668</v>
      </c>
      <c r="J190" s="23" t="s">
        <v>2043</v>
      </c>
    </row>
    <row r="191">
      <c r="B191" s="18" t="s">
        <v>2193</v>
      </c>
      <c r="C191" s="265"/>
      <c r="D191" s="138" t="s">
        <v>2196</v>
      </c>
      <c r="E191" s="265"/>
      <c r="F191" s="18" t="s">
        <v>2198</v>
      </c>
      <c r="G191" s="265"/>
      <c r="H191" s="18" t="s">
        <v>2199</v>
      </c>
      <c r="J191" s="23" t="s">
        <v>2043</v>
      </c>
    </row>
    <row r="192">
      <c r="J192" s="23" t="s">
        <v>2043</v>
      </c>
    </row>
    <row r="193">
      <c r="B193" s="18" t="s">
        <v>2193</v>
      </c>
      <c r="C193" s="265"/>
      <c r="D193" s="138" t="s">
        <v>2196</v>
      </c>
      <c r="E193" s="265"/>
      <c r="F193" s="18" t="s">
        <v>2200</v>
      </c>
      <c r="G193" s="265"/>
      <c r="H193" s="18" t="s">
        <v>711</v>
      </c>
      <c r="J193" s="23" t="s">
        <v>2043</v>
      </c>
    </row>
    <row r="194">
      <c r="B194" s="18" t="s">
        <v>2193</v>
      </c>
      <c r="C194" s="265"/>
      <c r="D194" s="138" t="s">
        <v>2196</v>
      </c>
      <c r="E194" s="265"/>
      <c r="F194" s="18" t="s">
        <v>2200</v>
      </c>
      <c r="G194" s="265"/>
      <c r="H194" s="18" t="s">
        <v>2201</v>
      </c>
      <c r="J194" s="23" t="s">
        <v>2043</v>
      </c>
    </row>
    <row r="195">
      <c r="J195" s="23" t="s">
        <v>2043</v>
      </c>
    </row>
    <row r="196">
      <c r="B196" s="18" t="s">
        <v>2193</v>
      </c>
      <c r="C196" s="265"/>
      <c r="D196" s="138" t="s">
        <v>2196</v>
      </c>
      <c r="E196" s="265"/>
      <c r="F196" s="18" t="s">
        <v>2202</v>
      </c>
      <c r="G196" s="265"/>
      <c r="H196" s="18" t="s">
        <v>2203</v>
      </c>
      <c r="J196" s="23" t="s">
        <v>2043</v>
      </c>
    </row>
    <row r="197">
      <c r="B197" s="18" t="s">
        <v>2193</v>
      </c>
      <c r="C197" s="265"/>
      <c r="D197" s="138" t="s">
        <v>2196</v>
      </c>
      <c r="E197" s="265"/>
      <c r="F197" s="18" t="s">
        <v>2202</v>
      </c>
      <c r="G197" s="265"/>
      <c r="H197" s="18" t="s">
        <v>2204</v>
      </c>
      <c r="J197" s="23" t="s">
        <v>2043</v>
      </c>
    </row>
    <row r="198">
      <c r="B198" s="18" t="s">
        <v>2193</v>
      </c>
      <c r="C198" s="265"/>
      <c r="D198" s="138" t="s">
        <v>2196</v>
      </c>
      <c r="E198" s="265"/>
      <c r="F198" s="18" t="s">
        <v>2202</v>
      </c>
      <c r="G198" s="265"/>
      <c r="H198" s="18" t="s">
        <v>2205</v>
      </c>
      <c r="J198" s="23" t="s">
        <v>2043</v>
      </c>
    </row>
    <row r="199">
      <c r="B199" s="18" t="s">
        <v>2193</v>
      </c>
      <c r="C199" s="265"/>
      <c r="D199" s="138" t="s">
        <v>2196</v>
      </c>
      <c r="E199" s="265"/>
      <c r="F199" s="18" t="s">
        <v>2202</v>
      </c>
      <c r="G199" s="265"/>
      <c r="H199" s="18" t="s">
        <v>2206</v>
      </c>
      <c r="J199" s="23" t="s">
        <v>2043</v>
      </c>
    </row>
    <row r="200">
      <c r="B200" s="18" t="s">
        <v>2193</v>
      </c>
      <c r="C200" s="265"/>
      <c r="D200" s="138" t="s">
        <v>2196</v>
      </c>
      <c r="E200" s="265"/>
      <c r="F200" s="18" t="s">
        <v>2202</v>
      </c>
      <c r="G200" s="265"/>
      <c r="H200" s="18" t="s">
        <v>2207</v>
      </c>
      <c r="J200" s="23" t="s">
        <v>2043</v>
      </c>
    </row>
    <row r="201">
      <c r="B201" s="18" t="s">
        <v>2193</v>
      </c>
      <c r="C201" s="265"/>
      <c r="D201" s="138" t="s">
        <v>2196</v>
      </c>
      <c r="E201" s="265"/>
      <c r="F201" s="18" t="s">
        <v>2202</v>
      </c>
      <c r="G201" s="265"/>
      <c r="H201" s="18" t="s">
        <v>2208</v>
      </c>
      <c r="J201" s="23" t="s">
        <v>2043</v>
      </c>
    </row>
    <row r="202">
      <c r="B202" s="18" t="s">
        <v>2193</v>
      </c>
      <c r="C202" s="265"/>
      <c r="D202" s="138" t="s">
        <v>2196</v>
      </c>
      <c r="E202" s="265"/>
      <c r="F202" s="18" t="s">
        <v>2202</v>
      </c>
      <c r="G202" s="265"/>
      <c r="H202" s="18" t="s">
        <v>2209</v>
      </c>
      <c r="J202" s="23" t="s">
        <v>2043</v>
      </c>
    </row>
    <row r="203">
      <c r="J203" s="23" t="s">
        <v>2043</v>
      </c>
    </row>
    <row r="204">
      <c r="B204" s="18" t="s">
        <v>2193</v>
      </c>
      <c r="C204" s="265"/>
      <c r="D204" s="138" t="s">
        <v>2196</v>
      </c>
      <c r="E204" s="265"/>
      <c r="F204" s="18" t="s">
        <v>2210</v>
      </c>
      <c r="G204" s="265"/>
      <c r="H204" s="18" t="s">
        <v>2211</v>
      </c>
      <c r="J204" s="23" t="s">
        <v>2043</v>
      </c>
    </row>
    <row r="205">
      <c r="B205" s="18" t="s">
        <v>2193</v>
      </c>
      <c r="C205" s="265"/>
      <c r="D205" s="138" t="s">
        <v>2196</v>
      </c>
      <c r="E205" s="265"/>
      <c r="F205" s="18" t="s">
        <v>2210</v>
      </c>
      <c r="G205" s="265"/>
      <c r="H205" s="18" t="s">
        <v>2212</v>
      </c>
      <c r="J205" s="23" t="s">
        <v>2043</v>
      </c>
    </row>
    <row r="206">
      <c r="B206" s="18" t="s">
        <v>2193</v>
      </c>
      <c r="C206" s="265"/>
      <c r="D206" s="138" t="s">
        <v>2196</v>
      </c>
      <c r="E206" s="265"/>
      <c r="F206" s="18" t="s">
        <v>2210</v>
      </c>
      <c r="G206" s="265"/>
      <c r="H206" s="18" t="s">
        <v>2213</v>
      </c>
      <c r="J206" s="23" t="s">
        <v>2043</v>
      </c>
    </row>
    <row r="207">
      <c r="B207" s="18" t="s">
        <v>2193</v>
      </c>
      <c r="C207" s="265"/>
      <c r="D207" s="138" t="s">
        <v>2196</v>
      </c>
      <c r="E207" s="265"/>
      <c r="F207" s="18" t="s">
        <v>2210</v>
      </c>
      <c r="G207" s="265"/>
      <c r="H207" s="18" t="s">
        <v>2214</v>
      </c>
      <c r="J207" s="23" t="s">
        <v>2043</v>
      </c>
    </row>
    <row r="208">
      <c r="B208" s="18" t="s">
        <v>2193</v>
      </c>
      <c r="C208" s="265"/>
      <c r="D208" s="138" t="s">
        <v>2196</v>
      </c>
      <c r="E208" s="265"/>
      <c r="F208" s="18" t="s">
        <v>2210</v>
      </c>
      <c r="G208" s="265"/>
      <c r="H208" s="18" t="s">
        <v>2215</v>
      </c>
      <c r="J208" s="23" t="s">
        <v>2043</v>
      </c>
    </row>
    <row r="209">
      <c r="B209" s="18" t="s">
        <v>2193</v>
      </c>
      <c r="C209" s="265"/>
      <c r="D209" s="138" t="s">
        <v>2196</v>
      </c>
      <c r="E209" s="265"/>
      <c r="F209" s="18" t="s">
        <v>2210</v>
      </c>
      <c r="G209" s="265"/>
      <c r="H209" s="18" t="s">
        <v>2216</v>
      </c>
      <c r="J209" s="23" t="s">
        <v>2043</v>
      </c>
    </row>
    <row r="210">
      <c r="B210" s="18" t="s">
        <v>2193</v>
      </c>
      <c r="C210" s="265"/>
      <c r="D210" s="138" t="s">
        <v>2196</v>
      </c>
      <c r="E210" s="265"/>
      <c r="F210" s="18" t="s">
        <v>2210</v>
      </c>
      <c r="G210" s="265"/>
      <c r="H210" s="18" t="s">
        <v>2217</v>
      </c>
      <c r="J210" s="23" t="s">
        <v>2043</v>
      </c>
    </row>
    <row r="211">
      <c r="B211" s="18" t="s">
        <v>2193</v>
      </c>
      <c r="C211" s="265"/>
      <c r="D211" s="138" t="s">
        <v>2196</v>
      </c>
      <c r="E211" s="265"/>
      <c r="F211" s="18" t="s">
        <v>2210</v>
      </c>
      <c r="G211" s="265"/>
      <c r="H211" s="18" t="s">
        <v>2218</v>
      </c>
      <c r="J211" s="23" t="s">
        <v>2043</v>
      </c>
    </row>
    <row r="212">
      <c r="B212" s="18" t="s">
        <v>2193</v>
      </c>
      <c r="C212" s="265"/>
      <c r="D212" s="138" t="s">
        <v>2196</v>
      </c>
      <c r="E212" s="265"/>
      <c r="F212" s="18" t="s">
        <v>2210</v>
      </c>
      <c r="G212" s="265"/>
      <c r="H212" s="18" t="s">
        <v>2219</v>
      </c>
      <c r="J212" s="23" t="s">
        <v>2043</v>
      </c>
    </row>
    <row r="213">
      <c r="B213" s="18" t="s">
        <v>2193</v>
      </c>
      <c r="C213" s="265"/>
      <c r="D213" s="138" t="s">
        <v>2196</v>
      </c>
      <c r="E213" s="265"/>
      <c r="F213" s="18" t="s">
        <v>2210</v>
      </c>
      <c r="G213" s="265"/>
      <c r="H213" s="18" t="s">
        <v>2220</v>
      </c>
      <c r="J213" s="23" t="s">
        <v>2043</v>
      </c>
    </row>
    <row r="214">
      <c r="B214" s="18" t="s">
        <v>2193</v>
      </c>
      <c r="C214" s="265"/>
      <c r="D214" s="138" t="s">
        <v>2196</v>
      </c>
      <c r="E214" s="265"/>
      <c r="F214" s="18" t="s">
        <v>2210</v>
      </c>
      <c r="G214" s="265"/>
      <c r="H214" s="18" t="s">
        <v>2221</v>
      </c>
      <c r="J214" s="23" t="s">
        <v>2043</v>
      </c>
    </row>
    <row r="215">
      <c r="B215" s="18" t="s">
        <v>2193</v>
      </c>
      <c r="C215" s="265"/>
      <c r="D215" s="138" t="s">
        <v>2196</v>
      </c>
      <c r="E215" s="265"/>
      <c r="F215" s="18" t="s">
        <v>2210</v>
      </c>
      <c r="G215" s="265"/>
      <c r="H215" s="18" t="s">
        <v>762</v>
      </c>
      <c r="J215" s="23" t="s">
        <v>2043</v>
      </c>
    </row>
    <row r="216">
      <c r="B216" s="18" t="s">
        <v>2193</v>
      </c>
      <c r="C216" s="265"/>
      <c r="D216" s="138" t="s">
        <v>2196</v>
      </c>
      <c r="E216" s="265"/>
      <c r="F216" s="18" t="s">
        <v>2210</v>
      </c>
      <c r="G216" s="265"/>
      <c r="H216" s="18" t="s">
        <v>2222</v>
      </c>
      <c r="J216" s="23" t="s">
        <v>2043</v>
      </c>
    </row>
    <row r="217">
      <c r="B217" s="18" t="s">
        <v>2193</v>
      </c>
      <c r="C217" s="265"/>
      <c r="D217" s="138" t="s">
        <v>2196</v>
      </c>
      <c r="E217" s="265"/>
      <c r="F217" s="18" t="s">
        <v>2210</v>
      </c>
      <c r="G217" s="265"/>
      <c r="H217" s="18" t="s">
        <v>2223</v>
      </c>
      <c r="J217" s="23" t="s">
        <v>2043</v>
      </c>
    </row>
    <row r="218">
      <c r="B218" s="18" t="s">
        <v>2193</v>
      </c>
      <c r="C218" s="265"/>
      <c r="D218" s="138" t="s">
        <v>2196</v>
      </c>
      <c r="E218" s="265"/>
      <c r="F218" s="18" t="s">
        <v>2210</v>
      </c>
      <c r="G218" s="265"/>
      <c r="H218" s="18" t="s">
        <v>730</v>
      </c>
      <c r="J218" s="23" t="s">
        <v>2043</v>
      </c>
    </row>
    <row r="219">
      <c r="J219" s="23" t="s">
        <v>2043</v>
      </c>
    </row>
    <row r="220">
      <c r="B220" s="18" t="s">
        <v>2224</v>
      </c>
      <c r="C220" s="265"/>
      <c r="D220" s="138" t="s">
        <v>2224</v>
      </c>
      <c r="E220" s="265"/>
      <c r="F220" s="18" t="s">
        <v>2225</v>
      </c>
      <c r="G220" s="265"/>
      <c r="H220" s="18" t="s">
        <v>2226</v>
      </c>
      <c r="J220" s="23" t="s">
        <v>2043</v>
      </c>
    </row>
    <row r="221">
      <c r="B221" s="18" t="s">
        <v>2224</v>
      </c>
      <c r="C221" s="265"/>
      <c r="D221" s="138" t="s">
        <v>2224</v>
      </c>
      <c r="E221" s="265"/>
      <c r="F221" s="18" t="s">
        <v>2225</v>
      </c>
      <c r="G221" s="265"/>
      <c r="H221" s="18" t="s">
        <v>2227</v>
      </c>
      <c r="J221" s="23" t="s">
        <v>2043</v>
      </c>
    </row>
    <row r="222">
      <c r="J222" s="23" t="s">
        <v>2043</v>
      </c>
    </row>
    <row r="223">
      <c r="B223" s="18" t="s">
        <v>2224</v>
      </c>
      <c r="C223" s="265"/>
      <c r="D223" s="138" t="s">
        <v>2224</v>
      </c>
      <c r="E223" s="265"/>
      <c r="F223" s="18" t="s">
        <v>2228</v>
      </c>
      <c r="G223" s="265"/>
      <c r="H223" s="18" t="s">
        <v>2229</v>
      </c>
      <c r="J223" s="23" t="s">
        <v>2043</v>
      </c>
    </row>
    <row r="224">
      <c r="J224" s="23" t="s">
        <v>2043</v>
      </c>
    </row>
    <row r="225">
      <c r="B225" s="18" t="s">
        <v>2224</v>
      </c>
      <c r="C225" s="265"/>
      <c r="D225" s="138" t="s">
        <v>2224</v>
      </c>
      <c r="E225" s="265"/>
      <c r="F225" s="18" t="s">
        <v>2230</v>
      </c>
      <c r="G225" s="265"/>
      <c r="H225" s="18" t="s">
        <v>2231</v>
      </c>
      <c r="J225" s="23" t="s">
        <v>2043</v>
      </c>
    </row>
    <row r="226">
      <c r="J226" s="23" t="s">
        <v>2043</v>
      </c>
    </row>
    <row r="227">
      <c r="B227" s="18" t="s">
        <v>101</v>
      </c>
      <c r="C227" s="265"/>
      <c r="D227" s="138" t="s">
        <v>101</v>
      </c>
      <c r="E227" s="265"/>
      <c r="F227" s="18" t="s">
        <v>2232</v>
      </c>
      <c r="G227" s="265"/>
      <c r="H227" s="18" t="s">
        <v>2233</v>
      </c>
      <c r="J227" s="23" t="s">
        <v>2043</v>
      </c>
    </row>
    <row r="228">
      <c r="J228" s="23" t="s">
        <v>2043</v>
      </c>
    </row>
    <row r="229">
      <c r="B229" s="18" t="s">
        <v>101</v>
      </c>
      <c r="C229" s="265"/>
      <c r="D229" s="138" t="s">
        <v>101</v>
      </c>
      <c r="E229" s="265"/>
      <c r="F229" s="18" t="s">
        <v>2234</v>
      </c>
      <c r="G229" s="265"/>
      <c r="H229" s="18" t="s">
        <v>2235</v>
      </c>
      <c r="J229" s="23" t="s">
        <v>2043</v>
      </c>
    </row>
    <row r="230">
      <c r="B230" s="18" t="s">
        <v>101</v>
      </c>
      <c r="C230" s="265"/>
      <c r="D230" s="138" t="s">
        <v>101</v>
      </c>
      <c r="E230" s="265"/>
      <c r="F230" s="18" t="s">
        <v>2234</v>
      </c>
      <c r="G230" s="265"/>
      <c r="H230" s="18" t="s">
        <v>2236</v>
      </c>
      <c r="J230" s="23" t="s">
        <v>2043</v>
      </c>
    </row>
    <row r="231">
      <c r="B231" s="18" t="s">
        <v>101</v>
      </c>
      <c r="C231" s="265"/>
      <c r="D231" s="138" t="s">
        <v>101</v>
      </c>
      <c r="E231" s="265"/>
      <c r="F231" s="18" t="s">
        <v>2234</v>
      </c>
      <c r="G231" s="265"/>
      <c r="H231" s="18" t="s">
        <v>2237</v>
      </c>
      <c r="J231" s="23" t="s">
        <v>2043</v>
      </c>
    </row>
    <row r="232">
      <c r="B232" s="18" t="s">
        <v>101</v>
      </c>
      <c r="C232" s="265"/>
      <c r="D232" s="138" t="s">
        <v>101</v>
      </c>
      <c r="E232" s="265"/>
      <c r="F232" s="18" t="s">
        <v>2234</v>
      </c>
      <c r="G232" s="265"/>
      <c r="H232" s="18" t="s">
        <v>2238</v>
      </c>
      <c r="J232" s="23" t="s">
        <v>2043</v>
      </c>
    </row>
    <row r="233">
      <c r="B233" s="18" t="s">
        <v>101</v>
      </c>
      <c r="C233" s="265"/>
      <c r="D233" s="138" t="s">
        <v>101</v>
      </c>
      <c r="E233" s="265"/>
      <c r="F233" s="18" t="s">
        <v>2234</v>
      </c>
      <c r="G233" s="265"/>
      <c r="H233" s="18" t="s">
        <v>789</v>
      </c>
      <c r="J233" s="23" t="s">
        <v>2043</v>
      </c>
    </row>
    <row r="234">
      <c r="B234" s="18" t="s">
        <v>101</v>
      </c>
      <c r="C234" s="265"/>
      <c r="D234" s="138" t="s">
        <v>101</v>
      </c>
      <c r="E234" s="265"/>
      <c r="F234" s="18" t="s">
        <v>2234</v>
      </c>
      <c r="G234" s="265"/>
      <c r="H234" s="18" t="s">
        <v>2239</v>
      </c>
      <c r="J234" s="23" t="s">
        <v>2043</v>
      </c>
    </row>
    <row r="235">
      <c r="J235" s="23" t="s">
        <v>2043</v>
      </c>
    </row>
    <row r="236">
      <c r="B236" s="18" t="s">
        <v>101</v>
      </c>
      <c r="C236" s="265"/>
      <c r="D236" s="138" t="s">
        <v>101</v>
      </c>
      <c r="E236" s="265"/>
      <c r="F236" s="18" t="s">
        <v>2240</v>
      </c>
      <c r="G236" s="265"/>
      <c r="H236" s="18" t="s">
        <v>2241</v>
      </c>
      <c r="J236" s="23" t="s">
        <v>2043</v>
      </c>
    </row>
    <row r="237">
      <c r="B237" s="18" t="s">
        <v>101</v>
      </c>
      <c r="C237" s="265"/>
      <c r="D237" s="138" t="s">
        <v>101</v>
      </c>
      <c r="E237" s="265"/>
      <c r="F237" s="18" t="s">
        <v>2240</v>
      </c>
      <c r="G237" s="265"/>
      <c r="H237" s="18" t="s">
        <v>2242</v>
      </c>
      <c r="J237" s="23" t="s">
        <v>2043</v>
      </c>
    </row>
    <row r="238">
      <c r="B238" s="18" t="s">
        <v>101</v>
      </c>
      <c r="C238" s="265"/>
      <c r="D238" s="138" t="s">
        <v>101</v>
      </c>
      <c r="E238" s="265"/>
      <c r="F238" s="18" t="s">
        <v>2240</v>
      </c>
      <c r="G238" s="265"/>
      <c r="H238" s="18" t="s">
        <v>2243</v>
      </c>
      <c r="J238" s="23" t="s">
        <v>2043</v>
      </c>
    </row>
    <row r="239">
      <c r="J239" s="23" t="s">
        <v>2043</v>
      </c>
    </row>
    <row r="240">
      <c r="B240" s="18" t="s">
        <v>101</v>
      </c>
      <c r="C240" s="265"/>
      <c r="D240" s="138" t="s">
        <v>101</v>
      </c>
      <c r="E240" s="265"/>
      <c r="F240" s="18" t="s">
        <v>2244</v>
      </c>
      <c r="G240" s="265"/>
      <c r="H240" s="18" t="s">
        <v>2245</v>
      </c>
      <c r="J240" s="23" t="s">
        <v>2043</v>
      </c>
    </row>
    <row r="241">
      <c r="B241" s="18" t="s">
        <v>101</v>
      </c>
      <c r="C241" s="265"/>
      <c r="D241" s="138" t="s">
        <v>101</v>
      </c>
      <c r="E241" s="265"/>
      <c r="F241" s="18" t="s">
        <v>2244</v>
      </c>
      <c r="G241" s="265"/>
      <c r="H241" s="18" t="s">
        <v>675</v>
      </c>
      <c r="J241" s="23" t="s">
        <v>2043</v>
      </c>
    </row>
    <row r="242">
      <c r="B242" s="18" t="s">
        <v>101</v>
      </c>
      <c r="C242" s="265"/>
      <c r="D242" s="138" t="s">
        <v>101</v>
      </c>
      <c r="E242" s="265"/>
      <c r="F242" s="18" t="s">
        <v>2244</v>
      </c>
      <c r="G242" s="265"/>
      <c r="H242" s="18" t="s">
        <v>2246</v>
      </c>
      <c r="J242" s="23" t="s">
        <v>2043</v>
      </c>
    </row>
    <row r="243">
      <c r="B243" s="18" t="s">
        <v>101</v>
      </c>
      <c r="C243" s="265"/>
      <c r="D243" s="138" t="s">
        <v>101</v>
      </c>
      <c r="E243" s="265"/>
      <c r="F243" s="18" t="s">
        <v>2244</v>
      </c>
      <c r="G243" s="265"/>
      <c r="H243" s="18" t="s">
        <v>2247</v>
      </c>
      <c r="J243" s="23" t="s">
        <v>2043</v>
      </c>
    </row>
    <row r="244">
      <c r="B244" s="18" t="s">
        <v>101</v>
      </c>
      <c r="C244" s="265"/>
      <c r="D244" s="138" t="s">
        <v>101</v>
      </c>
      <c r="E244" s="265"/>
      <c r="F244" s="18" t="s">
        <v>2244</v>
      </c>
      <c r="G244" s="265"/>
      <c r="H244" s="18" t="s">
        <v>2248</v>
      </c>
      <c r="J244" s="23" t="s">
        <v>2043</v>
      </c>
    </row>
    <row r="245">
      <c r="J245" s="23" t="s">
        <v>2043</v>
      </c>
    </row>
    <row r="246">
      <c r="B246" s="18" t="s">
        <v>2249</v>
      </c>
      <c r="C246" s="265"/>
      <c r="D246" s="138" t="s">
        <v>2249</v>
      </c>
      <c r="E246" s="265"/>
      <c r="F246" s="18" t="s">
        <v>2250</v>
      </c>
      <c r="G246" s="265"/>
      <c r="H246" s="18" t="s">
        <v>2251</v>
      </c>
      <c r="J246" s="23" t="s">
        <v>2043</v>
      </c>
    </row>
    <row r="247">
      <c r="B247" s="18" t="s">
        <v>2249</v>
      </c>
      <c r="C247" s="265"/>
      <c r="D247" s="138" t="s">
        <v>2249</v>
      </c>
      <c r="E247" s="265"/>
      <c r="F247" s="18" t="s">
        <v>2250</v>
      </c>
      <c r="G247" s="265"/>
      <c r="H247" s="18" t="s">
        <v>2252</v>
      </c>
      <c r="J247" s="23" t="s">
        <v>2043</v>
      </c>
    </row>
    <row r="248">
      <c r="B248" s="18" t="s">
        <v>2249</v>
      </c>
      <c r="C248" s="265"/>
      <c r="D248" s="138" t="s">
        <v>2249</v>
      </c>
      <c r="E248" s="265"/>
      <c r="F248" s="18" t="s">
        <v>2250</v>
      </c>
      <c r="G248" s="265"/>
      <c r="H248" s="18" t="s">
        <v>766</v>
      </c>
      <c r="J248" s="23" t="s">
        <v>2043</v>
      </c>
    </row>
    <row r="249">
      <c r="J249" s="23" t="s">
        <v>2043</v>
      </c>
    </row>
    <row r="250">
      <c r="B250" s="18" t="s">
        <v>2249</v>
      </c>
      <c r="C250" s="265"/>
      <c r="D250" s="138" t="s">
        <v>2249</v>
      </c>
      <c r="E250" s="265"/>
      <c r="F250" s="18" t="s">
        <v>2253</v>
      </c>
      <c r="G250" s="265"/>
      <c r="H250" s="18" t="s">
        <v>2253</v>
      </c>
      <c r="J250" s="23" t="s">
        <v>2043</v>
      </c>
    </row>
    <row r="251">
      <c r="J251" s="23" t="s">
        <v>2043</v>
      </c>
    </row>
    <row r="252">
      <c r="B252" s="18" t="s">
        <v>2254</v>
      </c>
      <c r="C252" s="265"/>
      <c r="D252" s="138" t="s">
        <v>218</v>
      </c>
      <c r="E252" s="265"/>
      <c r="F252" s="18" t="s">
        <v>218</v>
      </c>
      <c r="G252" s="265"/>
      <c r="H252" s="18" t="s">
        <v>690</v>
      </c>
      <c r="J252" s="23" t="s">
        <v>2043</v>
      </c>
    </row>
    <row r="253">
      <c r="B253" s="18" t="s">
        <v>2254</v>
      </c>
      <c r="C253" s="265"/>
      <c r="D253" s="138" t="s">
        <v>218</v>
      </c>
      <c r="E253" s="265"/>
      <c r="F253" s="18" t="s">
        <v>218</v>
      </c>
      <c r="G253" s="265"/>
      <c r="H253" s="18" t="s">
        <v>2255</v>
      </c>
      <c r="J253" s="23" t="s">
        <v>2043</v>
      </c>
    </row>
    <row r="254">
      <c r="B254" s="18" t="s">
        <v>2254</v>
      </c>
      <c r="C254" s="265"/>
      <c r="D254" s="138" t="s">
        <v>218</v>
      </c>
      <c r="E254" s="265"/>
      <c r="F254" s="18" t="s">
        <v>218</v>
      </c>
      <c r="G254" s="265"/>
      <c r="H254" s="18" t="s">
        <v>2256</v>
      </c>
      <c r="J254" s="23" t="s">
        <v>2043</v>
      </c>
    </row>
    <row r="255">
      <c r="J255" s="23" t="s">
        <v>2043</v>
      </c>
    </row>
    <row r="256">
      <c r="B256" s="18" t="s">
        <v>2254</v>
      </c>
      <c r="C256" s="265"/>
      <c r="D256" s="138" t="s">
        <v>2254</v>
      </c>
      <c r="E256" s="265"/>
      <c r="F256" s="18" t="s">
        <v>2257</v>
      </c>
      <c r="G256" s="265"/>
      <c r="H256" s="18" t="s">
        <v>2258</v>
      </c>
      <c r="J256" s="23" t="s">
        <v>2043</v>
      </c>
    </row>
    <row r="257">
      <c r="B257" s="18" t="s">
        <v>2254</v>
      </c>
      <c r="C257" s="265"/>
      <c r="D257" s="138" t="s">
        <v>2254</v>
      </c>
      <c r="E257" s="265"/>
      <c r="F257" s="18" t="s">
        <v>2257</v>
      </c>
      <c r="G257" s="265"/>
      <c r="H257" s="18" t="s">
        <v>2259</v>
      </c>
      <c r="J257" s="23" t="s">
        <v>2043</v>
      </c>
    </row>
    <row r="258">
      <c r="B258" s="18" t="s">
        <v>2254</v>
      </c>
      <c r="C258" s="265"/>
      <c r="D258" s="138" t="s">
        <v>2254</v>
      </c>
      <c r="E258" s="265"/>
      <c r="F258" s="18" t="s">
        <v>2257</v>
      </c>
      <c r="G258" s="265"/>
      <c r="H258" s="18" t="s">
        <v>2260</v>
      </c>
      <c r="J258" s="23" t="s">
        <v>2043</v>
      </c>
    </row>
    <row r="259">
      <c r="B259" s="18" t="s">
        <v>2254</v>
      </c>
      <c r="C259" s="265"/>
      <c r="D259" s="138" t="s">
        <v>2254</v>
      </c>
      <c r="E259" s="265"/>
      <c r="F259" s="18" t="s">
        <v>2257</v>
      </c>
      <c r="G259" s="265"/>
      <c r="H259" s="18" t="s">
        <v>2261</v>
      </c>
      <c r="J259" s="23" t="s">
        <v>2043</v>
      </c>
    </row>
    <row r="260">
      <c r="B260" s="18" t="s">
        <v>2254</v>
      </c>
      <c r="C260" s="265"/>
      <c r="D260" s="138" t="s">
        <v>2254</v>
      </c>
      <c r="E260" s="265"/>
      <c r="F260" s="18" t="s">
        <v>2257</v>
      </c>
      <c r="G260" s="265"/>
      <c r="H260" s="18" t="s">
        <v>2257</v>
      </c>
      <c r="J260" s="23" t="s">
        <v>2043</v>
      </c>
    </row>
    <row r="261">
      <c r="J261" s="23" t="s">
        <v>2043</v>
      </c>
    </row>
    <row r="262">
      <c r="B262" s="18" t="s">
        <v>686</v>
      </c>
      <c r="C262" s="265"/>
      <c r="D262" s="138" t="s">
        <v>686</v>
      </c>
      <c r="E262" s="265"/>
      <c r="F262" s="18" t="s">
        <v>686</v>
      </c>
      <c r="G262" s="265"/>
      <c r="H262" s="18" t="s">
        <v>686</v>
      </c>
      <c r="J262" s="23" t="s">
        <v>2043</v>
      </c>
    </row>
  </sheetData>
  <hyperlinks>
    <hyperlink r:id="rId1" ref="B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43"/>
    <col customWidth="1" min="2" max="2" width="62.14"/>
  </cols>
  <sheetData>
    <row r="1">
      <c r="A1" s="15" t="s">
        <v>816</v>
      </c>
      <c r="B1" s="24" t="s">
        <v>1181</v>
      </c>
    </row>
    <row r="2">
      <c r="A2" s="18" t="s">
        <v>2041</v>
      </c>
      <c r="B2" s="18" t="s">
        <v>669</v>
      </c>
    </row>
    <row r="3">
      <c r="A3" s="18" t="s">
        <v>2041</v>
      </c>
      <c r="B3" s="18" t="s">
        <v>2262</v>
      </c>
    </row>
    <row r="4">
      <c r="A4" s="18" t="s">
        <v>2041</v>
      </c>
      <c r="B4" s="18" t="s">
        <v>2045</v>
      </c>
    </row>
    <row r="5">
      <c r="A5" s="18" t="s">
        <v>2041</v>
      </c>
      <c r="B5" s="18" t="s">
        <v>2263</v>
      </c>
    </row>
    <row r="6">
      <c r="A6" s="18" t="s">
        <v>2041</v>
      </c>
      <c r="B6" s="18" t="s">
        <v>2047</v>
      </c>
    </row>
    <row r="7">
      <c r="A7" s="18" t="s">
        <v>2041</v>
      </c>
      <c r="B7" s="18" t="s">
        <v>773</v>
      </c>
    </row>
    <row r="8">
      <c r="A8" s="18" t="s">
        <v>2041</v>
      </c>
      <c r="B8" s="18" t="s">
        <v>2048</v>
      </c>
    </row>
    <row r="9">
      <c r="A9" s="18" t="s">
        <v>2041</v>
      </c>
      <c r="B9" s="18" t="s">
        <v>2264</v>
      </c>
    </row>
    <row r="10">
      <c r="A10" s="18" t="s">
        <v>2041</v>
      </c>
      <c r="B10" s="18" t="s">
        <v>720</v>
      </c>
    </row>
    <row r="11">
      <c r="B11" s="23"/>
    </row>
    <row r="12">
      <c r="A12" s="18" t="s">
        <v>2050</v>
      </c>
      <c r="B12" s="18" t="s">
        <v>693</v>
      </c>
    </row>
    <row r="13">
      <c r="A13" s="18" t="s">
        <v>2050</v>
      </c>
      <c r="B13" s="18" t="s">
        <v>2265</v>
      </c>
    </row>
    <row r="15">
      <c r="A15" s="18" t="s">
        <v>659</v>
      </c>
      <c r="B15" s="18" t="s">
        <v>659</v>
      </c>
    </row>
    <row r="16">
      <c r="A16" s="23"/>
      <c r="B16" s="23"/>
    </row>
    <row r="17">
      <c r="A17" s="18" t="s">
        <v>2054</v>
      </c>
      <c r="B17" s="18" t="s">
        <v>2054</v>
      </c>
    </row>
    <row r="19">
      <c r="A19" s="18" t="s">
        <v>2056</v>
      </c>
      <c r="B19" s="18" t="s">
        <v>2057</v>
      </c>
    </row>
    <row r="20">
      <c r="A20" s="18" t="s">
        <v>2056</v>
      </c>
      <c r="B20" s="18" t="s">
        <v>2059</v>
      </c>
    </row>
    <row r="21">
      <c r="A21" s="18" t="s">
        <v>2056</v>
      </c>
      <c r="B21" s="18" t="s">
        <v>2061</v>
      </c>
    </row>
    <row r="22">
      <c r="A22" s="18" t="s">
        <v>2056</v>
      </c>
      <c r="B22" s="18" t="s">
        <v>2063</v>
      </c>
    </row>
    <row r="24">
      <c r="A24" s="18" t="s">
        <v>2064</v>
      </c>
      <c r="B24" s="18" t="s">
        <v>942</v>
      </c>
    </row>
    <row r="25">
      <c r="A25" s="18" t="s">
        <v>2064</v>
      </c>
      <c r="B25" s="18" t="s">
        <v>679</v>
      </c>
    </row>
    <row r="26">
      <c r="A26" s="18" t="s">
        <v>2064</v>
      </c>
      <c r="B26" s="18" t="s">
        <v>814</v>
      </c>
    </row>
    <row r="27">
      <c r="A27" s="18" t="s">
        <v>2064</v>
      </c>
      <c r="B27" s="18" t="s">
        <v>2065</v>
      </c>
    </row>
    <row r="29">
      <c r="A29" s="18" t="s">
        <v>2067</v>
      </c>
      <c r="B29" s="18" t="s">
        <v>2067</v>
      </c>
    </row>
    <row r="31">
      <c r="A31" s="18" t="s">
        <v>2068</v>
      </c>
      <c r="B31" s="18" t="s">
        <v>2068</v>
      </c>
    </row>
    <row r="33">
      <c r="A33" s="18" t="s">
        <v>2069</v>
      </c>
      <c r="B33" s="18" t="s">
        <v>2070</v>
      </c>
    </row>
    <row r="34">
      <c r="A34" s="18" t="s">
        <v>2069</v>
      </c>
      <c r="B34" s="18" t="s">
        <v>2071</v>
      </c>
    </row>
    <row r="36">
      <c r="A36" s="18" t="s">
        <v>2073</v>
      </c>
      <c r="B36" s="138" t="s">
        <v>770</v>
      </c>
    </row>
    <row r="37">
      <c r="A37" s="18" t="s">
        <v>2073</v>
      </c>
      <c r="B37" s="138" t="s">
        <v>700</v>
      </c>
    </row>
    <row r="38">
      <c r="A38" s="18" t="s">
        <v>2073</v>
      </c>
      <c r="B38" s="18" t="s">
        <v>2074</v>
      </c>
    </row>
    <row r="40">
      <c r="A40" s="18" t="s">
        <v>200</v>
      </c>
      <c r="B40" s="138" t="s">
        <v>2077</v>
      </c>
    </row>
    <row r="41">
      <c r="A41" s="18" t="s">
        <v>200</v>
      </c>
      <c r="B41" s="18" t="s">
        <v>623</v>
      </c>
    </row>
    <row r="42">
      <c r="A42" s="18" t="s">
        <v>200</v>
      </c>
      <c r="B42" s="18" t="s">
        <v>2078</v>
      </c>
    </row>
    <row r="44">
      <c r="A44" s="18" t="s">
        <v>2079</v>
      </c>
      <c r="B44" s="138" t="s">
        <v>2080</v>
      </c>
    </row>
    <row r="45">
      <c r="A45" s="18" t="s">
        <v>2079</v>
      </c>
      <c r="B45" s="18" t="s">
        <v>2081</v>
      </c>
    </row>
    <row r="46">
      <c r="A46" s="18" t="s">
        <v>2079</v>
      </c>
      <c r="B46" s="18" t="s">
        <v>2082</v>
      </c>
    </row>
    <row r="47">
      <c r="A47" s="18" t="s">
        <v>2079</v>
      </c>
      <c r="B47" s="18" t="s">
        <v>2083</v>
      </c>
    </row>
    <row r="48">
      <c r="A48" s="18" t="s">
        <v>2079</v>
      </c>
      <c r="B48" s="18" t="s">
        <v>2084</v>
      </c>
    </row>
    <row r="49">
      <c r="A49" s="18" t="s">
        <v>2079</v>
      </c>
      <c r="B49" s="18" t="s">
        <v>2085</v>
      </c>
    </row>
    <row r="51">
      <c r="A51" s="18" t="s">
        <v>2087</v>
      </c>
      <c r="B51" s="18" t="s">
        <v>2088</v>
      </c>
    </row>
    <row r="52">
      <c r="A52" s="18" t="s">
        <v>2087</v>
      </c>
      <c r="B52" s="18" t="s">
        <v>2089</v>
      </c>
    </row>
    <row r="53">
      <c r="A53" s="18" t="s">
        <v>2087</v>
      </c>
      <c r="B53" s="138" t="s">
        <v>677</v>
      </c>
    </row>
    <row r="54">
      <c r="A54" s="18" t="s">
        <v>2087</v>
      </c>
      <c r="B54" s="18" t="s">
        <v>2090</v>
      </c>
    </row>
    <row r="55">
      <c r="A55" s="18" t="s">
        <v>2087</v>
      </c>
      <c r="B55" s="18" t="s">
        <v>2091</v>
      </c>
    </row>
    <row r="56">
      <c r="A56" s="18" t="s">
        <v>2087</v>
      </c>
      <c r="B56" s="18" t="s">
        <v>2092</v>
      </c>
    </row>
    <row r="57">
      <c r="A57" s="18" t="s">
        <v>2087</v>
      </c>
      <c r="B57" s="18" t="s">
        <v>716</v>
      </c>
    </row>
    <row r="58">
      <c r="A58" s="18" t="s">
        <v>2087</v>
      </c>
      <c r="B58" s="18" t="s">
        <v>718</v>
      </c>
    </row>
    <row r="59">
      <c r="A59" s="18" t="s">
        <v>2087</v>
      </c>
      <c r="B59" s="18" t="s">
        <v>2093</v>
      </c>
    </row>
    <row r="60">
      <c r="A60" s="18" t="s">
        <v>2087</v>
      </c>
      <c r="B60" s="18" t="s">
        <v>2094</v>
      </c>
    </row>
    <row r="61">
      <c r="A61" s="18" t="s">
        <v>2087</v>
      </c>
      <c r="B61" s="18" t="s">
        <v>2095</v>
      </c>
    </row>
    <row r="62">
      <c r="A62" s="18" t="s">
        <v>2087</v>
      </c>
      <c r="B62" s="18" t="s">
        <v>2096</v>
      </c>
    </row>
    <row r="63">
      <c r="A63" s="18" t="s">
        <v>2087</v>
      </c>
      <c r="B63" s="18" t="s">
        <v>2097</v>
      </c>
    </row>
    <row r="64">
      <c r="A64" s="18" t="s">
        <v>2087</v>
      </c>
      <c r="B64" s="18" t="s">
        <v>2098</v>
      </c>
    </row>
    <row r="65">
      <c r="A65" s="18" t="s">
        <v>2087</v>
      </c>
      <c r="B65" s="142" t="s">
        <v>1521</v>
      </c>
    </row>
    <row r="66">
      <c r="A66" s="18" t="s">
        <v>2087</v>
      </c>
      <c r="B66" s="142" t="s">
        <v>2099</v>
      </c>
    </row>
    <row r="67">
      <c r="A67" s="18" t="s">
        <v>2087</v>
      </c>
      <c r="B67" s="18" t="s">
        <v>698</v>
      </c>
    </row>
    <row r="69">
      <c r="A69" s="18" t="s">
        <v>2100</v>
      </c>
      <c r="B69" s="18" t="s">
        <v>2101</v>
      </c>
    </row>
    <row r="70">
      <c r="A70" s="18" t="s">
        <v>2100</v>
      </c>
      <c r="B70" s="18" t="s">
        <v>2102</v>
      </c>
    </row>
    <row r="71">
      <c r="A71" s="18" t="s">
        <v>2100</v>
      </c>
      <c r="B71" s="18" t="s">
        <v>2103</v>
      </c>
    </row>
    <row r="73">
      <c r="A73" s="18" t="s">
        <v>2105</v>
      </c>
      <c r="B73" s="18" t="s">
        <v>2106</v>
      </c>
    </row>
    <row r="74">
      <c r="A74" s="18" t="s">
        <v>2105</v>
      </c>
      <c r="B74" s="18" t="s">
        <v>2107</v>
      </c>
    </row>
    <row r="75">
      <c r="A75" s="18" t="s">
        <v>2105</v>
      </c>
      <c r="B75" s="18" t="s">
        <v>2108</v>
      </c>
    </row>
    <row r="76">
      <c r="A76" s="18" t="s">
        <v>2105</v>
      </c>
      <c r="B76" s="18" t="s">
        <v>2109</v>
      </c>
    </row>
    <row r="78">
      <c r="A78" s="18" t="s">
        <v>2110</v>
      </c>
      <c r="B78" s="18" t="s">
        <v>2111</v>
      </c>
    </row>
    <row r="79">
      <c r="A79" s="18" t="s">
        <v>2110</v>
      </c>
      <c r="B79" s="18" t="s">
        <v>2112</v>
      </c>
    </row>
    <row r="80">
      <c r="A80" s="18" t="s">
        <v>2110</v>
      </c>
      <c r="B80" s="18" t="s">
        <v>2113</v>
      </c>
    </row>
    <row r="81">
      <c r="A81" s="18" t="s">
        <v>2110</v>
      </c>
      <c r="B81" s="18" t="s">
        <v>2114</v>
      </c>
    </row>
    <row r="83">
      <c r="A83" s="18" t="s">
        <v>2115</v>
      </c>
      <c r="B83" s="18" t="s">
        <v>2115</v>
      </c>
    </row>
    <row r="85">
      <c r="A85" s="18" t="s">
        <v>781</v>
      </c>
      <c r="B85" s="18" t="s">
        <v>2116</v>
      </c>
    </row>
    <row r="86">
      <c r="A86" s="18" t="s">
        <v>781</v>
      </c>
      <c r="B86" s="18" t="s">
        <v>2117</v>
      </c>
    </row>
    <row r="87">
      <c r="A87" s="18" t="s">
        <v>781</v>
      </c>
      <c r="B87" s="18" t="s">
        <v>2118</v>
      </c>
    </row>
    <row r="89">
      <c r="A89" s="18" t="s">
        <v>2120</v>
      </c>
      <c r="B89" s="18" t="s">
        <v>2121</v>
      </c>
    </row>
    <row r="90">
      <c r="A90" s="18" t="s">
        <v>2120</v>
      </c>
      <c r="B90" s="18" t="s">
        <v>785</v>
      </c>
    </row>
    <row r="91">
      <c r="A91" s="18" t="s">
        <v>2120</v>
      </c>
      <c r="B91" s="18" t="s">
        <v>2122</v>
      </c>
    </row>
    <row r="92">
      <c r="A92" s="18" t="s">
        <v>2120</v>
      </c>
      <c r="B92" s="18" t="s">
        <v>2123</v>
      </c>
    </row>
    <row r="93">
      <c r="A93" s="18" t="s">
        <v>2120</v>
      </c>
      <c r="B93" s="18" t="s">
        <v>2124</v>
      </c>
    </row>
    <row r="95">
      <c r="A95" s="18" t="s">
        <v>2125</v>
      </c>
      <c r="B95" s="18" t="s">
        <v>370</v>
      </c>
    </row>
    <row r="96">
      <c r="A96" s="18" t="s">
        <v>2125</v>
      </c>
      <c r="B96" s="18" t="s">
        <v>2126</v>
      </c>
    </row>
    <row r="97">
      <c r="A97" s="18" t="s">
        <v>2125</v>
      </c>
      <c r="B97" s="18" t="s">
        <v>2127</v>
      </c>
    </row>
    <row r="98">
      <c r="A98" s="18" t="s">
        <v>2125</v>
      </c>
      <c r="B98" s="18" t="s">
        <v>2125</v>
      </c>
    </row>
    <row r="100">
      <c r="A100" s="18" t="s">
        <v>2129</v>
      </c>
      <c r="B100" s="18" t="s">
        <v>2130</v>
      </c>
    </row>
    <row r="101">
      <c r="A101" s="18" t="s">
        <v>2129</v>
      </c>
      <c r="B101" s="18" t="s">
        <v>2131</v>
      </c>
    </row>
    <row r="102">
      <c r="A102" s="18" t="s">
        <v>2129</v>
      </c>
      <c r="B102" s="18" t="s">
        <v>2132</v>
      </c>
    </row>
    <row r="103">
      <c r="A103" s="18" t="s">
        <v>2129</v>
      </c>
      <c r="B103" s="18" t="s">
        <v>2133</v>
      </c>
    </row>
    <row r="104">
      <c r="A104" s="18" t="s">
        <v>2129</v>
      </c>
      <c r="B104" s="18" t="s">
        <v>2134</v>
      </c>
    </row>
    <row r="105">
      <c r="A105" s="18" t="s">
        <v>2129</v>
      </c>
      <c r="B105" s="18" t="s">
        <v>685</v>
      </c>
    </row>
    <row r="107">
      <c r="A107" s="18" t="s">
        <v>2137</v>
      </c>
      <c r="B107" s="18" t="s">
        <v>2138</v>
      </c>
    </row>
    <row r="108">
      <c r="A108" s="18" t="s">
        <v>2137</v>
      </c>
      <c r="B108" s="18" t="s">
        <v>2139</v>
      </c>
    </row>
    <row r="109">
      <c r="A109" s="18" t="s">
        <v>2137</v>
      </c>
      <c r="B109" s="18" t="s">
        <v>2140</v>
      </c>
    </row>
    <row r="110">
      <c r="A110" s="18" t="s">
        <v>2137</v>
      </c>
      <c r="B110" s="18" t="s">
        <v>2141</v>
      </c>
    </row>
    <row r="112">
      <c r="A112" s="18" t="s">
        <v>2142</v>
      </c>
      <c r="B112" s="18" t="s">
        <v>2143</v>
      </c>
    </row>
    <row r="113">
      <c r="A113" s="18" t="s">
        <v>2142</v>
      </c>
      <c r="B113" s="18" t="s">
        <v>2144</v>
      </c>
    </row>
    <row r="114">
      <c r="A114" s="18" t="s">
        <v>2142</v>
      </c>
      <c r="B114" s="18" t="s">
        <v>2145</v>
      </c>
    </row>
    <row r="115">
      <c r="A115" s="18" t="s">
        <v>2142</v>
      </c>
      <c r="B115" s="18" t="s">
        <v>753</v>
      </c>
    </row>
    <row r="117">
      <c r="A117" s="18" t="s">
        <v>2146</v>
      </c>
      <c r="B117" s="18" t="s">
        <v>2147</v>
      </c>
    </row>
    <row r="118">
      <c r="A118" s="18" t="s">
        <v>2146</v>
      </c>
      <c r="B118" s="18" t="s">
        <v>2148</v>
      </c>
    </row>
    <row r="120">
      <c r="A120" s="18" t="s">
        <v>2149</v>
      </c>
      <c r="B120" s="18" t="s">
        <v>663</v>
      </c>
    </row>
    <row r="122">
      <c r="A122" s="18" t="s">
        <v>2151</v>
      </c>
      <c r="B122" s="18" t="s">
        <v>2152</v>
      </c>
    </row>
    <row r="123">
      <c r="A123" s="18" t="s">
        <v>2151</v>
      </c>
      <c r="B123" s="18" t="s">
        <v>797</v>
      </c>
    </row>
    <row r="124">
      <c r="A124" s="18" t="s">
        <v>2151</v>
      </c>
      <c r="B124" s="18" t="s">
        <v>801</v>
      </c>
    </row>
    <row r="125">
      <c r="A125" s="18" t="s">
        <v>2151</v>
      </c>
      <c r="B125" s="18" t="s">
        <v>755</v>
      </c>
    </row>
    <row r="127">
      <c r="A127" s="18" t="s">
        <v>857</v>
      </c>
      <c r="B127" s="18" t="s">
        <v>2153</v>
      </c>
    </row>
    <row r="128">
      <c r="A128" s="18" t="s">
        <v>857</v>
      </c>
      <c r="B128" s="18" t="s">
        <v>2154</v>
      </c>
    </row>
    <row r="130">
      <c r="A130" s="18" t="s">
        <v>2155</v>
      </c>
      <c r="B130" s="18" t="s">
        <v>2155</v>
      </c>
    </row>
    <row r="132">
      <c r="A132" s="18" t="s">
        <v>2156</v>
      </c>
      <c r="B132" s="18" t="s">
        <v>2157</v>
      </c>
    </row>
    <row r="133">
      <c r="A133" s="18" t="s">
        <v>2156</v>
      </c>
      <c r="B133" s="18" t="s">
        <v>2158</v>
      </c>
    </row>
    <row r="134">
      <c r="A134" s="18" t="s">
        <v>2156</v>
      </c>
      <c r="B134" s="18" t="s">
        <v>760</v>
      </c>
    </row>
    <row r="135">
      <c r="A135" s="18" t="s">
        <v>2156</v>
      </c>
      <c r="B135" s="18" t="s">
        <v>2159</v>
      </c>
    </row>
    <row r="137">
      <c r="A137" s="18" t="s">
        <v>772</v>
      </c>
      <c r="B137" s="18" t="s">
        <v>2160</v>
      </c>
    </row>
    <row r="139">
      <c r="A139" s="18" t="s">
        <v>717</v>
      </c>
      <c r="B139" s="266" t="s">
        <v>717</v>
      </c>
    </row>
    <row r="140">
      <c r="A140" s="18" t="s">
        <v>717</v>
      </c>
      <c r="B140" s="18" t="s">
        <v>2161</v>
      </c>
    </row>
    <row r="141">
      <c r="A141" s="18" t="s">
        <v>717</v>
      </c>
      <c r="B141" s="18" t="s">
        <v>2162</v>
      </c>
    </row>
    <row r="142">
      <c r="A142" s="18" t="s">
        <v>717</v>
      </c>
      <c r="B142" s="18" t="s">
        <v>2163</v>
      </c>
    </row>
    <row r="144">
      <c r="A144" s="18" t="s">
        <v>2164</v>
      </c>
      <c r="B144" s="18" t="s">
        <v>2165</v>
      </c>
    </row>
    <row r="146">
      <c r="A146" s="18" t="s">
        <v>2166</v>
      </c>
      <c r="B146" s="18" t="s">
        <v>2167</v>
      </c>
    </row>
    <row r="147">
      <c r="A147" s="18" t="s">
        <v>2166</v>
      </c>
      <c r="B147" s="18" t="s">
        <v>2168</v>
      </c>
    </row>
    <row r="148">
      <c r="A148" s="18" t="s">
        <v>2166</v>
      </c>
      <c r="B148" s="18" t="s">
        <v>2169</v>
      </c>
    </row>
    <row r="149">
      <c r="A149" s="18" t="s">
        <v>2166</v>
      </c>
      <c r="B149" s="18" t="s">
        <v>2170</v>
      </c>
    </row>
    <row r="150">
      <c r="A150" s="18" t="s">
        <v>2166</v>
      </c>
      <c r="B150" s="18" t="s">
        <v>758</v>
      </c>
    </row>
    <row r="151">
      <c r="A151" s="18" t="s">
        <v>2166</v>
      </c>
      <c r="B151" s="18" t="s">
        <v>2171</v>
      </c>
    </row>
    <row r="153">
      <c r="A153" s="18" t="s">
        <v>649</v>
      </c>
      <c r="B153" s="18" t="s">
        <v>2172</v>
      </c>
    </row>
    <row r="154">
      <c r="A154" s="18" t="s">
        <v>649</v>
      </c>
      <c r="B154" s="18" t="s">
        <v>2173</v>
      </c>
    </row>
    <row r="155">
      <c r="A155" s="18" t="s">
        <v>649</v>
      </c>
      <c r="B155" s="18" t="s">
        <v>2174</v>
      </c>
    </row>
    <row r="157">
      <c r="A157" s="18" t="s">
        <v>2175</v>
      </c>
      <c r="B157" s="18" t="s">
        <v>2176</v>
      </c>
    </row>
    <row r="158">
      <c r="A158" s="18" t="s">
        <v>2175</v>
      </c>
      <c r="B158" s="18" t="s">
        <v>2177</v>
      </c>
    </row>
    <row r="159">
      <c r="A159" s="18" t="s">
        <v>2175</v>
      </c>
      <c r="B159" s="18" t="s">
        <v>2178</v>
      </c>
    </row>
    <row r="160">
      <c r="A160" s="18" t="s">
        <v>2175</v>
      </c>
      <c r="B160" s="18" t="s">
        <v>2179</v>
      </c>
    </row>
    <row r="161">
      <c r="A161" s="18" t="s">
        <v>2175</v>
      </c>
      <c r="B161" s="18" t="s">
        <v>2180</v>
      </c>
    </row>
    <row r="162">
      <c r="A162" s="18" t="s">
        <v>2175</v>
      </c>
      <c r="B162" s="18" t="s">
        <v>2181</v>
      </c>
    </row>
    <row r="163">
      <c r="A163" s="18" t="s">
        <v>2175</v>
      </c>
      <c r="B163" s="18" t="s">
        <v>2182</v>
      </c>
    </row>
    <row r="165">
      <c r="A165" s="18" t="s">
        <v>2183</v>
      </c>
      <c r="B165" s="18" t="s">
        <v>703</v>
      </c>
    </row>
    <row r="166">
      <c r="A166" s="18" t="s">
        <v>2183</v>
      </c>
      <c r="B166" s="18" t="s">
        <v>739</v>
      </c>
    </row>
    <row r="167">
      <c r="A167" s="18" t="s">
        <v>2183</v>
      </c>
      <c r="B167" s="18" t="s">
        <v>2184</v>
      </c>
    </row>
    <row r="168">
      <c r="A168" s="18" t="s">
        <v>2183</v>
      </c>
      <c r="B168" s="18" t="s">
        <v>2185</v>
      </c>
    </row>
    <row r="170">
      <c r="A170" s="18" t="s">
        <v>2186</v>
      </c>
      <c r="B170" s="18" t="s">
        <v>2186</v>
      </c>
    </row>
    <row r="172">
      <c r="A172" s="18" t="s">
        <v>2187</v>
      </c>
      <c r="B172" s="18" t="s">
        <v>2188</v>
      </c>
    </row>
    <row r="173">
      <c r="A173" s="18" t="s">
        <v>2187</v>
      </c>
      <c r="B173" s="18" t="s">
        <v>651</v>
      </c>
    </row>
    <row r="175">
      <c r="A175" s="18" t="s">
        <v>2189</v>
      </c>
      <c r="B175" s="18" t="s">
        <v>2190</v>
      </c>
    </row>
    <row r="177">
      <c r="A177" s="18" t="s">
        <v>709</v>
      </c>
      <c r="B177" s="18" t="s">
        <v>2191</v>
      </c>
    </row>
    <row r="178">
      <c r="A178" s="18" t="s">
        <v>709</v>
      </c>
      <c r="B178" s="18" t="s">
        <v>709</v>
      </c>
    </row>
    <row r="179">
      <c r="A179" s="18" t="s">
        <v>709</v>
      </c>
      <c r="B179" s="18" t="s">
        <v>2192</v>
      </c>
    </row>
    <row r="181">
      <c r="A181" s="18" t="s">
        <v>890</v>
      </c>
      <c r="B181" s="18" t="s">
        <v>2194</v>
      </c>
    </row>
    <row r="182">
      <c r="A182" s="18" t="s">
        <v>890</v>
      </c>
      <c r="B182" s="18" t="s">
        <v>2195</v>
      </c>
    </row>
    <row r="184">
      <c r="A184" s="18" t="s">
        <v>2197</v>
      </c>
      <c r="B184" s="18" t="s">
        <v>2197</v>
      </c>
    </row>
    <row r="186">
      <c r="A186" s="18" t="s">
        <v>2198</v>
      </c>
      <c r="B186" s="18" t="s">
        <v>976</v>
      </c>
    </row>
    <row r="187">
      <c r="A187" s="18" t="s">
        <v>2198</v>
      </c>
      <c r="B187" s="18" t="s">
        <v>668</v>
      </c>
    </row>
    <row r="188">
      <c r="A188" s="18" t="s">
        <v>2198</v>
      </c>
      <c r="B188" s="18" t="s">
        <v>2199</v>
      </c>
    </row>
    <row r="190">
      <c r="A190" s="18" t="s">
        <v>2200</v>
      </c>
      <c r="B190" s="18" t="s">
        <v>711</v>
      </c>
    </row>
    <row r="191">
      <c r="A191" s="18" t="s">
        <v>2200</v>
      </c>
      <c r="B191" s="18" t="s">
        <v>2201</v>
      </c>
    </row>
    <row r="193">
      <c r="A193" s="18" t="s">
        <v>2202</v>
      </c>
      <c r="B193" s="18" t="s">
        <v>2203</v>
      </c>
    </row>
    <row r="194">
      <c r="A194" s="18" t="s">
        <v>2202</v>
      </c>
      <c r="B194" s="18" t="s">
        <v>2204</v>
      </c>
    </row>
    <row r="195">
      <c r="A195" s="18" t="s">
        <v>2202</v>
      </c>
      <c r="B195" s="18" t="s">
        <v>2205</v>
      </c>
    </row>
    <row r="196">
      <c r="A196" s="18" t="s">
        <v>2202</v>
      </c>
      <c r="B196" s="18" t="s">
        <v>2206</v>
      </c>
    </row>
    <row r="197">
      <c r="A197" s="18" t="s">
        <v>2202</v>
      </c>
      <c r="B197" s="18" t="s">
        <v>2207</v>
      </c>
    </row>
    <row r="198">
      <c r="A198" s="18" t="s">
        <v>2202</v>
      </c>
      <c r="B198" s="18" t="s">
        <v>2208</v>
      </c>
    </row>
    <row r="199">
      <c r="A199" s="18" t="s">
        <v>2202</v>
      </c>
      <c r="B199" s="18" t="s">
        <v>2209</v>
      </c>
    </row>
    <row r="201">
      <c r="A201" s="18" t="s">
        <v>2210</v>
      </c>
      <c r="B201" s="18" t="s">
        <v>2211</v>
      </c>
    </row>
    <row r="202">
      <c r="A202" s="18" t="s">
        <v>2210</v>
      </c>
      <c r="B202" s="18" t="s">
        <v>2212</v>
      </c>
    </row>
    <row r="203">
      <c r="A203" s="18" t="s">
        <v>2210</v>
      </c>
      <c r="B203" s="18" t="s">
        <v>2213</v>
      </c>
    </row>
    <row r="204">
      <c r="A204" s="18" t="s">
        <v>2210</v>
      </c>
      <c r="B204" s="18" t="s">
        <v>2214</v>
      </c>
    </row>
    <row r="205">
      <c r="A205" s="18" t="s">
        <v>2210</v>
      </c>
      <c r="B205" s="18" t="s">
        <v>2215</v>
      </c>
    </row>
    <row r="206">
      <c r="A206" s="18" t="s">
        <v>2210</v>
      </c>
      <c r="B206" s="18" t="s">
        <v>2216</v>
      </c>
    </row>
    <row r="207">
      <c r="A207" s="18" t="s">
        <v>2210</v>
      </c>
      <c r="B207" s="18" t="s">
        <v>2217</v>
      </c>
    </row>
    <row r="208">
      <c r="A208" s="18" t="s">
        <v>2210</v>
      </c>
      <c r="B208" s="18" t="s">
        <v>2218</v>
      </c>
    </row>
    <row r="209">
      <c r="A209" s="18" t="s">
        <v>2210</v>
      </c>
      <c r="B209" s="18" t="s">
        <v>2219</v>
      </c>
    </row>
    <row r="210">
      <c r="A210" s="18" t="s">
        <v>2210</v>
      </c>
      <c r="B210" s="18" t="s">
        <v>2220</v>
      </c>
    </row>
    <row r="211">
      <c r="A211" s="18" t="s">
        <v>2210</v>
      </c>
      <c r="B211" s="18" t="s">
        <v>2221</v>
      </c>
    </row>
    <row r="212">
      <c r="A212" s="18" t="s">
        <v>2210</v>
      </c>
      <c r="B212" s="18" t="s">
        <v>762</v>
      </c>
    </row>
    <row r="213">
      <c r="A213" s="18" t="s">
        <v>2210</v>
      </c>
      <c r="B213" s="18" t="s">
        <v>2222</v>
      </c>
    </row>
    <row r="214">
      <c r="A214" s="18" t="s">
        <v>2210</v>
      </c>
      <c r="B214" s="18" t="s">
        <v>2223</v>
      </c>
    </row>
    <row r="215">
      <c r="A215" s="18" t="s">
        <v>2210</v>
      </c>
      <c r="B215" s="18" t="s">
        <v>730</v>
      </c>
    </row>
    <row r="217">
      <c r="A217" s="18" t="s">
        <v>2225</v>
      </c>
      <c r="B217" s="18" t="s">
        <v>2226</v>
      </c>
    </row>
    <row r="218">
      <c r="A218" s="18" t="s">
        <v>2225</v>
      </c>
      <c r="B218" s="18" t="s">
        <v>2227</v>
      </c>
    </row>
    <row r="220">
      <c r="A220" s="18" t="s">
        <v>2228</v>
      </c>
      <c r="B220" s="18" t="s">
        <v>2229</v>
      </c>
    </row>
    <row r="222">
      <c r="A222" s="18" t="s">
        <v>2230</v>
      </c>
      <c r="B222" s="18" t="s">
        <v>2231</v>
      </c>
    </row>
    <row r="224">
      <c r="A224" s="18" t="s">
        <v>2232</v>
      </c>
      <c r="B224" s="18" t="s">
        <v>2233</v>
      </c>
    </row>
    <row r="226">
      <c r="A226" s="18" t="s">
        <v>2234</v>
      </c>
      <c r="B226" s="18" t="s">
        <v>2235</v>
      </c>
    </row>
    <row r="227">
      <c r="A227" s="18" t="s">
        <v>2234</v>
      </c>
      <c r="B227" s="18" t="s">
        <v>2236</v>
      </c>
    </row>
    <row r="228">
      <c r="A228" s="18" t="s">
        <v>2234</v>
      </c>
      <c r="B228" s="18" t="s">
        <v>2237</v>
      </c>
    </row>
    <row r="229">
      <c r="A229" s="18" t="s">
        <v>2234</v>
      </c>
      <c r="B229" s="18" t="s">
        <v>2238</v>
      </c>
    </row>
    <row r="230">
      <c r="A230" s="18" t="s">
        <v>2234</v>
      </c>
      <c r="B230" s="18" t="s">
        <v>789</v>
      </c>
    </row>
    <row r="231">
      <c r="A231" s="18" t="s">
        <v>2234</v>
      </c>
      <c r="B231" s="18" t="s">
        <v>2239</v>
      </c>
    </row>
    <row r="233">
      <c r="A233" s="18" t="s">
        <v>2240</v>
      </c>
      <c r="B233" s="18" t="s">
        <v>2241</v>
      </c>
    </row>
    <row r="234">
      <c r="A234" s="18" t="s">
        <v>2240</v>
      </c>
      <c r="B234" s="18" t="s">
        <v>2242</v>
      </c>
    </row>
    <row r="235">
      <c r="A235" s="18" t="s">
        <v>2240</v>
      </c>
      <c r="B235" s="18" t="s">
        <v>2243</v>
      </c>
    </row>
    <row r="237">
      <c r="A237" s="18" t="s">
        <v>2244</v>
      </c>
      <c r="B237" s="18" t="s">
        <v>2245</v>
      </c>
    </row>
    <row r="238">
      <c r="A238" s="18" t="s">
        <v>2244</v>
      </c>
      <c r="B238" s="18" t="s">
        <v>675</v>
      </c>
    </row>
    <row r="239">
      <c r="A239" s="18" t="s">
        <v>2244</v>
      </c>
      <c r="B239" s="18" t="s">
        <v>2246</v>
      </c>
    </row>
    <row r="240">
      <c r="A240" s="18" t="s">
        <v>2244</v>
      </c>
      <c r="B240" s="18" t="s">
        <v>2247</v>
      </c>
    </row>
    <row r="241">
      <c r="A241" s="18" t="s">
        <v>2244</v>
      </c>
      <c r="B241" s="18" t="s">
        <v>2248</v>
      </c>
    </row>
    <row r="243">
      <c r="A243" s="18" t="s">
        <v>2250</v>
      </c>
      <c r="B243" s="18" t="s">
        <v>2251</v>
      </c>
    </row>
    <row r="244">
      <c r="A244" s="18" t="s">
        <v>2250</v>
      </c>
      <c r="B244" s="18" t="s">
        <v>2252</v>
      </c>
    </row>
    <row r="245">
      <c r="A245" s="18" t="s">
        <v>2250</v>
      </c>
      <c r="B245" s="18" t="s">
        <v>766</v>
      </c>
    </row>
    <row r="247">
      <c r="A247" s="18" t="s">
        <v>2253</v>
      </c>
      <c r="B247" s="18" t="s">
        <v>2253</v>
      </c>
    </row>
    <row r="249">
      <c r="A249" s="18" t="s">
        <v>218</v>
      </c>
      <c r="B249" s="18" t="s">
        <v>690</v>
      </c>
    </row>
    <row r="250">
      <c r="A250" s="18" t="s">
        <v>218</v>
      </c>
      <c r="B250" s="18" t="s">
        <v>2255</v>
      </c>
    </row>
    <row r="251">
      <c r="A251" s="18" t="s">
        <v>218</v>
      </c>
      <c r="B251" s="18" t="s">
        <v>2256</v>
      </c>
    </row>
    <row r="253">
      <c r="A253" s="18" t="s">
        <v>2257</v>
      </c>
      <c r="B253" s="18" t="s">
        <v>2258</v>
      </c>
    </row>
    <row r="254">
      <c r="A254" s="18" t="s">
        <v>2257</v>
      </c>
      <c r="B254" s="18" t="s">
        <v>2259</v>
      </c>
    </row>
    <row r="255">
      <c r="A255" s="18" t="s">
        <v>2257</v>
      </c>
      <c r="B255" s="18" t="s">
        <v>2260</v>
      </c>
    </row>
    <row r="256">
      <c r="A256" s="18" t="s">
        <v>2257</v>
      </c>
      <c r="B256" s="18" t="s">
        <v>2261</v>
      </c>
    </row>
    <row r="257">
      <c r="A257" s="18" t="s">
        <v>2257</v>
      </c>
      <c r="B257" s="18" t="s">
        <v>2257</v>
      </c>
    </row>
    <row r="259">
      <c r="A259" s="18" t="s">
        <v>686</v>
      </c>
      <c r="B259" s="18" t="s">
        <v>686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57"/>
    <col customWidth="1" min="3" max="3" width="14.43"/>
    <col customWidth="1" min="4" max="4" width="16.29"/>
    <col customWidth="1" min="5" max="5" width="39.0"/>
    <col customWidth="1" min="6" max="6" width="28.57"/>
    <col customWidth="1" min="7" max="7" width="39.0"/>
    <col customWidth="1" min="8" max="8" width="24.86"/>
    <col customWidth="1" min="9" max="9" width="39.0"/>
    <col customWidth="1" min="11" max="11" width="24.0"/>
    <col customWidth="1" min="12" max="12" width="17.14"/>
  </cols>
  <sheetData>
    <row r="1">
      <c r="A1" s="23" t="s">
        <v>2026</v>
      </c>
      <c r="B1" s="152" t="s">
        <v>2027</v>
      </c>
    </row>
    <row r="2">
      <c r="B2" s="23"/>
      <c r="D2" s="23"/>
      <c r="F2" s="23"/>
      <c r="H2" s="23"/>
    </row>
    <row r="3">
      <c r="B3" s="15" t="s">
        <v>2028</v>
      </c>
      <c r="C3" s="262"/>
      <c r="D3" s="15" t="s">
        <v>2029</v>
      </c>
      <c r="E3" s="262"/>
      <c r="F3" s="15" t="s">
        <v>2030</v>
      </c>
      <c r="G3" s="262"/>
      <c r="H3" s="15" t="s">
        <v>2031</v>
      </c>
      <c r="I3" s="262"/>
    </row>
    <row r="4">
      <c r="B4" s="15" t="s">
        <v>2032</v>
      </c>
      <c r="C4" s="15" t="s">
        <v>2033</v>
      </c>
      <c r="D4" s="15" t="s">
        <v>2034</v>
      </c>
      <c r="E4" s="15" t="s">
        <v>2035</v>
      </c>
      <c r="F4" s="15" t="s">
        <v>816</v>
      </c>
      <c r="G4" s="15"/>
      <c r="H4" s="15" t="s">
        <v>2037</v>
      </c>
      <c r="I4" s="15" t="s">
        <v>2266</v>
      </c>
      <c r="J4" s="24" t="s">
        <v>2267</v>
      </c>
      <c r="K4" s="24" t="s">
        <v>2268</v>
      </c>
      <c r="L4" s="24" t="s">
        <v>2269</v>
      </c>
    </row>
    <row r="5">
      <c r="B5" s="18" t="s">
        <v>2039</v>
      </c>
      <c r="C5" s="18" t="s">
        <v>2040</v>
      </c>
      <c r="D5" s="18" t="s">
        <v>172</v>
      </c>
      <c r="E5" s="263" t="s">
        <v>636</v>
      </c>
      <c r="F5" s="18" t="s">
        <v>2270</v>
      </c>
      <c r="G5" s="263"/>
      <c r="H5" s="18" t="s">
        <v>2271</v>
      </c>
      <c r="I5" s="18"/>
    </row>
    <row r="6">
      <c r="B6" s="18" t="s">
        <v>2039</v>
      </c>
      <c r="C6" s="18" t="s">
        <v>2040</v>
      </c>
      <c r="D6" s="18" t="s">
        <v>172</v>
      </c>
      <c r="E6" s="263" t="s">
        <v>636</v>
      </c>
      <c r="F6" s="18" t="s">
        <v>2270</v>
      </c>
      <c r="G6" s="263"/>
      <c r="H6" s="18" t="s">
        <v>2044</v>
      </c>
      <c r="I6" s="18"/>
    </row>
    <row r="7">
      <c r="B7" s="18" t="s">
        <v>2039</v>
      </c>
      <c r="C7" s="18" t="s">
        <v>2040</v>
      </c>
      <c r="D7" s="18" t="s">
        <v>172</v>
      </c>
      <c r="E7" s="263" t="s">
        <v>636</v>
      </c>
      <c r="F7" s="18" t="s">
        <v>2270</v>
      </c>
      <c r="G7" s="263"/>
      <c r="H7" s="18" t="s">
        <v>2045</v>
      </c>
      <c r="I7" s="18"/>
    </row>
    <row r="8">
      <c r="B8" s="18" t="s">
        <v>2039</v>
      </c>
      <c r="C8" s="18" t="s">
        <v>2040</v>
      </c>
      <c r="D8" s="18" t="s">
        <v>172</v>
      </c>
      <c r="E8" s="263" t="s">
        <v>636</v>
      </c>
      <c r="F8" s="18" t="s">
        <v>2270</v>
      </c>
      <c r="G8" s="263"/>
      <c r="H8" s="18" t="s">
        <v>2046</v>
      </c>
      <c r="I8" s="18"/>
    </row>
    <row r="9">
      <c r="B9" s="18" t="s">
        <v>2039</v>
      </c>
      <c r="C9" s="18" t="s">
        <v>2040</v>
      </c>
      <c r="D9" s="18" t="s">
        <v>172</v>
      </c>
      <c r="E9" s="263" t="s">
        <v>636</v>
      </c>
      <c r="F9" s="18" t="s">
        <v>2270</v>
      </c>
      <c r="G9" s="263"/>
      <c r="H9" s="18" t="s">
        <v>2047</v>
      </c>
      <c r="I9" s="18"/>
    </row>
    <row r="10">
      <c r="B10" s="18" t="s">
        <v>2039</v>
      </c>
      <c r="C10" s="18" t="s">
        <v>2040</v>
      </c>
      <c r="D10" s="18" t="s">
        <v>172</v>
      </c>
      <c r="E10" s="263" t="s">
        <v>636</v>
      </c>
      <c r="F10" s="18" t="s">
        <v>2270</v>
      </c>
      <c r="G10" s="263"/>
      <c r="H10" s="18" t="s">
        <v>773</v>
      </c>
      <c r="I10" s="18"/>
    </row>
    <row r="11">
      <c r="B11" s="18" t="s">
        <v>2039</v>
      </c>
      <c r="C11" s="18" t="s">
        <v>2040</v>
      </c>
      <c r="D11" s="18" t="s">
        <v>172</v>
      </c>
      <c r="E11" s="263" t="s">
        <v>636</v>
      </c>
      <c r="F11" s="18" t="s">
        <v>2270</v>
      </c>
      <c r="G11" s="263"/>
      <c r="H11" s="18" t="s">
        <v>2048</v>
      </c>
      <c r="I11" s="18"/>
    </row>
    <row r="12">
      <c r="B12" s="18" t="s">
        <v>2039</v>
      </c>
      <c r="C12" s="18" t="s">
        <v>2040</v>
      </c>
      <c r="D12" s="18" t="s">
        <v>172</v>
      </c>
      <c r="E12" s="263" t="s">
        <v>636</v>
      </c>
      <c r="F12" s="18" t="s">
        <v>2270</v>
      </c>
      <c r="G12" s="263"/>
      <c r="H12" s="18" t="s">
        <v>2049</v>
      </c>
      <c r="I12" s="18"/>
    </row>
    <row r="13">
      <c r="B13" s="18" t="s">
        <v>2039</v>
      </c>
      <c r="C13" s="18" t="s">
        <v>2040</v>
      </c>
      <c r="D13" s="18" t="s">
        <v>172</v>
      </c>
      <c r="E13" s="263" t="s">
        <v>636</v>
      </c>
      <c r="F13" s="18" t="s">
        <v>2270</v>
      </c>
      <c r="G13" s="263"/>
      <c r="H13" s="18" t="s">
        <v>720</v>
      </c>
      <c r="I13" s="18" t="s">
        <v>2272</v>
      </c>
      <c r="J13" s="23" t="s">
        <v>2273</v>
      </c>
    </row>
    <row r="14">
      <c r="B14" s="23"/>
      <c r="C14" s="23"/>
      <c r="D14" s="23"/>
      <c r="E14" s="23"/>
      <c r="H14" s="23"/>
    </row>
    <row r="15">
      <c r="B15" s="18" t="s">
        <v>2039</v>
      </c>
      <c r="C15" s="18" t="s">
        <v>2040</v>
      </c>
      <c r="D15" s="18" t="s">
        <v>172</v>
      </c>
      <c r="E15" s="263" t="s">
        <v>636</v>
      </c>
      <c r="F15" s="18" t="s">
        <v>2274</v>
      </c>
      <c r="G15" s="263"/>
      <c r="H15" s="18" t="s">
        <v>693</v>
      </c>
      <c r="I15" s="18" t="s">
        <v>2275</v>
      </c>
      <c r="J15" s="23" t="s">
        <v>2276</v>
      </c>
    </row>
    <row r="16">
      <c r="B16" s="18" t="s">
        <v>2039</v>
      </c>
      <c r="C16" s="18" t="s">
        <v>2040</v>
      </c>
      <c r="D16" s="18" t="s">
        <v>172</v>
      </c>
      <c r="E16" s="263" t="s">
        <v>636</v>
      </c>
      <c r="F16" s="18" t="s">
        <v>2274</v>
      </c>
      <c r="G16" s="263"/>
      <c r="H16" s="18" t="s">
        <v>2051</v>
      </c>
      <c r="I16" s="269" t="s">
        <v>2277</v>
      </c>
    </row>
    <row r="18">
      <c r="B18" s="18" t="s">
        <v>2039</v>
      </c>
      <c r="C18" s="18" t="s">
        <v>2040</v>
      </c>
      <c r="D18" s="18" t="s">
        <v>2052</v>
      </c>
      <c r="E18" s="18" t="s">
        <v>923</v>
      </c>
      <c r="F18" s="18" t="s">
        <v>2278</v>
      </c>
      <c r="G18" s="18"/>
      <c r="H18" s="18" t="s">
        <v>2278</v>
      </c>
      <c r="I18" s="18" t="s">
        <v>2279</v>
      </c>
      <c r="J18" s="23" t="s">
        <v>2280</v>
      </c>
    </row>
    <row r="19">
      <c r="B19" s="23"/>
      <c r="C19" s="23"/>
      <c r="D19" s="23"/>
      <c r="E19" s="23"/>
      <c r="F19" s="23"/>
      <c r="H19" s="23"/>
      <c r="I19" s="264"/>
    </row>
    <row r="20" ht="39.0" customHeight="1">
      <c r="B20" s="18" t="s">
        <v>2039</v>
      </c>
      <c r="C20" s="18" t="s">
        <v>2040</v>
      </c>
      <c r="D20" s="18" t="s">
        <v>2053</v>
      </c>
      <c r="E20" s="18" t="s">
        <v>923</v>
      </c>
      <c r="F20" s="18" t="s">
        <v>2281</v>
      </c>
      <c r="G20" s="18"/>
      <c r="H20" s="18" t="s">
        <v>2282</v>
      </c>
      <c r="I20" s="18"/>
    </row>
    <row r="22">
      <c r="B22" s="18" t="s">
        <v>2039</v>
      </c>
      <c r="C22" s="265"/>
      <c r="D22" s="18" t="s">
        <v>2055</v>
      </c>
      <c r="E22" s="265"/>
      <c r="F22" s="18" t="s">
        <v>2056</v>
      </c>
      <c r="G22" s="265"/>
      <c r="H22" s="18" t="s">
        <v>2283</v>
      </c>
    </row>
    <row r="23">
      <c r="B23" s="18" t="s">
        <v>2039</v>
      </c>
      <c r="C23" s="265"/>
      <c r="D23" s="18" t="s">
        <v>2055</v>
      </c>
      <c r="E23" s="265"/>
      <c r="F23" s="18" t="s">
        <v>2056</v>
      </c>
      <c r="G23" s="265"/>
      <c r="H23" s="18" t="s">
        <v>2059</v>
      </c>
      <c r="J23" s="23" t="s">
        <v>2284</v>
      </c>
    </row>
    <row r="24">
      <c r="B24" s="18" t="s">
        <v>2039</v>
      </c>
      <c r="C24" s="265"/>
      <c r="D24" s="18" t="s">
        <v>2055</v>
      </c>
      <c r="E24" s="265"/>
      <c r="F24" s="18" t="s">
        <v>2056</v>
      </c>
      <c r="G24" s="265"/>
      <c r="H24" s="18" t="s">
        <v>2061</v>
      </c>
      <c r="J24" s="23" t="s">
        <v>2285</v>
      </c>
    </row>
    <row r="25">
      <c r="B25" s="18" t="s">
        <v>2039</v>
      </c>
      <c r="C25" s="265"/>
      <c r="D25" s="18" t="s">
        <v>2062</v>
      </c>
      <c r="E25" s="265"/>
      <c r="F25" s="18" t="s">
        <v>2056</v>
      </c>
      <c r="G25" s="265"/>
      <c r="H25" s="18" t="s">
        <v>2063</v>
      </c>
      <c r="J25" s="23" t="s">
        <v>2286</v>
      </c>
    </row>
    <row r="27">
      <c r="B27" s="18" t="s">
        <v>2039</v>
      </c>
      <c r="C27" s="265"/>
      <c r="D27" s="18" t="s">
        <v>2055</v>
      </c>
      <c r="E27" s="265"/>
      <c r="F27" s="18" t="s">
        <v>2064</v>
      </c>
      <c r="G27" s="265"/>
      <c r="H27" s="18" t="s">
        <v>942</v>
      </c>
      <c r="J27" s="23" t="s">
        <v>2287</v>
      </c>
    </row>
    <row r="28">
      <c r="B28" s="266" t="s">
        <v>2039</v>
      </c>
      <c r="C28" s="265"/>
      <c r="D28" s="18" t="s">
        <v>2062</v>
      </c>
      <c r="E28" s="265"/>
      <c r="F28" s="18" t="s">
        <v>2064</v>
      </c>
      <c r="G28" s="265"/>
      <c r="H28" s="18" t="s">
        <v>679</v>
      </c>
      <c r="J28" s="23" t="s">
        <v>2288</v>
      </c>
    </row>
    <row r="29">
      <c r="B29" s="18" t="s">
        <v>2039</v>
      </c>
      <c r="C29" s="265"/>
      <c r="D29" s="18" t="s">
        <v>2055</v>
      </c>
      <c r="E29" s="265"/>
      <c r="F29" s="18" t="s">
        <v>2064</v>
      </c>
      <c r="G29" s="265"/>
      <c r="H29" s="18" t="s">
        <v>814</v>
      </c>
    </row>
    <row r="30">
      <c r="B30" s="266" t="s">
        <v>2039</v>
      </c>
      <c r="C30" s="265"/>
      <c r="D30" s="18" t="s">
        <v>2062</v>
      </c>
      <c r="E30" s="265"/>
      <c r="F30" s="18" t="s">
        <v>2064</v>
      </c>
      <c r="G30" s="265"/>
      <c r="H30" s="18" t="s">
        <v>2065</v>
      </c>
    </row>
    <row r="32">
      <c r="B32" s="18" t="s">
        <v>2039</v>
      </c>
      <c r="C32" s="265"/>
      <c r="D32" s="18" t="s">
        <v>2066</v>
      </c>
      <c r="E32" s="265"/>
      <c r="F32" s="18" t="s">
        <v>2067</v>
      </c>
      <c r="G32" s="265"/>
      <c r="H32" s="18" t="s">
        <v>2067</v>
      </c>
    </row>
    <row r="34">
      <c r="B34" s="18" t="s">
        <v>2039</v>
      </c>
      <c r="C34" s="265"/>
      <c r="D34" s="18" t="s">
        <v>2066</v>
      </c>
      <c r="E34" s="265"/>
      <c r="F34" s="18" t="s">
        <v>2289</v>
      </c>
      <c r="G34" s="265"/>
      <c r="H34" s="18" t="s">
        <v>2289</v>
      </c>
    </row>
    <row r="36">
      <c r="B36" s="18" t="s">
        <v>2039</v>
      </c>
      <c r="C36" s="265"/>
      <c r="D36" s="18" t="s">
        <v>2066</v>
      </c>
      <c r="E36" s="265"/>
      <c r="F36" s="18" t="s">
        <v>2290</v>
      </c>
      <c r="G36" s="265"/>
      <c r="H36" s="18" t="s">
        <v>2070</v>
      </c>
    </row>
    <row r="37">
      <c r="B37" s="18" t="s">
        <v>2039</v>
      </c>
      <c r="C37" s="265"/>
      <c r="D37" s="18" t="s">
        <v>2066</v>
      </c>
      <c r="E37" s="265"/>
      <c r="F37" s="18" t="s">
        <v>2290</v>
      </c>
      <c r="G37" s="265"/>
      <c r="H37" s="18" t="s">
        <v>2071</v>
      </c>
    </row>
    <row r="39">
      <c r="B39" s="18" t="s">
        <v>2039</v>
      </c>
      <c r="C39" s="265"/>
      <c r="D39" s="18" t="s">
        <v>2072</v>
      </c>
      <c r="E39" s="265"/>
      <c r="F39" s="18" t="s">
        <v>2291</v>
      </c>
      <c r="G39" s="265"/>
      <c r="H39" s="138" t="s">
        <v>770</v>
      </c>
    </row>
    <row r="40">
      <c r="B40" s="18" t="s">
        <v>2039</v>
      </c>
      <c r="C40" s="265"/>
      <c r="D40" s="18" t="s">
        <v>2072</v>
      </c>
      <c r="E40" s="265"/>
      <c r="F40" s="18" t="s">
        <v>2291</v>
      </c>
      <c r="G40" s="265"/>
      <c r="H40" s="138" t="s">
        <v>700</v>
      </c>
    </row>
    <row r="41">
      <c r="B41" s="18" t="s">
        <v>2039</v>
      </c>
      <c r="C41" s="265"/>
      <c r="D41" s="18" t="s">
        <v>2072</v>
      </c>
      <c r="E41" s="265"/>
      <c r="F41" s="18" t="s">
        <v>2291</v>
      </c>
      <c r="H41" s="18" t="s">
        <v>2074</v>
      </c>
    </row>
    <row r="43">
      <c r="B43" s="18" t="s">
        <v>2128</v>
      </c>
      <c r="C43" s="265"/>
      <c r="D43" s="138" t="s">
        <v>2076</v>
      </c>
      <c r="E43" s="265"/>
      <c r="F43" s="18" t="s">
        <v>200</v>
      </c>
      <c r="G43" s="265"/>
      <c r="H43" s="138" t="s">
        <v>2077</v>
      </c>
    </row>
    <row r="44">
      <c r="B44" s="18" t="s">
        <v>2128</v>
      </c>
      <c r="C44" s="265"/>
      <c r="D44" s="138" t="s">
        <v>2076</v>
      </c>
      <c r="E44" s="265"/>
      <c r="F44" s="18" t="s">
        <v>200</v>
      </c>
      <c r="G44" s="265"/>
      <c r="H44" s="18" t="s">
        <v>623</v>
      </c>
    </row>
    <row r="45">
      <c r="B45" s="18" t="s">
        <v>2128</v>
      </c>
      <c r="C45" s="265"/>
      <c r="D45" s="138" t="s">
        <v>2076</v>
      </c>
      <c r="E45" s="265"/>
      <c r="F45" s="18" t="s">
        <v>200</v>
      </c>
      <c r="G45" s="265"/>
      <c r="H45" s="18" t="s">
        <v>2292</v>
      </c>
    </row>
    <row r="47">
      <c r="B47" s="18" t="s">
        <v>2128</v>
      </c>
      <c r="C47" s="265"/>
      <c r="D47" s="138" t="s">
        <v>2076</v>
      </c>
      <c r="E47" s="265"/>
      <c r="F47" s="18" t="s">
        <v>2079</v>
      </c>
      <c r="G47" s="265"/>
      <c r="H47" s="138" t="s">
        <v>2080</v>
      </c>
    </row>
    <row r="48">
      <c r="B48" s="18" t="s">
        <v>2128</v>
      </c>
      <c r="C48" s="265"/>
      <c r="D48" s="138" t="s">
        <v>2076</v>
      </c>
      <c r="E48" s="265"/>
      <c r="F48" s="18" t="s">
        <v>2079</v>
      </c>
      <c r="G48" s="265"/>
      <c r="H48" s="18" t="s">
        <v>2293</v>
      </c>
    </row>
    <row r="49">
      <c r="B49" s="18" t="s">
        <v>2128</v>
      </c>
      <c r="C49" s="265"/>
      <c r="D49" s="138" t="s">
        <v>2076</v>
      </c>
      <c r="E49" s="265"/>
      <c r="F49" s="18" t="s">
        <v>2079</v>
      </c>
      <c r="G49" s="265"/>
      <c r="H49" s="18" t="s">
        <v>2082</v>
      </c>
    </row>
    <row r="50">
      <c r="B50" s="18" t="s">
        <v>2128</v>
      </c>
      <c r="C50" s="265"/>
      <c r="D50" s="138" t="s">
        <v>2076</v>
      </c>
      <c r="E50" s="265"/>
      <c r="F50" s="18" t="s">
        <v>2079</v>
      </c>
      <c r="G50" s="265"/>
      <c r="H50" s="18" t="s">
        <v>2083</v>
      </c>
    </row>
    <row r="51">
      <c r="B51" s="18" t="s">
        <v>2128</v>
      </c>
      <c r="C51" s="265"/>
      <c r="D51" s="138" t="s">
        <v>2076</v>
      </c>
      <c r="E51" s="265"/>
      <c r="F51" s="18" t="s">
        <v>2079</v>
      </c>
      <c r="G51" s="265"/>
      <c r="H51" s="18" t="s">
        <v>2294</v>
      </c>
    </row>
    <row r="52">
      <c r="B52" s="18" t="s">
        <v>2128</v>
      </c>
      <c r="C52" s="265"/>
      <c r="D52" s="138" t="s">
        <v>2076</v>
      </c>
      <c r="E52" s="265"/>
      <c r="F52" s="18" t="s">
        <v>2079</v>
      </c>
      <c r="G52" s="265"/>
      <c r="H52" s="18" t="s">
        <v>2295</v>
      </c>
    </row>
    <row r="54">
      <c r="B54" s="18" t="s">
        <v>2128</v>
      </c>
      <c r="C54" s="265"/>
      <c r="D54" s="138" t="s">
        <v>2086</v>
      </c>
      <c r="E54" s="265"/>
      <c r="F54" s="18" t="s">
        <v>2086</v>
      </c>
      <c r="G54" s="265"/>
      <c r="H54" s="18" t="s">
        <v>2088</v>
      </c>
    </row>
    <row r="55">
      <c r="B55" s="18" t="s">
        <v>2128</v>
      </c>
      <c r="C55" s="265"/>
      <c r="D55" s="138" t="s">
        <v>2086</v>
      </c>
      <c r="E55" s="265"/>
      <c r="F55" s="18" t="s">
        <v>2086</v>
      </c>
      <c r="G55" s="265"/>
      <c r="H55" s="18" t="s">
        <v>2089</v>
      </c>
    </row>
    <row r="56">
      <c r="B56" s="18" t="s">
        <v>2128</v>
      </c>
      <c r="C56" s="265"/>
      <c r="D56" s="138" t="s">
        <v>2086</v>
      </c>
      <c r="E56" s="265"/>
      <c r="F56" s="18" t="s">
        <v>2086</v>
      </c>
      <c r="G56" s="265"/>
      <c r="H56" s="138" t="s">
        <v>677</v>
      </c>
    </row>
    <row r="57">
      <c r="B57" s="18" t="s">
        <v>2128</v>
      </c>
      <c r="C57" s="265"/>
      <c r="D57" s="138" t="s">
        <v>2086</v>
      </c>
      <c r="E57" s="265"/>
      <c r="F57" s="18" t="s">
        <v>2086</v>
      </c>
      <c r="G57" s="265"/>
      <c r="H57" s="18" t="s">
        <v>2296</v>
      </c>
    </row>
    <row r="58">
      <c r="B58" s="18" t="s">
        <v>2128</v>
      </c>
      <c r="C58" s="265"/>
      <c r="D58" s="138" t="s">
        <v>2086</v>
      </c>
      <c r="E58" s="265"/>
      <c r="F58" s="18" t="s">
        <v>2086</v>
      </c>
      <c r="G58" s="265"/>
      <c r="H58" s="18" t="s">
        <v>2297</v>
      </c>
    </row>
    <row r="59">
      <c r="B59" s="18" t="s">
        <v>2128</v>
      </c>
      <c r="C59" s="265"/>
      <c r="D59" s="138" t="s">
        <v>2086</v>
      </c>
      <c r="E59" s="265"/>
      <c r="F59" s="18" t="s">
        <v>2086</v>
      </c>
      <c r="G59" s="265"/>
      <c r="H59" s="18" t="s">
        <v>2092</v>
      </c>
    </row>
    <row r="60">
      <c r="B60" s="18" t="s">
        <v>2128</v>
      </c>
      <c r="C60" s="265"/>
      <c r="D60" s="138" t="s">
        <v>2086</v>
      </c>
      <c r="E60" s="265"/>
      <c r="F60" s="18" t="s">
        <v>2086</v>
      </c>
      <c r="G60" s="265"/>
      <c r="H60" s="18" t="s">
        <v>2298</v>
      </c>
    </row>
    <row r="61">
      <c r="B61" s="18" t="s">
        <v>2128</v>
      </c>
      <c r="C61" s="265"/>
      <c r="D61" s="138" t="s">
        <v>2086</v>
      </c>
      <c r="E61" s="265"/>
      <c r="F61" s="18" t="s">
        <v>2086</v>
      </c>
      <c r="G61" s="265"/>
      <c r="H61" s="18" t="s">
        <v>718</v>
      </c>
    </row>
    <row r="62">
      <c r="B62" s="18" t="s">
        <v>2128</v>
      </c>
      <c r="C62" s="265"/>
      <c r="D62" s="138" t="s">
        <v>2086</v>
      </c>
      <c r="E62" s="265"/>
      <c r="F62" s="18" t="s">
        <v>2086</v>
      </c>
      <c r="G62" s="265"/>
      <c r="H62" s="18" t="s">
        <v>2299</v>
      </c>
    </row>
    <row r="63">
      <c r="B63" s="18" t="s">
        <v>2128</v>
      </c>
      <c r="C63" s="265"/>
      <c r="D63" s="138" t="s">
        <v>2086</v>
      </c>
      <c r="E63" s="265"/>
      <c r="F63" s="18" t="s">
        <v>2086</v>
      </c>
      <c r="G63" s="265"/>
      <c r="H63" s="18" t="s">
        <v>2094</v>
      </c>
    </row>
    <row r="64">
      <c r="B64" s="18" t="s">
        <v>2128</v>
      </c>
      <c r="C64" s="265"/>
      <c r="D64" s="138" t="s">
        <v>2086</v>
      </c>
      <c r="E64" s="265"/>
      <c r="F64" s="18" t="s">
        <v>2086</v>
      </c>
      <c r="G64" s="265"/>
      <c r="H64" s="18" t="s">
        <v>2300</v>
      </c>
    </row>
    <row r="65">
      <c r="B65" s="18" t="s">
        <v>2128</v>
      </c>
      <c r="C65" s="265"/>
      <c r="D65" s="138" t="s">
        <v>2086</v>
      </c>
      <c r="E65" s="265"/>
      <c r="F65" s="18" t="s">
        <v>2086</v>
      </c>
      <c r="G65" s="265"/>
      <c r="H65" s="18" t="s">
        <v>2301</v>
      </c>
    </row>
    <row r="66">
      <c r="B66" s="18" t="s">
        <v>2128</v>
      </c>
      <c r="C66" s="265"/>
      <c r="D66" s="138" t="s">
        <v>2086</v>
      </c>
      <c r="E66" s="265"/>
      <c r="F66" s="18" t="s">
        <v>2086</v>
      </c>
      <c r="G66" s="265"/>
      <c r="H66" s="18" t="s">
        <v>2097</v>
      </c>
    </row>
    <row r="67">
      <c r="B67" s="18" t="s">
        <v>2128</v>
      </c>
      <c r="C67" s="265"/>
      <c r="D67" s="138" t="s">
        <v>2086</v>
      </c>
      <c r="E67" s="265"/>
      <c r="F67" s="18" t="s">
        <v>2086</v>
      </c>
      <c r="G67" s="265"/>
      <c r="H67" s="18" t="s">
        <v>2098</v>
      </c>
    </row>
    <row r="68">
      <c r="B68" s="142" t="s">
        <v>2128</v>
      </c>
      <c r="C68" s="267"/>
      <c r="D68" s="268" t="s">
        <v>2086</v>
      </c>
      <c r="E68" s="267"/>
      <c r="F68" s="142" t="s">
        <v>2086</v>
      </c>
      <c r="G68" s="267"/>
      <c r="H68" s="142" t="s">
        <v>1521</v>
      </c>
    </row>
    <row r="69">
      <c r="B69" s="142" t="s">
        <v>2128</v>
      </c>
      <c r="C69" s="267"/>
      <c r="D69" s="268" t="s">
        <v>2086</v>
      </c>
      <c r="E69" s="267"/>
      <c r="F69" s="142" t="s">
        <v>2086</v>
      </c>
      <c r="G69" s="267"/>
      <c r="H69" s="142" t="s">
        <v>2302</v>
      </c>
    </row>
    <row r="70">
      <c r="B70" s="18" t="s">
        <v>2128</v>
      </c>
      <c r="C70" s="265"/>
      <c r="D70" s="138" t="s">
        <v>2086</v>
      </c>
      <c r="E70" s="265"/>
      <c r="F70" s="18" t="s">
        <v>2086</v>
      </c>
      <c r="G70" s="265"/>
      <c r="H70" s="18" t="s">
        <v>698</v>
      </c>
    </row>
    <row r="72">
      <c r="B72" s="18" t="s">
        <v>2128</v>
      </c>
      <c r="C72" s="265"/>
      <c r="D72" s="138" t="s">
        <v>807</v>
      </c>
      <c r="E72" s="265"/>
      <c r="F72" s="18" t="s">
        <v>2303</v>
      </c>
      <c r="G72" s="265"/>
      <c r="H72" s="18" t="s">
        <v>2304</v>
      </c>
    </row>
    <row r="73">
      <c r="B73" s="18" t="s">
        <v>2128</v>
      </c>
      <c r="C73" s="265"/>
      <c r="D73" s="138" t="s">
        <v>807</v>
      </c>
      <c r="E73" s="265"/>
      <c r="F73" s="18" t="s">
        <v>2303</v>
      </c>
      <c r="G73" s="265"/>
      <c r="H73" s="18" t="s">
        <v>2305</v>
      </c>
    </row>
    <row r="74">
      <c r="B74" s="18" t="s">
        <v>2128</v>
      </c>
      <c r="C74" s="265"/>
      <c r="D74" s="138" t="s">
        <v>807</v>
      </c>
      <c r="E74" s="265"/>
      <c r="F74" s="18" t="s">
        <v>2303</v>
      </c>
      <c r="G74" s="265"/>
      <c r="H74" s="18" t="s">
        <v>2306</v>
      </c>
    </row>
    <row r="76">
      <c r="B76" s="18" t="s">
        <v>2128</v>
      </c>
      <c r="C76" s="265"/>
      <c r="D76" s="138" t="s">
        <v>2104</v>
      </c>
      <c r="E76" s="265"/>
      <c r="F76" s="18" t="s">
        <v>2105</v>
      </c>
      <c r="G76" s="265"/>
      <c r="H76" s="18" t="s">
        <v>2106</v>
      </c>
    </row>
    <row r="77">
      <c r="B77" s="18" t="s">
        <v>2128</v>
      </c>
      <c r="C77" s="265"/>
      <c r="D77" s="138" t="s">
        <v>2104</v>
      </c>
      <c r="E77" s="265"/>
      <c r="F77" s="18" t="s">
        <v>2105</v>
      </c>
      <c r="G77" s="265"/>
      <c r="H77" s="18" t="s">
        <v>2107</v>
      </c>
    </row>
    <row r="78">
      <c r="B78" s="18" t="s">
        <v>2128</v>
      </c>
      <c r="C78" s="265"/>
      <c r="D78" s="138" t="s">
        <v>2104</v>
      </c>
      <c r="E78" s="265"/>
      <c r="F78" s="18" t="s">
        <v>2105</v>
      </c>
      <c r="G78" s="265"/>
      <c r="H78" s="18" t="s">
        <v>2307</v>
      </c>
    </row>
    <row r="79">
      <c r="B79" s="18" t="s">
        <v>2128</v>
      </c>
      <c r="C79" s="265"/>
      <c r="D79" s="138" t="s">
        <v>2104</v>
      </c>
      <c r="E79" s="265"/>
      <c r="F79" s="18" t="s">
        <v>2105</v>
      </c>
      <c r="G79" s="265"/>
      <c r="H79" s="18" t="s">
        <v>2109</v>
      </c>
    </row>
    <row r="81">
      <c r="B81" s="18" t="s">
        <v>2128</v>
      </c>
      <c r="C81" s="265"/>
      <c r="D81" s="138" t="s">
        <v>2104</v>
      </c>
      <c r="E81" s="265"/>
      <c r="F81" s="18" t="s">
        <v>2110</v>
      </c>
      <c r="G81" s="265"/>
      <c r="H81" s="18" t="s">
        <v>2308</v>
      </c>
    </row>
    <row r="82">
      <c r="B82" s="18" t="s">
        <v>2128</v>
      </c>
      <c r="C82" s="265"/>
      <c r="D82" s="138" t="s">
        <v>2104</v>
      </c>
      <c r="E82" s="265"/>
      <c r="F82" s="18" t="s">
        <v>2110</v>
      </c>
      <c r="G82" s="265"/>
      <c r="H82" s="18" t="s">
        <v>2309</v>
      </c>
    </row>
    <row r="83">
      <c r="B83" s="18" t="s">
        <v>2128</v>
      </c>
      <c r="C83" s="265"/>
      <c r="D83" s="138" t="s">
        <v>2104</v>
      </c>
      <c r="E83" s="265"/>
      <c r="F83" s="18" t="s">
        <v>2110</v>
      </c>
      <c r="G83" s="265"/>
      <c r="H83" s="18" t="s">
        <v>2310</v>
      </c>
    </row>
    <row r="84">
      <c r="B84" s="18" t="s">
        <v>2128</v>
      </c>
      <c r="C84" s="265"/>
      <c r="D84" s="138" t="s">
        <v>2104</v>
      </c>
      <c r="E84" s="265"/>
      <c r="F84" s="18" t="s">
        <v>2110</v>
      </c>
      <c r="G84" s="265"/>
      <c r="H84" s="18" t="s">
        <v>2311</v>
      </c>
    </row>
    <row r="86">
      <c r="B86" s="18" t="s">
        <v>2128</v>
      </c>
      <c r="C86" s="265"/>
      <c r="D86" s="138" t="s">
        <v>2104</v>
      </c>
      <c r="E86" s="265"/>
      <c r="F86" s="18" t="s">
        <v>2312</v>
      </c>
      <c r="G86" s="265"/>
      <c r="H86" s="18" t="s">
        <v>2313</v>
      </c>
    </row>
    <row r="88">
      <c r="B88" s="18" t="s">
        <v>2128</v>
      </c>
      <c r="C88" s="265"/>
      <c r="D88" s="138" t="s">
        <v>781</v>
      </c>
      <c r="E88" s="265"/>
      <c r="F88" s="18" t="s">
        <v>781</v>
      </c>
      <c r="G88" s="265"/>
      <c r="H88" s="18" t="s">
        <v>2314</v>
      </c>
    </row>
    <row r="89">
      <c r="B89" s="18" t="s">
        <v>2128</v>
      </c>
      <c r="C89" s="265"/>
      <c r="D89" s="138" t="s">
        <v>781</v>
      </c>
      <c r="E89" s="265"/>
      <c r="F89" s="18" t="s">
        <v>781</v>
      </c>
      <c r="G89" s="265"/>
      <c r="H89" s="18" t="s">
        <v>2315</v>
      </c>
    </row>
    <row r="90">
      <c r="B90" s="18" t="s">
        <v>2128</v>
      </c>
      <c r="C90" s="265"/>
      <c r="D90" s="138" t="s">
        <v>781</v>
      </c>
      <c r="E90" s="265"/>
      <c r="F90" s="18" t="s">
        <v>781</v>
      </c>
      <c r="G90" s="265"/>
      <c r="H90" s="18" t="s">
        <v>2316</v>
      </c>
    </row>
    <row r="92">
      <c r="B92" s="18" t="s">
        <v>2128</v>
      </c>
      <c r="C92" s="265"/>
      <c r="D92" s="138" t="s">
        <v>2119</v>
      </c>
      <c r="E92" s="265"/>
      <c r="F92" s="18" t="s">
        <v>2120</v>
      </c>
      <c r="G92" s="265"/>
      <c r="H92" s="18" t="s">
        <v>2121</v>
      </c>
    </row>
    <row r="93">
      <c r="B93" s="18" t="s">
        <v>2128</v>
      </c>
      <c r="C93" s="265"/>
      <c r="D93" s="138" t="s">
        <v>2119</v>
      </c>
      <c r="E93" s="265"/>
      <c r="F93" s="18" t="s">
        <v>2120</v>
      </c>
      <c r="G93" s="265"/>
      <c r="H93" s="18" t="s">
        <v>785</v>
      </c>
    </row>
    <row r="94">
      <c r="B94" s="18" t="s">
        <v>2128</v>
      </c>
      <c r="C94" s="265"/>
      <c r="D94" s="138" t="s">
        <v>2119</v>
      </c>
      <c r="E94" s="265"/>
      <c r="F94" s="18" t="s">
        <v>2120</v>
      </c>
      <c r="G94" s="265"/>
      <c r="H94" s="18" t="s">
        <v>2317</v>
      </c>
    </row>
    <row r="95">
      <c r="B95" s="18" t="s">
        <v>2128</v>
      </c>
      <c r="C95" s="265"/>
      <c r="D95" s="138" t="s">
        <v>2119</v>
      </c>
      <c r="E95" s="265"/>
      <c r="F95" s="18" t="s">
        <v>2120</v>
      </c>
      <c r="G95" s="265"/>
      <c r="H95" s="18" t="s">
        <v>2123</v>
      </c>
    </row>
    <row r="96">
      <c r="B96" s="18" t="s">
        <v>2128</v>
      </c>
      <c r="C96" s="265"/>
      <c r="D96" s="138" t="s">
        <v>2119</v>
      </c>
      <c r="E96" s="265"/>
      <c r="F96" s="18" t="s">
        <v>2120</v>
      </c>
      <c r="G96" s="265"/>
      <c r="H96" s="18" t="s">
        <v>2318</v>
      </c>
    </row>
    <row r="98">
      <c r="B98" s="18" t="s">
        <v>2128</v>
      </c>
      <c r="C98" s="265"/>
      <c r="D98" s="138" t="s">
        <v>2119</v>
      </c>
      <c r="E98" s="265"/>
      <c r="F98" s="18" t="s">
        <v>2125</v>
      </c>
      <c r="G98" s="265"/>
      <c r="H98" s="18" t="s">
        <v>370</v>
      </c>
    </row>
    <row r="99">
      <c r="B99" s="18" t="s">
        <v>2128</v>
      </c>
      <c r="C99" s="265"/>
      <c r="D99" s="138" t="s">
        <v>2119</v>
      </c>
      <c r="E99" s="265"/>
      <c r="F99" s="18" t="s">
        <v>2125</v>
      </c>
      <c r="G99" s="265"/>
      <c r="H99" s="18" t="s">
        <v>2126</v>
      </c>
    </row>
    <row r="100">
      <c r="B100" s="18" t="s">
        <v>2128</v>
      </c>
      <c r="C100" s="265"/>
      <c r="D100" s="138" t="s">
        <v>2119</v>
      </c>
      <c r="E100" s="265"/>
      <c r="F100" s="18" t="s">
        <v>2125</v>
      </c>
      <c r="G100" s="265"/>
      <c r="H100" s="18" t="s">
        <v>2319</v>
      </c>
    </row>
    <row r="101">
      <c r="B101" s="18" t="s">
        <v>2128</v>
      </c>
      <c r="C101" s="265"/>
      <c r="D101" s="138" t="s">
        <v>2119</v>
      </c>
      <c r="E101" s="265"/>
      <c r="F101" s="18" t="s">
        <v>2125</v>
      </c>
      <c r="G101" s="265"/>
      <c r="H101" s="18" t="s">
        <v>2125</v>
      </c>
    </row>
    <row r="103">
      <c r="B103" s="18" t="s">
        <v>2128</v>
      </c>
      <c r="C103" s="265"/>
      <c r="D103" s="138" t="s">
        <v>2119</v>
      </c>
      <c r="E103" s="265"/>
      <c r="F103" s="18" t="s">
        <v>2129</v>
      </c>
      <c r="G103" s="265"/>
      <c r="H103" s="18" t="s">
        <v>2130</v>
      </c>
    </row>
    <row r="104">
      <c r="B104" s="18" t="s">
        <v>2128</v>
      </c>
      <c r="C104" s="265"/>
      <c r="D104" s="138" t="s">
        <v>2119</v>
      </c>
      <c r="E104" s="265"/>
      <c r="F104" s="18" t="s">
        <v>2129</v>
      </c>
      <c r="G104" s="265"/>
      <c r="H104" s="18" t="s">
        <v>2131</v>
      </c>
    </row>
    <row r="105">
      <c r="B105" s="18" t="s">
        <v>2128</v>
      </c>
      <c r="C105" s="265"/>
      <c r="D105" s="138" t="s">
        <v>2119</v>
      </c>
      <c r="E105" s="265"/>
      <c r="F105" s="18" t="s">
        <v>2129</v>
      </c>
      <c r="G105" s="265"/>
      <c r="H105" s="18" t="s">
        <v>2132</v>
      </c>
    </row>
    <row r="106">
      <c r="B106" s="18" t="s">
        <v>2128</v>
      </c>
      <c r="C106" s="265"/>
      <c r="D106" s="138" t="s">
        <v>2119</v>
      </c>
      <c r="E106" s="265"/>
      <c r="F106" s="18" t="s">
        <v>2129</v>
      </c>
      <c r="G106" s="265"/>
      <c r="H106" s="18" t="s">
        <v>2133</v>
      </c>
    </row>
    <row r="107">
      <c r="B107" s="18" t="s">
        <v>2128</v>
      </c>
      <c r="C107" s="265"/>
      <c r="D107" s="138" t="s">
        <v>2119</v>
      </c>
      <c r="E107" s="265"/>
      <c r="F107" s="18" t="s">
        <v>2129</v>
      </c>
      <c r="G107" s="265"/>
      <c r="H107" s="18" t="s">
        <v>2320</v>
      </c>
    </row>
    <row r="108">
      <c r="B108" s="18" t="s">
        <v>2128</v>
      </c>
      <c r="C108" s="265"/>
      <c r="D108" s="138" t="s">
        <v>2119</v>
      </c>
      <c r="E108" s="265"/>
      <c r="F108" s="18" t="s">
        <v>2129</v>
      </c>
      <c r="G108" s="265"/>
      <c r="H108" s="18" t="s">
        <v>685</v>
      </c>
    </row>
    <row r="110">
      <c r="B110" s="18" t="s">
        <v>2135</v>
      </c>
      <c r="C110" s="265"/>
      <c r="D110" s="138" t="s">
        <v>2136</v>
      </c>
      <c r="E110" s="265"/>
      <c r="F110" s="18" t="s">
        <v>2137</v>
      </c>
      <c r="G110" s="265"/>
      <c r="H110" s="18" t="s">
        <v>2321</v>
      </c>
    </row>
    <row r="111">
      <c r="B111" s="18" t="s">
        <v>2135</v>
      </c>
      <c r="C111" s="265"/>
      <c r="D111" s="138" t="s">
        <v>2136</v>
      </c>
      <c r="E111" s="265"/>
      <c r="F111" s="18" t="s">
        <v>2137</v>
      </c>
      <c r="G111" s="265"/>
      <c r="H111" s="18" t="s">
        <v>2139</v>
      </c>
    </row>
    <row r="112">
      <c r="B112" s="18" t="s">
        <v>2135</v>
      </c>
      <c r="C112" s="265"/>
      <c r="D112" s="138" t="s">
        <v>2136</v>
      </c>
      <c r="E112" s="265"/>
      <c r="F112" s="18" t="s">
        <v>2137</v>
      </c>
      <c r="G112" s="265"/>
      <c r="H112" s="18" t="s">
        <v>2322</v>
      </c>
    </row>
    <row r="113">
      <c r="B113" s="18" t="s">
        <v>2135</v>
      </c>
      <c r="C113" s="265"/>
      <c r="D113" s="138" t="s">
        <v>2136</v>
      </c>
      <c r="E113" s="265"/>
      <c r="F113" s="18" t="s">
        <v>2137</v>
      </c>
      <c r="G113" s="265"/>
      <c r="H113" s="18" t="s">
        <v>2141</v>
      </c>
    </row>
    <row r="115">
      <c r="B115" s="18" t="s">
        <v>2135</v>
      </c>
      <c r="C115" s="265"/>
      <c r="D115" s="138" t="s">
        <v>2136</v>
      </c>
      <c r="E115" s="265"/>
      <c r="F115" s="18" t="s">
        <v>2142</v>
      </c>
      <c r="G115" s="265"/>
      <c r="H115" s="18" t="s">
        <v>2323</v>
      </c>
    </row>
    <row r="116">
      <c r="B116" s="18" t="s">
        <v>2135</v>
      </c>
      <c r="C116" s="265"/>
      <c r="D116" s="138" t="s">
        <v>2136</v>
      </c>
      <c r="E116" s="265"/>
      <c r="F116" s="18" t="s">
        <v>2142</v>
      </c>
      <c r="G116" s="265"/>
      <c r="H116" s="18" t="s">
        <v>2324</v>
      </c>
    </row>
    <row r="117">
      <c r="B117" s="18" t="s">
        <v>2135</v>
      </c>
      <c r="C117" s="265"/>
      <c r="D117" s="138" t="s">
        <v>2136</v>
      </c>
      <c r="E117" s="265"/>
      <c r="F117" s="18" t="s">
        <v>2142</v>
      </c>
      <c r="G117" s="265"/>
      <c r="H117" s="18" t="s">
        <v>2325</v>
      </c>
    </row>
    <row r="118">
      <c r="B118" s="18" t="s">
        <v>2135</v>
      </c>
      <c r="C118" s="265"/>
      <c r="D118" s="138" t="s">
        <v>2136</v>
      </c>
      <c r="E118" s="265"/>
      <c r="F118" s="18" t="s">
        <v>2142</v>
      </c>
      <c r="G118" s="265"/>
      <c r="H118" s="18" t="s">
        <v>2326</v>
      </c>
    </row>
    <row r="120">
      <c r="B120" s="18" t="s">
        <v>2135</v>
      </c>
      <c r="C120" s="265"/>
      <c r="D120" s="138" t="s">
        <v>2136</v>
      </c>
      <c r="E120" s="265"/>
      <c r="F120" s="18" t="s">
        <v>2146</v>
      </c>
      <c r="G120" s="265"/>
      <c r="H120" s="18" t="s">
        <v>2327</v>
      </c>
    </row>
    <row r="121">
      <c r="B121" s="18" t="s">
        <v>2135</v>
      </c>
      <c r="C121" s="265"/>
      <c r="D121" s="138" t="s">
        <v>2136</v>
      </c>
      <c r="E121" s="265"/>
      <c r="F121" s="18" t="s">
        <v>2146</v>
      </c>
      <c r="G121" s="265"/>
      <c r="H121" s="18" t="s">
        <v>2148</v>
      </c>
    </row>
    <row r="123">
      <c r="B123" s="18" t="s">
        <v>2135</v>
      </c>
      <c r="C123" s="265"/>
      <c r="D123" s="138" t="s">
        <v>2136</v>
      </c>
      <c r="E123" s="265"/>
      <c r="F123" s="18" t="s">
        <v>2149</v>
      </c>
      <c r="G123" s="265"/>
      <c r="H123" s="18" t="s">
        <v>663</v>
      </c>
    </row>
    <row r="125">
      <c r="B125" s="18" t="s">
        <v>2150</v>
      </c>
      <c r="C125" s="265"/>
      <c r="D125" s="138" t="s">
        <v>2150</v>
      </c>
      <c r="E125" s="265"/>
      <c r="F125" s="18" t="s">
        <v>2151</v>
      </c>
      <c r="G125" s="265"/>
      <c r="H125" s="18" t="s">
        <v>2152</v>
      </c>
    </row>
    <row r="126">
      <c r="B126" s="18" t="s">
        <v>2150</v>
      </c>
      <c r="C126" s="265"/>
      <c r="D126" s="138" t="s">
        <v>2150</v>
      </c>
      <c r="E126" s="265"/>
      <c r="F126" s="18" t="s">
        <v>2151</v>
      </c>
      <c r="G126" s="265"/>
      <c r="H126" s="18" t="s">
        <v>797</v>
      </c>
    </row>
    <row r="127">
      <c r="B127" s="18" t="s">
        <v>2150</v>
      </c>
      <c r="C127" s="265"/>
      <c r="D127" s="138" t="s">
        <v>2150</v>
      </c>
      <c r="E127" s="265"/>
      <c r="F127" s="18" t="s">
        <v>2151</v>
      </c>
      <c r="G127" s="265"/>
      <c r="H127" s="18" t="s">
        <v>801</v>
      </c>
    </row>
    <row r="128">
      <c r="B128" s="18" t="s">
        <v>2150</v>
      </c>
      <c r="C128" s="265"/>
      <c r="D128" s="138" t="s">
        <v>2150</v>
      </c>
      <c r="E128" s="265"/>
      <c r="F128" s="18" t="s">
        <v>2151</v>
      </c>
      <c r="G128" s="265"/>
      <c r="H128" s="18" t="s">
        <v>2328</v>
      </c>
    </row>
    <row r="130">
      <c r="B130" s="18" t="s">
        <v>2150</v>
      </c>
      <c r="C130" s="265"/>
      <c r="D130" s="138" t="s">
        <v>2150</v>
      </c>
      <c r="E130" s="265"/>
      <c r="F130" s="18" t="s">
        <v>857</v>
      </c>
      <c r="G130" s="265"/>
      <c r="H130" s="18" t="s">
        <v>2329</v>
      </c>
    </row>
    <row r="131">
      <c r="B131" s="18" t="s">
        <v>2150</v>
      </c>
      <c r="C131" s="265"/>
      <c r="D131" s="138" t="s">
        <v>2150</v>
      </c>
      <c r="E131" s="265"/>
      <c r="F131" s="18" t="s">
        <v>857</v>
      </c>
      <c r="G131" s="265"/>
      <c r="H131" s="18" t="s">
        <v>2154</v>
      </c>
    </row>
    <row r="133">
      <c r="B133" s="18" t="s">
        <v>2150</v>
      </c>
      <c r="C133" s="265"/>
      <c r="D133" s="138" t="s">
        <v>2150</v>
      </c>
      <c r="E133" s="265"/>
      <c r="F133" s="18" t="s">
        <v>2330</v>
      </c>
      <c r="G133" s="265"/>
      <c r="H133" s="18" t="s">
        <v>2330</v>
      </c>
    </row>
    <row r="135">
      <c r="B135" s="18" t="s">
        <v>2150</v>
      </c>
      <c r="C135" s="265"/>
      <c r="D135" s="138" t="s">
        <v>2150</v>
      </c>
      <c r="E135" s="265"/>
      <c r="F135" s="18" t="s">
        <v>2156</v>
      </c>
      <c r="G135" s="265"/>
      <c r="H135" s="18" t="s">
        <v>2157</v>
      </c>
    </row>
    <row r="136">
      <c r="B136" s="18" t="s">
        <v>2150</v>
      </c>
      <c r="C136" s="265"/>
      <c r="D136" s="138" t="s">
        <v>2150</v>
      </c>
      <c r="E136" s="265"/>
      <c r="F136" s="18" t="s">
        <v>2156</v>
      </c>
      <c r="G136" s="265"/>
      <c r="H136" s="18" t="s">
        <v>2158</v>
      </c>
    </row>
    <row r="137">
      <c r="B137" s="18" t="s">
        <v>2150</v>
      </c>
      <c r="C137" s="265"/>
      <c r="D137" s="138" t="s">
        <v>2150</v>
      </c>
      <c r="E137" s="265"/>
      <c r="F137" s="18" t="s">
        <v>2156</v>
      </c>
      <c r="G137" s="265"/>
      <c r="H137" s="18" t="s">
        <v>2331</v>
      </c>
    </row>
    <row r="138">
      <c r="B138" s="18" t="s">
        <v>2150</v>
      </c>
      <c r="C138" s="265"/>
      <c r="D138" s="138" t="s">
        <v>2150</v>
      </c>
      <c r="E138" s="265"/>
      <c r="F138" s="18" t="s">
        <v>2156</v>
      </c>
      <c r="G138" s="265"/>
      <c r="H138" s="18" t="s">
        <v>2159</v>
      </c>
    </row>
    <row r="140">
      <c r="B140" s="18" t="s">
        <v>2150</v>
      </c>
      <c r="C140" s="265"/>
      <c r="D140" s="138" t="s">
        <v>2150</v>
      </c>
      <c r="E140" s="265"/>
      <c r="F140" s="18" t="s">
        <v>772</v>
      </c>
      <c r="G140" s="265"/>
      <c r="H140" s="18" t="s">
        <v>2160</v>
      </c>
    </row>
    <row r="142">
      <c r="B142" s="18" t="s">
        <v>2150</v>
      </c>
      <c r="C142" s="265"/>
      <c r="D142" s="138" t="s">
        <v>2150</v>
      </c>
      <c r="E142" s="265"/>
      <c r="F142" s="18" t="s">
        <v>717</v>
      </c>
      <c r="G142" s="265"/>
      <c r="H142" s="266" t="s">
        <v>717</v>
      </c>
    </row>
    <row r="143">
      <c r="B143" s="18" t="s">
        <v>2150</v>
      </c>
      <c r="C143" s="265"/>
      <c r="D143" s="138" t="s">
        <v>2150</v>
      </c>
      <c r="E143" s="265"/>
      <c r="F143" s="18" t="s">
        <v>717</v>
      </c>
      <c r="G143" s="265"/>
      <c r="H143" s="18" t="s">
        <v>2161</v>
      </c>
    </row>
    <row r="144">
      <c r="B144" s="18" t="s">
        <v>2150</v>
      </c>
      <c r="C144" s="265"/>
      <c r="D144" s="138" t="s">
        <v>2150</v>
      </c>
      <c r="E144" s="265"/>
      <c r="F144" s="18" t="s">
        <v>717</v>
      </c>
      <c r="G144" s="265"/>
      <c r="H144" s="18" t="s">
        <v>2332</v>
      </c>
    </row>
    <row r="145">
      <c r="B145" s="18" t="s">
        <v>2150</v>
      </c>
      <c r="C145" s="265"/>
      <c r="D145" s="138" t="s">
        <v>2150</v>
      </c>
      <c r="E145" s="265"/>
      <c r="F145" s="18" t="s">
        <v>717</v>
      </c>
      <c r="G145" s="265"/>
      <c r="H145" s="18" t="s">
        <v>2163</v>
      </c>
    </row>
    <row r="147">
      <c r="B147" s="18" t="s">
        <v>2150</v>
      </c>
      <c r="C147" s="265"/>
      <c r="D147" s="138" t="s">
        <v>2150</v>
      </c>
      <c r="E147" s="265"/>
      <c r="F147" s="18" t="s">
        <v>2164</v>
      </c>
      <c r="G147" s="265"/>
      <c r="H147" s="18" t="s">
        <v>2165</v>
      </c>
    </row>
    <row r="149">
      <c r="B149" s="18" t="s">
        <v>37</v>
      </c>
      <c r="C149" s="265"/>
      <c r="D149" s="138" t="s">
        <v>37</v>
      </c>
      <c r="E149" s="265"/>
      <c r="F149" s="18" t="s">
        <v>2166</v>
      </c>
      <c r="G149" s="265"/>
      <c r="H149" s="18" t="s">
        <v>2333</v>
      </c>
    </row>
    <row r="150">
      <c r="B150" s="18" t="s">
        <v>37</v>
      </c>
      <c r="C150" s="265"/>
      <c r="D150" s="138" t="s">
        <v>37</v>
      </c>
      <c r="E150" s="265"/>
      <c r="F150" s="18" t="s">
        <v>2166</v>
      </c>
      <c r="G150" s="265"/>
      <c r="H150" s="18" t="s">
        <v>2334</v>
      </c>
    </row>
    <row r="151">
      <c r="B151" s="18" t="s">
        <v>37</v>
      </c>
      <c r="C151" s="265"/>
      <c r="D151" s="138" t="s">
        <v>37</v>
      </c>
      <c r="E151" s="265"/>
      <c r="F151" s="18" t="s">
        <v>2166</v>
      </c>
      <c r="G151" s="265"/>
      <c r="H151" s="18" t="s">
        <v>2335</v>
      </c>
    </row>
    <row r="152">
      <c r="B152" s="18" t="s">
        <v>37</v>
      </c>
      <c r="C152" s="265"/>
      <c r="D152" s="138" t="s">
        <v>37</v>
      </c>
      <c r="E152" s="265"/>
      <c r="F152" s="18" t="s">
        <v>2166</v>
      </c>
      <c r="G152" s="265"/>
      <c r="H152" s="18" t="s">
        <v>2336</v>
      </c>
    </row>
    <row r="153">
      <c r="B153" s="18" t="s">
        <v>37</v>
      </c>
      <c r="C153" s="265"/>
      <c r="D153" s="138" t="s">
        <v>37</v>
      </c>
      <c r="E153" s="265"/>
      <c r="F153" s="18" t="s">
        <v>2166</v>
      </c>
      <c r="G153" s="265"/>
      <c r="H153" s="18" t="s">
        <v>2337</v>
      </c>
    </row>
    <row r="154">
      <c r="B154" s="18" t="s">
        <v>37</v>
      </c>
      <c r="C154" s="265"/>
      <c r="D154" s="138" t="s">
        <v>37</v>
      </c>
      <c r="E154" s="265"/>
      <c r="F154" s="18" t="s">
        <v>2166</v>
      </c>
      <c r="G154" s="265"/>
      <c r="H154" s="18" t="s">
        <v>2171</v>
      </c>
    </row>
    <row r="156">
      <c r="B156" s="18" t="s">
        <v>37</v>
      </c>
      <c r="C156" s="265"/>
      <c r="D156" s="138" t="s">
        <v>37</v>
      </c>
      <c r="E156" s="265"/>
      <c r="F156" s="18" t="s">
        <v>649</v>
      </c>
      <c r="G156" s="265"/>
      <c r="H156" s="18" t="s">
        <v>2338</v>
      </c>
    </row>
    <row r="157">
      <c r="B157" s="18" t="s">
        <v>37</v>
      </c>
      <c r="C157" s="265"/>
      <c r="D157" s="138" t="s">
        <v>37</v>
      </c>
      <c r="E157" s="265"/>
      <c r="F157" s="18" t="s">
        <v>649</v>
      </c>
      <c r="G157" s="265"/>
      <c r="H157" s="18" t="s">
        <v>2339</v>
      </c>
    </row>
    <row r="158">
      <c r="B158" s="18" t="s">
        <v>37</v>
      </c>
      <c r="C158" s="265"/>
      <c r="D158" s="138" t="s">
        <v>37</v>
      </c>
      <c r="E158" s="265"/>
      <c r="F158" s="18" t="s">
        <v>649</v>
      </c>
      <c r="G158" s="265"/>
      <c r="H158" s="18" t="s">
        <v>2174</v>
      </c>
    </row>
    <row r="160">
      <c r="B160" s="18" t="s">
        <v>37</v>
      </c>
      <c r="C160" s="265"/>
      <c r="D160" s="138" t="s">
        <v>37</v>
      </c>
      <c r="E160" s="265"/>
      <c r="F160" s="18" t="s">
        <v>2175</v>
      </c>
      <c r="G160" s="265"/>
      <c r="H160" s="18" t="s">
        <v>2340</v>
      </c>
    </row>
    <row r="161">
      <c r="B161" s="18" t="s">
        <v>37</v>
      </c>
      <c r="C161" s="265"/>
      <c r="D161" s="138" t="s">
        <v>37</v>
      </c>
      <c r="E161" s="265"/>
      <c r="F161" s="18" t="s">
        <v>2175</v>
      </c>
      <c r="G161" s="265"/>
      <c r="H161" s="18" t="s">
        <v>2341</v>
      </c>
    </row>
    <row r="162">
      <c r="B162" s="18" t="s">
        <v>37</v>
      </c>
      <c r="C162" s="265"/>
      <c r="D162" s="138" t="s">
        <v>37</v>
      </c>
      <c r="E162" s="265"/>
      <c r="F162" s="18" t="s">
        <v>2175</v>
      </c>
      <c r="G162" s="265"/>
      <c r="H162" s="18" t="s">
        <v>2342</v>
      </c>
    </row>
    <row r="163">
      <c r="B163" s="18" t="s">
        <v>37</v>
      </c>
      <c r="C163" s="265"/>
      <c r="D163" s="138" t="s">
        <v>37</v>
      </c>
      <c r="E163" s="265"/>
      <c r="F163" s="18" t="s">
        <v>2175</v>
      </c>
      <c r="G163" s="265"/>
      <c r="H163" s="18" t="s">
        <v>2179</v>
      </c>
    </row>
    <row r="164">
      <c r="B164" s="18" t="s">
        <v>37</v>
      </c>
      <c r="C164" s="265"/>
      <c r="D164" s="138" t="s">
        <v>37</v>
      </c>
      <c r="E164" s="265"/>
      <c r="F164" s="18" t="s">
        <v>2175</v>
      </c>
      <c r="G164" s="265"/>
      <c r="H164" s="18" t="s">
        <v>2343</v>
      </c>
    </row>
    <row r="165">
      <c r="B165" s="18" t="s">
        <v>37</v>
      </c>
      <c r="C165" s="265"/>
      <c r="D165" s="138" t="s">
        <v>37</v>
      </c>
      <c r="E165" s="265"/>
      <c r="F165" s="18" t="s">
        <v>2175</v>
      </c>
      <c r="G165" s="265"/>
      <c r="H165" s="18" t="s">
        <v>2344</v>
      </c>
    </row>
    <row r="166">
      <c r="B166" s="18" t="s">
        <v>37</v>
      </c>
      <c r="C166" s="265"/>
      <c r="D166" s="138" t="s">
        <v>37</v>
      </c>
      <c r="E166" s="265"/>
      <c r="F166" s="18" t="s">
        <v>2175</v>
      </c>
      <c r="G166" s="265"/>
      <c r="H166" s="18" t="s">
        <v>2345</v>
      </c>
    </row>
    <row r="168">
      <c r="B168" s="18" t="s">
        <v>37</v>
      </c>
      <c r="C168" s="265"/>
      <c r="D168" s="138" t="s">
        <v>37</v>
      </c>
      <c r="E168" s="265"/>
      <c r="F168" s="18" t="s">
        <v>2183</v>
      </c>
      <c r="G168" s="265"/>
      <c r="H168" s="18" t="s">
        <v>703</v>
      </c>
    </row>
    <row r="169">
      <c r="B169" s="18" t="s">
        <v>37</v>
      </c>
      <c r="C169" s="265"/>
      <c r="D169" s="138" t="s">
        <v>37</v>
      </c>
      <c r="E169" s="265"/>
      <c r="F169" s="18" t="s">
        <v>2183</v>
      </c>
      <c r="G169" s="265"/>
      <c r="H169" s="18" t="s">
        <v>739</v>
      </c>
    </row>
    <row r="170">
      <c r="B170" s="18" t="s">
        <v>37</v>
      </c>
      <c r="C170" s="265"/>
      <c r="D170" s="138" t="s">
        <v>37</v>
      </c>
      <c r="E170" s="265"/>
      <c r="F170" s="18" t="s">
        <v>2183</v>
      </c>
      <c r="G170" s="265"/>
      <c r="H170" s="18" t="s">
        <v>2184</v>
      </c>
    </row>
    <row r="171">
      <c r="B171" s="18" t="s">
        <v>37</v>
      </c>
      <c r="C171" s="265"/>
      <c r="D171" s="138" t="s">
        <v>37</v>
      </c>
      <c r="E171" s="265"/>
      <c r="F171" s="18" t="s">
        <v>2183</v>
      </c>
      <c r="G171" s="265"/>
      <c r="H171" s="18" t="s">
        <v>2185</v>
      </c>
    </row>
    <row r="173">
      <c r="B173" s="18" t="s">
        <v>37</v>
      </c>
      <c r="C173" s="265"/>
      <c r="D173" s="138" t="s">
        <v>37</v>
      </c>
      <c r="E173" s="265"/>
      <c r="F173" s="18" t="s">
        <v>2346</v>
      </c>
      <c r="G173" s="265"/>
      <c r="H173" s="18" t="s">
        <v>2347</v>
      </c>
    </row>
    <row r="175">
      <c r="B175" s="18" t="s">
        <v>382</v>
      </c>
      <c r="C175" s="265"/>
      <c r="D175" s="138" t="s">
        <v>382</v>
      </c>
      <c r="E175" s="265"/>
      <c r="F175" s="18" t="s">
        <v>2348</v>
      </c>
      <c r="G175" s="265"/>
      <c r="H175" s="18" t="s">
        <v>2188</v>
      </c>
    </row>
    <row r="176">
      <c r="B176" s="18" t="s">
        <v>382</v>
      </c>
      <c r="C176" s="265"/>
      <c r="D176" s="138" t="s">
        <v>382</v>
      </c>
      <c r="E176" s="265"/>
      <c r="F176" s="18" t="s">
        <v>2348</v>
      </c>
      <c r="G176" s="265"/>
      <c r="H176" s="18" t="s">
        <v>651</v>
      </c>
    </row>
    <row r="178">
      <c r="B178" s="18" t="s">
        <v>382</v>
      </c>
      <c r="C178" s="265"/>
      <c r="D178" s="138" t="s">
        <v>382</v>
      </c>
      <c r="E178" s="265"/>
      <c r="F178" s="18" t="s">
        <v>2349</v>
      </c>
      <c r="G178" s="265"/>
      <c r="H178" s="18" t="s">
        <v>2350</v>
      </c>
    </row>
    <row r="180">
      <c r="B180" s="18" t="s">
        <v>382</v>
      </c>
      <c r="C180" s="265"/>
      <c r="D180" s="138" t="s">
        <v>382</v>
      </c>
      <c r="E180" s="265"/>
      <c r="F180" s="18" t="s">
        <v>2351</v>
      </c>
      <c r="G180" s="265"/>
      <c r="H180" s="18" t="s">
        <v>2191</v>
      </c>
    </row>
    <row r="181">
      <c r="B181" s="18" t="s">
        <v>382</v>
      </c>
      <c r="C181" s="265"/>
      <c r="D181" s="138" t="s">
        <v>382</v>
      </c>
      <c r="E181" s="265"/>
      <c r="F181" s="18" t="s">
        <v>2351</v>
      </c>
      <c r="G181" s="265"/>
      <c r="H181" s="18" t="s">
        <v>2352</v>
      </c>
    </row>
    <row r="182">
      <c r="B182" s="18" t="s">
        <v>382</v>
      </c>
      <c r="C182" s="265"/>
      <c r="D182" s="138" t="s">
        <v>382</v>
      </c>
      <c r="E182" s="265"/>
      <c r="F182" s="18" t="s">
        <v>2351</v>
      </c>
      <c r="G182" s="265"/>
      <c r="H182" s="18" t="s">
        <v>2353</v>
      </c>
    </row>
    <row r="184">
      <c r="B184" s="18" t="s">
        <v>2193</v>
      </c>
      <c r="C184" s="265"/>
      <c r="D184" s="138" t="s">
        <v>890</v>
      </c>
      <c r="E184" s="265"/>
      <c r="F184" s="18" t="s">
        <v>890</v>
      </c>
      <c r="G184" s="265"/>
      <c r="H184" s="18" t="s">
        <v>2194</v>
      </c>
    </row>
    <row r="185">
      <c r="B185" s="18" t="s">
        <v>2193</v>
      </c>
      <c r="C185" s="265"/>
      <c r="D185" s="138" t="s">
        <v>890</v>
      </c>
      <c r="E185" s="265"/>
      <c r="F185" s="18" t="s">
        <v>890</v>
      </c>
      <c r="G185" s="265"/>
      <c r="H185" s="18" t="s">
        <v>2354</v>
      </c>
    </row>
    <row r="187">
      <c r="B187" s="18" t="s">
        <v>2193</v>
      </c>
      <c r="C187" s="265"/>
      <c r="D187" s="138" t="s">
        <v>2196</v>
      </c>
      <c r="E187" s="265"/>
      <c r="F187" s="18" t="s">
        <v>2197</v>
      </c>
      <c r="G187" s="265"/>
      <c r="H187" s="18" t="s">
        <v>2197</v>
      </c>
    </row>
    <row r="189">
      <c r="B189" s="18" t="s">
        <v>2193</v>
      </c>
      <c r="C189" s="265"/>
      <c r="D189" s="138" t="s">
        <v>2196</v>
      </c>
      <c r="E189" s="265"/>
      <c r="F189" s="18" t="s">
        <v>2355</v>
      </c>
      <c r="G189" s="265"/>
      <c r="H189" s="18" t="s">
        <v>976</v>
      </c>
    </row>
    <row r="190">
      <c r="B190" s="18" t="s">
        <v>2193</v>
      </c>
      <c r="C190" s="265"/>
      <c r="D190" s="138" t="s">
        <v>2196</v>
      </c>
      <c r="E190" s="265"/>
      <c r="F190" s="18" t="s">
        <v>2355</v>
      </c>
      <c r="G190" s="265"/>
      <c r="H190" s="18" t="s">
        <v>2356</v>
      </c>
    </row>
    <row r="191">
      <c r="B191" s="18" t="s">
        <v>2193</v>
      </c>
      <c r="C191" s="265"/>
      <c r="D191" s="138" t="s">
        <v>2196</v>
      </c>
      <c r="E191" s="265"/>
      <c r="F191" s="18" t="s">
        <v>2355</v>
      </c>
      <c r="G191" s="265"/>
      <c r="H191" s="18" t="s">
        <v>2357</v>
      </c>
    </row>
    <row r="193">
      <c r="B193" s="18" t="s">
        <v>2193</v>
      </c>
      <c r="C193" s="265"/>
      <c r="D193" s="138" t="s">
        <v>2196</v>
      </c>
      <c r="E193" s="265"/>
      <c r="F193" s="18" t="s">
        <v>2358</v>
      </c>
      <c r="G193" s="265"/>
      <c r="H193" s="18" t="s">
        <v>2359</v>
      </c>
    </row>
    <row r="194">
      <c r="B194" s="18" t="s">
        <v>2193</v>
      </c>
      <c r="C194" s="265"/>
      <c r="D194" s="138" t="s">
        <v>2196</v>
      </c>
      <c r="E194" s="265"/>
      <c r="F194" s="18" t="s">
        <v>2358</v>
      </c>
      <c r="G194" s="265"/>
      <c r="H194" s="18" t="s">
        <v>2360</v>
      </c>
    </row>
    <row r="196">
      <c r="B196" s="18" t="s">
        <v>2193</v>
      </c>
      <c r="C196" s="265"/>
      <c r="D196" s="138" t="s">
        <v>2196</v>
      </c>
      <c r="E196" s="265"/>
      <c r="F196" s="18" t="s">
        <v>2361</v>
      </c>
      <c r="G196" s="265"/>
      <c r="H196" s="18" t="s">
        <v>2203</v>
      </c>
    </row>
    <row r="197">
      <c r="B197" s="18" t="s">
        <v>2193</v>
      </c>
      <c r="C197" s="265"/>
      <c r="D197" s="138" t="s">
        <v>2196</v>
      </c>
      <c r="E197" s="265"/>
      <c r="F197" s="18" t="s">
        <v>2361</v>
      </c>
      <c r="G197" s="265"/>
      <c r="H197" s="18" t="s">
        <v>2362</v>
      </c>
    </row>
    <row r="198">
      <c r="B198" s="18" t="s">
        <v>2193</v>
      </c>
      <c r="C198" s="265"/>
      <c r="D198" s="138" t="s">
        <v>2196</v>
      </c>
      <c r="E198" s="265"/>
      <c r="F198" s="18" t="s">
        <v>2361</v>
      </c>
      <c r="G198" s="265"/>
      <c r="H198" s="18" t="s">
        <v>2363</v>
      </c>
    </row>
    <row r="199">
      <c r="B199" s="18" t="s">
        <v>2193</v>
      </c>
      <c r="C199" s="265"/>
      <c r="D199" s="138" t="s">
        <v>2196</v>
      </c>
      <c r="E199" s="265"/>
      <c r="F199" s="18" t="s">
        <v>2361</v>
      </c>
      <c r="G199" s="265"/>
      <c r="H199" s="18" t="s">
        <v>2364</v>
      </c>
    </row>
    <row r="200">
      <c r="B200" s="18" t="s">
        <v>2193</v>
      </c>
      <c r="C200" s="265"/>
      <c r="D200" s="138" t="s">
        <v>2196</v>
      </c>
      <c r="E200" s="265"/>
      <c r="F200" s="18" t="s">
        <v>2361</v>
      </c>
      <c r="G200" s="265"/>
      <c r="H200" s="18" t="s">
        <v>2207</v>
      </c>
    </row>
    <row r="201">
      <c r="B201" s="18" t="s">
        <v>2193</v>
      </c>
      <c r="C201" s="265"/>
      <c r="D201" s="138" t="s">
        <v>2196</v>
      </c>
      <c r="E201" s="265"/>
      <c r="F201" s="18" t="s">
        <v>2361</v>
      </c>
      <c r="G201" s="265"/>
      <c r="H201" s="18" t="s">
        <v>2365</v>
      </c>
    </row>
    <row r="202">
      <c r="B202" s="18" t="s">
        <v>2193</v>
      </c>
      <c r="C202" s="265"/>
      <c r="D202" s="138" t="s">
        <v>2196</v>
      </c>
      <c r="E202" s="265"/>
      <c r="F202" s="18" t="s">
        <v>2361</v>
      </c>
      <c r="G202" s="265"/>
      <c r="H202" s="18" t="s">
        <v>2366</v>
      </c>
    </row>
    <row r="204">
      <c r="B204" s="18" t="s">
        <v>2193</v>
      </c>
      <c r="C204" s="265"/>
      <c r="D204" s="138" t="s">
        <v>2196</v>
      </c>
      <c r="E204" s="265"/>
      <c r="F204" s="18" t="s">
        <v>2367</v>
      </c>
      <c r="G204" s="265"/>
      <c r="H204" s="18" t="s">
        <v>2211</v>
      </c>
    </row>
    <row r="205">
      <c r="B205" s="18" t="s">
        <v>2193</v>
      </c>
      <c r="C205" s="265"/>
      <c r="D205" s="138" t="s">
        <v>2196</v>
      </c>
      <c r="E205" s="265"/>
      <c r="F205" s="18" t="s">
        <v>2367</v>
      </c>
      <c r="G205" s="265"/>
      <c r="H205" s="18" t="s">
        <v>2212</v>
      </c>
    </row>
    <row r="206">
      <c r="B206" s="18" t="s">
        <v>2193</v>
      </c>
      <c r="C206" s="265"/>
      <c r="D206" s="138" t="s">
        <v>2196</v>
      </c>
      <c r="E206" s="265"/>
      <c r="F206" s="18" t="s">
        <v>2367</v>
      </c>
      <c r="G206" s="265"/>
      <c r="H206" s="18" t="s">
        <v>2368</v>
      </c>
    </row>
    <row r="207">
      <c r="B207" s="18" t="s">
        <v>2193</v>
      </c>
      <c r="C207" s="265"/>
      <c r="D207" s="138" t="s">
        <v>2196</v>
      </c>
      <c r="E207" s="265"/>
      <c r="F207" s="18" t="s">
        <v>2367</v>
      </c>
      <c r="G207" s="265"/>
      <c r="H207" s="18" t="s">
        <v>2369</v>
      </c>
    </row>
    <row r="208">
      <c r="B208" s="18" t="s">
        <v>2193</v>
      </c>
      <c r="C208" s="265"/>
      <c r="D208" s="138" t="s">
        <v>2196</v>
      </c>
      <c r="E208" s="265"/>
      <c r="F208" s="18" t="s">
        <v>2367</v>
      </c>
      <c r="G208" s="265"/>
      <c r="H208" s="18" t="s">
        <v>2370</v>
      </c>
    </row>
    <row r="209">
      <c r="B209" s="18" t="s">
        <v>2193</v>
      </c>
      <c r="C209" s="265"/>
      <c r="D209" s="138" t="s">
        <v>2196</v>
      </c>
      <c r="E209" s="265"/>
      <c r="F209" s="18" t="s">
        <v>2367</v>
      </c>
      <c r="G209" s="265"/>
      <c r="H209" s="18" t="s">
        <v>2216</v>
      </c>
    </row>
    <row r="210">
      <c r="B210" s="18" t="s">
        <v>2193</v>
      </c>
      <c r="C210" s="265"/>
      <c r="D210" s="138" t="s">
        <v>2196</v>
      </c>
      <c r="E210" s="265"/>
      <c r="F210" s="18" t="s">
        <v>2367</v>
      </c>
      <c r="G210" s="265"/>
      <c r="H210" s="18" t="s">
        <v>2217</v>
      </c>
    </row>
    <row r="211">
      <c r="B211" s="18" t="s">
        <v>2193</v>
      </c>
      <c r="C211" s="265"/>
      <c r="D211" s="138" t="s">
        <v>2196</v>
      </c>
      <c r="E211" s="265"/>
      <c r="F211" s="18" t="s">
        <v>2367</v>
      </c>
      <c r="G211" s="265"/>
      <c r="H211" s="18" t="s">
        <v>2218</v>
      </c>
    </row>
    <row r="212">
      <c r="B212" s="18" t="s">
        <v>2193</v>
      </c>
      <c r="C212" s="265"/>
      <c r="D212" s="138" t="s">
        <v>2196</v>
      </c>
      <c r="E212" s="265"/>
      <c r="F212" s="18" t="s">
        <v>2367</v>
      </c>
      <c r="G212" s="265"/>
      <c r="H212" s="18" t="s">
        <v>2371</v>
      </c>
    </row>
    <row r="213">
      <c r="B213" s="18" t="s">
        <v>2193</v>
      </c>
      <c r="C213" s="265"/>
      <c r="D213" s="138" t="s">
        <v>2196</v>
      </c>
      <c r="E213" s="265"/>
      <c r="F213" s="18" t="s">
        <v>2367</v>
      </c>
      <c r="G213" s="265"/>
      <c r="H213" s="18" t="s">
        <v>2220</v>
      </c>
    </row>
    <row r="214">
      <c r="B214" s="18" t="s">
        <v>2193</v>
      </c>
      <c r="C214" s="265"/>
      <c r="D214" s="138" t="s">
        <v>2196</v>
      </c>
      <c r="E214" s="265"/>
      <c r="F214" s="18" t="s">
        <v>2367</v>
      </c>
      <c r="G214" s="265"/>
      <c r="H214" s="18" t="s">
        <v>2221</v>
      </c>
    </row>
    <row r="215">
      <c r="B215" s="18" t="s">
        <v>2193</v>
      </c>
      <c r="C215" s="265"/>
      <c r="D215" s="138" t="s">
        <v>2196</v>
      </c>
      <c r="E215" s="265"/>
      <c r="F215" s="18" t="s">
        <v>2367</v>
      </c>
      <c r="G215" s="265"/>
      <c r="H215" s="18" t="s">
        <v>2372</v>
      </c>
    </row>
    <row r="216">
      <c r="B216" s="18" t="s">
        <v>2193</v>
      </c>
      <c r="C216" s="265"/>
      <c r="D216" s="138" t="s">
        <v>2196</v>
      </c>
      <c r="E216" s="265"/>
      <c r="F216" s="18" t="s">
        <v>2367</v>
      </c>
      <c r="G216" s="265"/>
      <c r="H216" s="18" t="s">
        <v>2222</v>
      </c>
    </row>
    <row r="217">
      <c r="B217" s="18" t="s">
        <v>2193</v>
      </c>
      <c r="C217" s="265"/>
      <c r="D217" s="138" t="s">
        <v>2196</v>
      </c>
      <c r="E217" s="265"/>
      <c r="F217" s="18" t="s">
        <v>2367</v>
      </c>
      <c r="G217" s="265"/>
      <c r="H217" s="18" t="s">
        <v>2373</v>
      </c>
    </row>
    <row r="218">
      <c r="B218" s="18" t="s">
        <v>2193</v>
      </c>
      <c r="C218" s="265"/>
      <c r="D218" s="138" t="s">
        <v>2196</v>
      </c>
      <c r="E218" s="265"/>
      <c r="F218" s="18" t="s">
        <v>2367</v>
      </c>
      <c r="G218" s="265"/>
      <c r="H218" s="18" t="s">
        <v>2374</v>
      </c>
    </row>
    <row r="220">
      <c r="B220" s="18" t="s">
        <v>2224</v>
      </c>
      <c r="C220" s="265"/>
      <c r="D220" s="138" t="s">
        <v>2224</v>
      </c>
      <c r="E220" s="265"/>
      <c r="F220" s="18" t="s">
        <v>2225</v>
      </c>
      <c r="G220" s="265"/>
      <c r="H220" s="18" t="s">
        <v>2375</v>
      </c>
    </row>
    <row r="221">
      <c r="B221" s="18" t="s">
        <v>2224</v>
      </c>
      <c r="C221" s="265"/>
      <c r="D221" s="138" t="s">
        <v>2224</v>
      </c>
      <c r="E221" s="265"/>
      <c r="F221" s="18" t="s">
        <v>2225</v>
      </c>
      <c r="G221" s="265"/>
      <c r="H221" s="18" t="s">
        <v>2376</v>
      </c>
    </row>
    <row r="223">
      <c r="B223" s="18" t="s">
        <v>2224</v>
      </c>
      <c r="C223" s="265"/>
      <c r="D223" s="138" t="s">
        <v>2224</v>
      </c>
      <c r="E223" s="265"/>
      <c r="F223" s="18" t="s">
        <v>2228</v>
      </c>
      <c r="G223" s="265"/>
      <c r="H223" s="18" t="s">
        <v>2377</v>
      </c>
    </row>
    <row r="225">
      <c r="B225" s="18" t="s">
        <v>2224</v>
      </c>
      <c r="C225" s="265"/>
      <c r="D225" s="138" t="s">
        <v>2224</v>
      </c>
      <c r="E225" s="265"/>
      <c r="F225" s="18" t="s">
        <v>2230</v>
      </c>
      <c r="G225" s="265"/>
      <c r="H225" s="18" t="s">
        <v>2378</v>
      </c>
    </row>
    <row r="227">
      <c r="B227" s="18" t="s">
        <v>101</v>
      </c>
      <c r="C227" s="265"/>
      <c r="D227" s="138" t="s">
        <v>101</v>
      </c>
      <c r="E227" s="265"/>
      <c r="F227" s="18" t="s">
        <v>2232</v>
      </c>
      <c r="G227" s="265"/>
      <c r="H227" s="18" t="s">
        <v>2233</v>
      </c>
    </row>
    <row r="229">
      <c r="B229" s="18" t="s">
        <v>101</v>
      </c>
      <c r="C229" s="265"/>
      <c r="D229" s="138" t="s">
        <v>101</v>
      </c>
      <c r="E229" s="265"/>
      <c r="F229" s="18" t="s">
        <v>2234</v>
      </c>
      <c r="G229" s="265"/>
      <c r="H229" s="18" t="s">
        <v>2235</v>
      </c>
    </row>
    <row r="230">
      <c r="B230" s="18" t="s">
        <v>101</v>
      </c>
      <c r="C230" s="265"/>
      <c r="D230" s="138" t="s">
        <v>101</v>
      </c>
      <c r="E230" s="265"/>
      <c r="F230" s="18" t="s">
        <v>2234</v>
      </c>
      <c r="G230" s="265"/>
      <c r="H230" s="18" t="s">
        <v>2379</v>
      </c>
    </row>
    <row r="231">
      <c r="B231" s="18" t="s">
        <v>101</v>
      </c>
      <c r="C231" s="265"/>
      <c r="D231" s="138" t="s">
        <v>101</v>
      </c>
      <c r="E231" s="265"/>
      <c r="F231" s="18" t="s">
        <v>2234</v>
      </c>
      <c r="G231" s="265"/>
      <c r="H231" s="18" t="s">
        <v>2237</v>
      </c>
    </row>
    <row r="232">
      <c r="B232" s="18" t="s">
        <v>101</v>
      </c>
      <c r="C232" s="265"/>
      <c r="D232" s="138" t="s">
        <v>101</v>
      </c>
      <c r="E232" s="265"/>
      <c r="F232" s="18" t="s">
        <v>2234</v>
      </c>
      <c r="G232" s="265"/>
      <c r="H232" s="18" t="s">
        <v>2238</v>
      </c>
    </row>
    <row r="233">
      <c r="B233" s="18" t="s">
        <v>101</v>
      </c>
      <c r="C233" s="265"/>
      <c r="D233" s="138" t="s">
        <v>101</v>
      </c>
      <c r="E233" s="265"/>
      <c r="F233" s="18" t="s">
        <v>2234</v>
      </c>
      <c r="G233" s="265"/>
      <c r="H233" s="18" t="s">
        <v>789</v>
      </c>
    </row>
    <row r="234">
      <c r="B234" s="18" t="s">
        <v>101</v>
      </c>
      <c r="C234" s="265"/>
      <c r="D234" s="138" t="s">
        <v>101</v>
      </c>
      <c r="E234" s="265"/>
      <c r="F234" s="18" t="s">
        <v>2234</v>
      </c>
      <c r="G234" s="265"/>
      <c r="H234" s="18" t="s">
        <v>2380</v>
      </c>
    </row>
    <row r="236">
      <c r="B236" s="18" t="s">
        <v>101</v>
      </c>
      <c r="C236" s="265"/>
      <c r="D236" s="138" t="s">
        <v>101</v>
      </c>
      <c r="E236" s="265"/>
      <c r="F236" s="18" t="s">
        <v>2240</v>
      </c>
      <c r="G236" s="265"/>
      <c r="H236" s="18" t="s">
        <v>2381</v>
      </c>
    </row>
    <row r="237">
      <c r="B237" s="18" t="s">
        <v>101</v>
      </c>
      <c r="C237" s="265"/>
      <c r="D237" s="138" t="s">
        <v>101</v>
      </c>
      <c r="E237" s="265"/>
      <c r="F237" s="18" t="s">
        <v>2240</v>
      </c>
      <c r="G237" s="265"/>
      <c r="H237" s="18" t="s">
        <v>2382</v>
      </c>
    </row>
    <row r="238">
      <c r="B238" s="18" t="s">
        <v>101</v>
      </c>
      <c r="C238" s="265"/>
      <c r="D238" s="138" t="s">
        <v>101</v>
      </c>
      <c r="E238" s="265"/>
      <c r="F238" s="18" t="s">
        <v>2240</v>
      </c>
      <c r="G238" s="265"/>
      <c r="H238" s="18" t="s">
        <v>2383</v>
      </c>
    </row>
    <row r="240">
      <c r="B240" s="18" t="s">
        <v>101</v>
      </c>
      <c r="C240" s="265"/>
      <c r="D240" s="138" t="s">
        <v>101</v>
      </c>
      <c r="E240" s="265"/>
      <c r="F240" s="18" t="s">
        <v>2384</v>
      </c>
      <c r="G240" s="265"/>
      <c r="H240" s="18" t="s">
        <v>2385</v>
      </c>
    </row>
    <row r="241">
      <c r="B241" s="18" t="s">
        <v>101</v>
      </c>
      <c r="C241" s="265"/>
      <c r="D241" s="138" t="s">
        <v>101</v>
      </c>
      <c r="E241" s="265"/>
      <c r="F241" s="18" t="s">
        <v>2384</v>
      </c>
      <c r="G241" s="265"/>
      <c r="H241" s="18" t="s">
        <v>2386</v>
      </c>
    </row>
    <row r="242">
      <c r="B242" s="18" t="s">
        <v>101</v>
      </c>
      <c r="C242" s="265"/>
      <c r="D242" s="138" t="s">
        <v>101</v>
      </c>
      <c r="E242" s="265"/>
      <c r="F242" s="18" t="s">
        <v>2384</v>
      </c>
      <c r="G242" s="265"/>
      <c r="H242" s="18" t="s">
        <v>2387</v>
      </c>
    </row>
    <row r="243">
      <c r="B243" s="18" t="s">
        <v>101</v>
      </c>
      <c r="C243" s="265"/>
      <c r="D243" s="138" t="s">
        <v>101</v>
      </c>
      <c r="E243" s="265"/>
      <c r="F243" s="18" t="s">
        <v>2384</v>
      </c>
      <c r="G243" s="265"/>
      <c r="H243" s="18" t="s">
        <v>2388</v>
      </c>
    </row>
    <row r="244">
      <c r="B244" s="18" t="s">
        <v>101</v>
      </c>
      <c r="C244" s="265"/>
      <c r="D244" s="138" t="s">
        <v>101</v>
      </c>
      <c r="E244" s="265"/>
      <c r="F244" s="18" t="s">
        <v>2384</v>
      </c>
      <c r="G244" s="265"/>
      <c r="H244" s="18" t="s">
        <v>2389</v>
      </c>
    </row>
    <row r="246">
      <c r="B246" s="18" t="s">
        <v>2249</v>
      </c>
      <c r="C246" s="265"/>
      <c r="D246" s="138" t="s">
        <v>2249</v>
      </c>
      <c r="E246" s="265"/>
      <c r="F246" s="18" t="s">
        <v>2390</v>
      </c>
      <c r="G246" s="265"/>
      <c r="H246" s="18" t="s">
        <v>2391</v>
      </c>
    </row>
    <row r="247">
      <c r="B247" s="18" t="s">
        <v>2249</v>
      </c>
      <c r="C247" s="265"/>
      <c r="D247" s="138" t="s">
        <v>2249</v>
      </c>
      <c r="E247" s="265"/>
      <c r="F247" s="18" t="s">
        <v>2390</v>
      </c>
      <c r="G247" s="265"/>
      <c r="H247" s="18" t="s">
        <v>2392</v>
      </c>
    </row>
    <row r="248">
      <c r="B248" s="18" t="s">
        <v>2249</v>
      </c>
      <c r="C248" s="265"/>
      <c r="D248" s="138" t="s">
        <v>2249</v>
      </c>
      <c r="E248" s="265"/>
      <c r="F248" s="18" t="s">
        <v>2390</v>
      </c>
      <c r="G248" s="265"/>
      <c r="H248" s="18" t="s">
        <v>2393</v>
      </c>
    </row>
    <row r="250">
      <c r="B250" s="18" t="s">
        <v>2249</v>
      </c>
      <c r="C250" s="265"/>
      <c r="D250" s="138" t="s">
        <v>2249</v>
      </c>
      <c r="E250" s="265"/>
      <c r="F250" s="18" t="s">
        <v>2394</v>
      </c>
      <c r="G250" s="265"/>
      <c r="H250" s="18" t="s">
        <v>2395</v>
      </c>
    </row>
    <row r="252">
      <c r="B252" s="18" t="s">
        <v>2254</v>
      </c>
      <c r="C252" s="265"/>
      <c r="D252" s="138" t="s">
        <v>218</v>
      </c>
      <c r="E252" s="265"/>
      <c r="F252" s="18" t="s">
        <v>218</v>
      </c>
      <c r="G252" s="265"/>
      <c r="H252" s="18" t="s">
        <v>690</v>
      </c>
    </row>
    <row r="253">
      <c r="B253" s="18" t="s">
        <v>2254</v>
      </c>
      <c r="C253" s="265"/>
      <c r="D253" s="138" t="s">
        <v>218</v>
      </c>
      <c r="E253" s="265"/>
      <c r="F253" s="18" t="s">
        <v>218</v>
      </c>
      <c r="G253" s="265"/>
      <c r="H253" s="18" t="s">
        <v>2255</v>
      </c>
    </row>
    <row r="254">
      <c r="B254" s="18" t="s">
        <v>2254</v>
      </c>
      <c r="C254" s="265"/>
      <c r="D254" s="138" t="s">
        <v>218</v>
      </c>
      <c r="E254" s="265"/>
      <c r="F254" s="18" t="s">
        <v>218</v>
      </c>
      <c r="G254" s="265"/>
      <c r="H254" s="18" t="s">
        <v>2396</v>
      </c>
    </row>
    <row r="256">
      <c r="B256" s="18" t="s">
        <v>2254</v>
      </c>
      <c r="C256" s="265"/>
      <c r="D256" s="138" t="s">
        <v>2254</v>
      </c>
      <c r="E256" s="265"/>
      <c r="F256" s="18" t="s">
        <v>2257</v>
      </c>
      <c r="G256" s="265"/>
      <c r="H256" s="18" t="s">
        <v>2397</v>
      </c>
    </row>
    <row r="257">
      <c r="B257" s="18" t="s">
        <v>2254</v>
      </c>
      <c r="C257" s="265"/>
      <c r="D257" s="138" t="s">
        <v>2254</v>
      </c>
      <c r="E257" s="265"/>
      <c r="F257" s="18" t="s">
        <v>2257</v>
      </c>
      <c r="G257" s="265"/>
      <c r="H257" s="18" t="s">
        <v>2398</v>
      </c>
    </row>
    <row r="258">
      <c r="B258" s="18" t="s">
        <v>2254</v>
      </c>
      <c r="C258" s="265"/>
      <c r="D258" s="138" t="s">
        <v>2254</v>
      </c>
      <c r="E258" s="265"/>
      <c r="F258" s="18" t="s">
        <v>2257</v>
      </c>
      <c r="G258" s="265"/>
      <c r="H258" s="18" t="s">
        <v>2399</v>
      </c>
    </row>
    <row r="259">
      <c r="B259" s="18" t="s">
        <v>2254</v>
      </c>
      <c r="C259" s="265"/>
      <c r="D259" s="138" t="s">
        <v>2254</v>
      </c>
      <c r="E259" s="265"/>
      <c r="F259" s="18" t="s">
        <v>2257</v>
      </c>
      <c r="G259" s="265"/>
      <c r="H259" s="18" t="s">
        <v>2261</v>
      </c>
    </row>
    <row r="260">
      <c r="B260" s="18" t="s">
        <v>2254</v>
      </c>
      <c r="C260" s="265"/>
      <c r="D260" s="138" t="s">
        <v>2254</v>
      </c>
      <c r="E260" s="265"/>
      <c r="F260" s="18" t="s">
        <v>2257</v>
      </c>
      <c r="G260" s="265"/>
      <c r="H260" s="18" t="s">
        <v>2257</v>
      </c>
    </row>
    <row r="262">
      <c r="B262" s="18" t="s">
        <v>686</v>
      </c>
      <c r="C262" s="265"/>
      <c r="D262" s="138" t="s">
        <v>686</v>
      </c>
      <c r="E262" s="265"/>
      <c r="F262" s="18" t="s">
        <v>686</v>
      </c>
      <c r="G262" s="265"/>
      <c r="H262" s="18" t="s">
        <v>686</v>
      </c>
    </row>
  </sheetData>
  <hyperlinks>
    <hyperlink r:id="rId1" ref="B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80.43"/>
  </cols>
  <sheetData>
    <row r="1">
      <c r="A1" s="23" t="s">
        <v>2400</v>
      </c>
      <c r="B1" s="23" t="s">
        <v>2401</v>
      </c>
      <c r="C1" s="23" t="s">
        <v>2402</v>
      </c>
    </row>
    <row r="2">
      <c r="A2" s="23">
        <v>441070.0</v>
      </c>
      <c r="B2" s="270" t="s">
        <v>971</v>
      </c>
      <c r="C2" s="103" t="s">
        <v>2403</v>
      </c>
    </row>
    <row r="3">
      <c r="A3" s="23">
        <v>440013.0</v>
      </c>
      <c r="B3" s="270" t="s">
        <v>468</v>
      </c>
      <c r="C3" s="103" t="s">
        <v>824</v>
      </c>
    </row>
    <row r="4">
      <c r="A4" s="23">
        <v>440032.0</v>
      </c>
      <c r="B4" s="270" t="s">
        <v>211</v>
      </c>
      <c r="C4" s="103" t="s">
        <v>1009</v>
      </c>
    </row>
    <row r="5">
      <c r="A5" s="23">
        <v>440258.0</v>
      </c>
      <c r="B5" s="270" t="s">
        <v>211</v>
      </c>
      <c r="C5" s="103" t="s">
        <v>1010</v>
      </c>
    </row>
    <row r="6">
      <c r="A6" s="23">
        <v>440072.0</v>
      </c>
      <c r="B6" s="270" t="s">
        <v>881</v>
      </c>
      <c r="C6" s="103" t="s">
        <v>880</v>
      </c>
    </row>
    <row r="7">
      <c r="A7" s="23">
        <v>440418.0</v>
      </c>
      <c r="B7" s="270" t="s">
        <v>933</v>
      </c>
      <c r="C7" s="103" t="s">
        <v>932</v>
      </c>
    </row>
    <row r="8">
      <c r="A8" s="23">
        <v>440346.0</v>
      </c>
      <c r="B8" s="270" t="s">
        <v>999</v>
      </c>
      <c r="C8" s="103" t="s">
        <v>1001</v>
      </c>
    </row>
    <row r="9">
      <c r="A9" s="23">
        <v>440370.0</v>
      </c>
      <c r="B9" s="270" t="s">
        <v>211</v>
      </c>
      <c r="C9" s="103" t="s">
        <v>1012</v>
      </c>
    </row>
    <row r="10">
      <c r="A10" s="23">
        <v>440173.0</v>
      </c>
      <c r="B10" s="270" t="s">
        <v>933</v>
      </c>
      <c r="C10" s="103" t="s">
        <v>935</v>
      </c>
    </row>
    <row r="11">
      <c r="A11" s="23">
        <v>440209.0</v>
      </c>
      <c r="B11" s="270" t="s">
        <v>211</v>
      </c>
      <c r="C11" s="103" t="s">
        <v>1014</v>
      </c>
    </row>
    <row r="12">
      <c r="A12" s="23">
        <v>440165.0</v>
      </c>
      <c r="B12" s="270" t="s">
        <v>468</v>
      </c>
      <c r="C12" s="103" t="s">
        <v>826</v>
      </c>
    </row>
    <row r="13">
      <c r="A13" s="23">
        <v>440225.0</v>
      </c>
      <c r="B13" s="270" t="s">
        <v>211</v>
      </c>
      <c r="C13" s="103" t="s">
        <v>1016</v>
      </c>
    </row>
    <row r="14">
      <c r="A14" s="23">
        <v>440254.0</v>
      </c>
      <c r="B14" s="270" t="s">
        <v>211</v>
      </c>
      <c r="C14" s="103" t="s">
        <v>1018</v>
      </c>
    </row>
    <row r="15">
      <c r="A15" s="23">
        <v>440366.0</v>
      </c>
      <c r="B15" s="270" t="s">
        <v>211</v>
      </c>
      <c r="C15" s="103" t="s">
        <v>1020</v>
      </c>
    </row>
    <row r="16">
      <c r="A16" s="23">
        <v>440217.0</v>
      </c>
      <c r="B16" s="270" t="s">
        <v>211</v>
      </c>
      <c r="C16" s="103" t="s">
        <v>1022</v>
      </c>
    </row>
    <row r="17">
      <c r="A17" s="23">
        <v>440189.0</v>
      </c>
      <c r="B17" s="270" t="s">
        <v>211</v>
      </c>
      <c r="C17" s="103" t="s">
        <v>1024</v>
      </c>
    </row>
    <row r="18">
      <c r="A18" s="23">
        <v>440092.0</v>
      </c>
      <c r="B18" s="270" t="s">
        <v>904</v>
      </c>
      <c r="C18" s="103" t="s">
        <v>903</v>
      </c>
    </row>
    <row r="19">
      <c r="A19" s="23">
        <v>440318.0</v>
      </c>
      <c r="B19" s="270" t="s">
        <v>999</v>
      </c>
      <c r="C19" s="103" t="s">
        <v>1005</v>
      </c>
    </row>
    <row r="20">
      <c r="A20" s="23">
        <v>440045.0</v>
      </c>
      <c r="B20" s="270" t="s">
        <v>845</v>
      </c>
      <c r="C20" s="103" t="s">
        <v>844</v>
      </c>
    </row>
    <row r="21">
      <c r="A21" s="23">
        <v>440322.0</v>
      </c>
      <c r="B21" s="270" t="s">
        <v>211</v>
      </c>
      <c r="C21" s="103" t="s">
        <v>1026</v>
      </c>
    </row>
    <row r="22">
      <c r="A22" s="23">
        <v>440229.0</v>
      </c>
      <c r="B22" s="270" t="s">
        <v>1490</v>
      </c>
      <c r="C22" s="103" t="s">
        <v>929</v>
      </c>
    </row>
    <row r="23">
      <c r="A23" s="23">
        <v>440100.0</v>
      </c>
      <c r="B23" s="270" t="s">
        <v>904</v>
      </c>
      <c r="C23" s="103" t="s">
        <v>908</v>
      </c>
    </row>
    <row r="24">
      <c r="A24" s="23">
        <v>440334.0</v>
      </c>
      <c r="B24" s="270" t="s">
        <v>890</v>
      </c>
      <c r="C24" s="103" t="s">
        <v>889</v>
      </c>
    </row>
    <row r="25">
      <c r="A25" s="23">
        <v>440290.0</v>
      </c>
      <c r="B25" s="270" t="s">
        <v>890</v>
      </c>
      <c r="C25" s="103" t="s">
        <v>1839</v>
      </c>
    </row>
    <row r="26">
      <c r="A26" s="23">
        <v>440057.0</v>
      </c>
      <c r="B26" s="270" t="s">
        <v>904</v>
      </c>
      <c r="C26" s="103" t="s">
        <v>912</v>
      </c>
    </row>
    <row r="27">
      <c r="A27" s="23">
        <v>440133.0</v>
      </c>
      <c r="B27" s="270" t="s">
        <v>211</v>
      </c>
      <c r="C27" s="103" t="s">
        <v>1028</v>
      </c>
    </row>
    <row r="28">
      <c r="A28" s="23">
        <v>440613.0</v>
      </c>
      <c r="B28" s="270" t="s">
        <v>211</v>
      </c>
      <c r="C28" s="103" t="s">
        <v>1030</v>
      </c>
    </row>
    <row r="29">
      <c r="A29" s="23">
        <v>440460.0</v>
      </c>
      <c r="B29" s="270" t="s">
        <v>211</v>
      </c>
      <c r="C29" s="103" t="s">
        <v>1032</v>
      </c>
    </row>
    <row r="30">
      <c r="A30" s="23">
        <v>440096.0</v>
      </c>
      <c r="B30" s="270" t="s">
        <v>904</v>
      </c>
      <c r="C30" s="103" t="s">
        <v>916</v>
      </c>
    </row>
    <row r="31">
      <c r="A31" s="23">
        <v>440014.0</v>
      </c>
      <c r="B31" s="270" t="s">
        <v>1409</v>
      </c>
      <c r="C31" s="103" t="s">
        <v>989</v>
      </c>
    </row>
    <row r="32">
      <c r="A32" s="23">
        <v>440394.0</v>
      </c>
      <c r="B32" s="270" t="s">
        <v>933</v>
      </c>
      <c r="C32" s="103" t="s">
        <v>940</v>
      </c>
    </row>
    <row r="33">
      <c r="A33" s="23">
        <v>440088.0</v>
      </c>
      <c r="B33" s="270" t="s">
        <v>933</v>
      </c>
      <c r="C33" s="103" t="s">
        <v>943</v>
      </c>
    </row>
    <row r="34">
      <c r="A34" s="23">
        <v>440026.0</v>
      </c>
      <c r="B34" s="270" t="s">
        <v>845</v>
      </c>
      <c r="C34" s="103" t="s">
        <v>849</v>
      </c>
    </row>
    <row r="35">
      <c r="A35" s="23">
        <v>440422.0</v>
      </c>
      <c r="B35" s="270" t="s">
        <v>211</v>
      </c>
      <c r="C35" s="103" t="s">
        <v>1034</v>
      </c>
    </row>
    <row r="36">
      <c r="A36" s="23">
        <v>440414.0</v>
      </c>
      <c r="B36" s="270" t="s">
        <v>211</v>
      </c>
      <c r="C36" s="103" t="s">
        <v>830</v>
      </c>
    </row>
    <row r="37">
      <c r="A37" s="23">
        <v>440310.0</v>
      </c>
      <c r="B37" s="270" t="s">
        <v>211</v>
      </c>
      <c r="C37" s="103" t="s">
        <v>1036</v>
      </c>
    </row>
    <row r="38">
      <c r="A38" s="23">
        <v>440221.0</v>
      </c>
      <c r="B38" s="270" t="s">
        <v>211</v>
      </c>
      <c r="C38" s="103" t="s">
        <v>1037</v>
      </c>
    </row>
    <row r="39">
      <c r="A39" s="23">
        <v>440610.0</v>
      </c>
      <c r="B39" s="270" t="s">
        <v>211</v>
      </c>
      <c r="C39" s="103" t="s">
        <v>1039</v>
      </c>
    </row>
    <row r="40">
      <c r="A40" s="23">
        <v>440233.0</v>
      </c>
      <c r="B40" s="270" t="s">
        <v>890</v>
      </c>
      <c r="C40" s="103" t="s">
        <v>896</v>
      </c>
    </row>
    <row r="41">
      <c r="A41" s="23">
        <v>440197.0</v>
      </c>
      <c r="B41" s="270" t="s">
        <v>904</v>
      </c>
      <c r="C41" s="103" t="s">
        <v>919</v>
      </c>
    </row>
    <row r="42">
      <c r="A42" s="23">
        <v>440213.0</v>
      </c>
      <c r="B42" s="270" t="s">
        <v>211</v>
      </c>
      <c r="C42" s="103" t="s">
        <v>1041</v>
      </c>
    </row>
    <row r="43">
      <c r="A43" s="23">
        <v>440149.0</v>
      </c>
      <c r="B43" s="270" t="s">
        <v>211</v>
      </c>
      <c r="C43" s="103" t="s">
        <v>1043</v>
      </c>
    </row>
    <row r="44">
      <c r="A44" s="23">
        <v>440237.0</v>
      </c>
      <c r="B44" s="270" t="s">
        <v>211</v>
      </c>
      <c r="C44" s="103" t="s">
        <v>1045</v>
      </c>
    </row>
    <row r="45">
      <c r="A45" s="23">
        <v>440005.0</v>
      </c>
      <c r="B45" s="270" t="s">
        <v>933</v>
      </c>
      <c r="C45" s="103" t="s">
        <v>946</v>
      </c>
    </row>
    <row r="46">
      <c r="A46" s="23">
        <v>440067.0</v>
      </c>
      <c r="B46" s="270" t="s">
        <v>1101</v>
      </c>
      <c r="C46" s="103" t="s">
        <v>1100</v>
      </c>
    </row>
    <row r="47">
      <c r="A47" s="23">
        <v>440205.0</v>
      </c>
      <c r="B47" s="270" t="s">
        <v>211</v>
      </c>
      <c r="C47" s="103" t="s">
        <v>1846</v>
      </c>
    </row>
    <row r="48">
      <c r="A48" s="23">
        <v>440598.0</v>
      </c>
      <c r="B48" s="270" t="s">
        <v>959</v>
      </c>
      <c r="C48" s="103" t="s">
        <v>962</v>
      </c>
    </row>
    <row r="49">
      <c r="A49" s="23">
        <v>440452.0</v>
      </c>
      <c r="B49" s="270" t="s">
        <v>982</v>
      </c>
      <c r="C49" s="103" t="s">
        <v>981</v>
      </c>
    </row>
    <row r="50">
      <c r="A50" s="23">
        <v>440169.0</v>
      </c>
      <c r="B50" s="270" t="s">
        <v>933</v>
      </c>
      <c r="C50" s="103" t="s">
        <v>946</v>
      </c>
    </row>
    <row r="51">
      <c r="A51" s="23">
        <v>440278.0</v>
      </c>
      <c r="B51" s="270" t="s">
        <v>211</v>
      </c>
      <c r="C51" s="103" t="s">
        <v>1047</v>
      </c>
    </row>
    <row r="52">
      <c r="A52" s="23">
        <v>440076.0</v>
      </c>
      <c r="B52" s="270" t="s">
        <v>881</v>
      </c>
      <c r="C52" s="103" t="s">
        <v>885</v>
      </c>
    </row>
    <row r="53">
      <c r="A53" s="23">
        <v>440241.0</v>
      </c>
      <c r="B53" s="270" t="s">
        <v>211</v>
      </c>
      <c r="C53" s="103" t="s">
        <v>1049</v>
      </c>
    </row>
    <row r="54">
      <c r="A54" s="23">
        <v>440382.0</v>
      </c>
      <c r="B54" s="270" t="s">
        <v>211</v>
      </c>
      <c r="C54" s="103" t="s">
        <v>767</v>
      </c>
    </row>
    <row r="55">
      <c r="A55" s="23">
        <v>440480.0</v>
      </c>
      <c r="B55" s="270" t="s">
        <v>1433</v>
      </c>
      <c r="C55" s="103" t="s">
        <v>985</v>
      </c>
    </row>
    <row r="56">
      <c r="A56" s="23">
        <v>440137.0</v>
      </c>
      <c r="B56" s="270" t="s">
        <v>211</v>
      </c>
      <c r="C56" s="103" t="s">
        <v>1052</v>
      </c>
    </row>
    <row r="57">
      <c r="A57" s="23">
        <v>440185.0</v>
      </c>
      <c r="B57" s="270" t="s">
        <v>933</v>
      </c>
      <c r="C57" s="103" t="s">
        <v>740</v>
      </c>
    </row>
    <row r="58">
      <c r="A58" s="23">
        <v>440330.0</v>
      </c>
      <c r="B58" s="270" t="s">
        <v>1409</v>
      </c>
      <c r="C58" s="103" t="s">
        <v>993</v>
      </c>
    </row>
    <row r="59">
      <c r="A59" s="23">
        <v>440601.0</v>
      </c>
      <c r="B59" s="270" t="s">
        <v>959</v>
      </c>
      <c r="C59" s="103" t="s">
        <v>966</v>
      </c>
    </row>
    <row r="60">
      <c r="A60" s="23">
        <v>440245.0</v>
      </c>
      <c r="B60" s="270" t="s">
        <v>890</v>
      </c>
      <c r="C60" s="103" t="s">
        <v>899</v>
      </c>
    </row>
    <row r="61">
      <c r="A61" s="23">
        <v>440116.0</v>
      </c>
      <c r="B61" s="270" t="s">
        <v>904</v>
      </c>
      <c r="C61" s="103" t="s">
        <v>653</v>
      </c>
    </row>
    <row r="62">
      <c r="A62" s="23">
        <v>440035.0</v>
      </c>
      <c r="B62" s="270" t="s">
        <v>211</v>
      </c>
      <c r="C62" s="103" t="s">
        <v>1054</v>
      </c>
    </row>
    <row r="63">
      <c r="A63" s="23">
        <v>440060.0</v>
      </c>
      <c r="B63" s="270" t="s">
        <v>999</v>
      </c>
      <c r="C63" s="103" t="s">
        <v>1007</v>
      </c>
    </row>
    <row r="64">
      <c r="A64" s="23">
        <v>440112.0</v>
      </c>
      <c r="B64" s="270" t="s">
        <v>904</v>
      </c>
      <c r="C64" s="103" t="s">
        <v>925</v>
      </c>
    </row>
    <row r="65">
      <c r="A65" s="23">
        <v>440402.0</v>
      </c>
      <c r="B65" s="270" t="s">
        <v>745</v>
      </c>
      <c r="C65" s="103" t="s">
        <v>746</v>
      </c>
    </row>
    <row r="66">
      <c r="A66" s="23">
        <v>440153.0</v>
      </c>
      <c r="B66" s="270" t="s">
        <v>211</v>
      </c>
      <c r="C66" s="103" t="s">
        <v>1056</v>
      </c>
    </row>
    <row r="67">
      <c r="A67" s="23">
        <v>440274.0</v>
      </c>
      <c r="B67" s="270" t="s">
        <v>211</v>
      </c>
      <c r="C67" s="103" t="s">
        <v>1058</v>
      </c>
    </row>
    <row r="68">
      <c r="A68" s="23">
        <v>440051.0</v>
      </c>
      <c r="B68" s="270" t="s">
        <v>971</v>
      </c>
      <c r="C68" s="103" t="s">
        <v>973</v>
      </c>
    </row>
    <row r="69">
      <c r="A69" s="23">
        <v>440326.0</v>
      </c>
      <c r="B69" s="270" t="s">
        <v>1409</v>
      </c>
      <c r="C69" s="103" t="s">
        <v>997</v>
      </c>
    </row>
    <row r="70">
      <c r="A70" s="23">
        <v>440054.0</v>
      </c>
      <c r="B70" s="270" t="s">
        <v>211</v>
      </c>
      <c r="C70" s="103" t="s">
        <v>1060</v>
      </c>
    </row>
    <row r="71">
      <c r="A71" s="23">
        <v>440015.0</v>
      </c>
      <c r="B71" s="270" t="s">
        <v>211</v>
      </c>
      <c r="C71" s="103" t="s">
        <v>1062</v>
      </c>
    </row>
    <row r="72">
      <c r="A72" s="23">
        <v>440607.0</v>
      </c>
      <c r="B72" s="270" t="s">
        <v>211</v>
      </c>
      <c r="C72" s="103" t="s">
        <v>1064</v>
      </c>
    </row>
    <row r="73">
      <c r="A73" s="23">
        <v>440129.0</v>
      </c>
      <c r="B73" s="270" t="s">
        <v>211</v>
      </c>
      <c r="C73" s="103" t="s">
        <v>1066</v>
      </c>
    </row>
    <row r="74">
      <c r="A74" s="23">
        <v>440177.0</v>
      </c>
      <c r="B74" s="270" t="s">
        <v>211</v>
      </c>
      <c r="C74" s="103" t="s">
        <v>742</v>
      </c>
    </row>
    <row r="75">
      <c r="A75" s="23">
        <v>440286.0</v>
      </c>
      <c r="B75" s="270" t="s">
        <v>211</v>
      </c>
      <c r="C75" s="103" t="s">
        <v>1069</v>
      </c>
    </row>
    <row r="76">
      <c r="A76" s="23">
        <v>440604.0</v>
      </c>
      <c r="B76" s="270" t="s">
        <v>468</v>
      </c>
      <c r="C76" s="103" t="s">
        <v>834</v>
      </c>
    </row>
    <row r="77">
      <c r="A77" s="23">
        <v>440595.0</v>
      </c>
      <c r="B77" s="270" t="s">
        <v>468</v>
      </c>
      <c r="C77" s="103" t="s">
        <v>834</v>
      </c>
    </row>
    <row r="78">
      <c r="A78" s="23">
        <v>440374.0</v>
      </c>
      <c r="B78" s="270" t="s">
        <v>468</v>
      </c>
      <c r="C78" s="103" t="s">
        <v>838</v>
      </c>
    </row>
    <row r="79">
      <c r="A79" s="23">
        <v>440201.0</v>
      </c>
      <c r="B79" s="270" t="s">
        <v>845</v>
      </c>
      <c r="C79" s="103" t="s">
        <v>852</v>
      </c>
    </row>
    <row r="80">
      <c r="A80" s="23">
        <v>440104.0</v>
      </c>
      <c r="B80" s="270" t="s">
        <v>845</v>
      </c>
      <c r="C80" s="103" t="s">
        <v>855</v>
      </c>
    </row>
    <row r="81">
      <c r="A81" s="23">
        <v>440434.0</v>
      </c>
      <c r="B81" s="270" t="s">
        <v>933</v>
      </c>
      <c r="C81" s="103" t="s">
        <v>951</v>
      </c>
    </row>
    <row r="82">
      <c r="A82" s="23">
        <v>440350.0</v>
      </c>
      <c r="B82" s="270" t="s">
        <v>845</v>
      </c>
      <c r="C82" s="103" t="s">
        <v>858</v>
      </c>
    </row>
    <row r="83">
      <c r="A83" s="23">
        <v>440338.0</v>
      </c>
      <c r="B83" s="270" t="s">
        <v>211</v>
      </c>
      <c r="C83" s="103" t="s">
        <v>1071</v>
      </c>
    </row>
    <row r="84">
      <c r="A84" s="23">
        <v>440048.0</v>
      </c>
      <c r="B84" s="270" t="s">
        <v>845</v>
      </c>
      <c r="C84" s="103" t="s">
        <v>862</v>
      </c>
    </row>
    <row r="85">
      <c r="A85" s="23">
        <v>440406.0</v>
      </c>
      <c r="B85" s="270" t="s">
        <v>845</v>
      </c>
      <c r="C85" s="103" t="s">
        <v>867</v>
      </c>
    </row>
    <row r="86">
      <c r="A86" s="23">
        <v>440181.0</v>
      </c>
      <c r="B86" s="270" t="s">
        <v>211</v>
      </c>
      <c r="C86" s="103" t="s">
        <v>1855</v>
      </c>
    </row>
    <row r="87">
      <c r="A87" s="23">
        <v>441067.0</v>
      </c>
      <c r="B87" s="270" t="s">
        <v>971</v>
      </c>
      <c r="C87" s="103" t="s">
        <v>978</v>
      </c>
    </row>
    <row r="88">
      <c r="A88" s="23">
        <v>440125.0</v>
      </c>
      <c r="B88" s="270" t="s">
        <v>211</v>
      </c>
      <c r="C88" s="103" t="s">
        <v>1074</v>
      </c>
    </row>
    <row r="89">
      <c r="A89" s="23">
        <v>440108.0</v>
      </c>
      <c r="B89" s="270" t="s">
        <v>999</v>
      </c>
      <c r="C89" s="103" t="s">
        <v>998</v>
      </c>
    </row>
    <row r="90">
      <c r="A90" s="23">
        <v>440354.0</v>
      </c>
      <c r="B90" s="270" t="s">
        <v>468</v>
      </c>
      <c r="C90" s="103" t="s">
        <v>834</v>
      </c>
    </row>
    <row r="91">
      <c r="A91" s="23">
        <v>440442.0</v>
      </c>
      <c r="B91" s="270" t="s">
        <v>211</v>
      </c>
      <c r="C91" s="103" t="s">
        <v>1076</v>
      </c>
    </row>
    <row r="92">
      <c r="A92" s="23">
        <v>440430.0</v>
      </c>
      <c r="B92" s="270" t="s">
        <v>933</v>
      </c>
      <c r="C92" s="103" t="s">
        <v>955</v>
      </c>
    </row>
    <row r="93">
      <c r="A93" s="23">
        <v>440438.0</v>
      </c>
      <c r="B93" s="270" t="s">
        <v>211</v>
      </c>
      <c r="C93" s="103" t="s">
        <v>1076</v>
      </c>
    </row>
    <row r="94">
      <c r="A94" s="23">
        <v>440282.0</v>
      </c>
      <c r="B94" s="270" t="s">
        <v>211</v>
      </c>
      <c r="C94" s="103" t="s">
        <v>1076</v>
      </c>
    </row>
    <row r="95">
      <c r="A95" s="23">
        <v>440342.0</v>
      </c>
      <c r="B95" s="270" t="s">
        <v>845</v>
      </c>
      <c r="C95" s="103" t="s">
        <v>871</v>
      </c>
    </row>
    <row r="96">
      <c r="A96" s="23">
        <v>440378.0</v>
      </c>
      <c r="B96" s="270" t="s">
        <v>211</v>
      </c>
      <c r="C96" s="103" t="s">
        <v>1078</v>
      </c>
    </row>
    <row r="97">
      <c r="A97" s="23">
        <v>440306.0</v>
      </c>
      <c r="B97" s="270" t="s">
        <v>211</v>
      </c>
      <c r="C97" s="103" t="s">
        <v>1036</v>
      </c>
    </row>
    <row r="98">
      <c r="A98" s="23">
        <v>440161.0</v>
      </c>
      <c r="B98" s="270" t="s">
        <v>211</v>
      </c>
      <c r="C98" s="103" t="s">
        <v>1080</v>
      </c>
    </row>
    <row r="99">
      <c r="A99" s="23">
        <v>440616.0</v>
      </c>
      <c r="B99" s="270" t="s">
        <v>211</v>
      </c>
      <c r="C99" s="103" t="s">
        <v>1036</v>
      </c>
    </row>
    <row r="100">
      <c r="A100" s="23">
        <v>440358.0</v>
      </c>
      <c r="B100" s="270" t="s">
        <v>211</v>
      </c>
      <c r="C100" s="103" t="s">
        <v>1082</v>
      </c>
    </row>
    <row r="101">
      <c r="A101" s="23">
        <v>440029.0</v>
      </c>
      <c r="B101" s="270" t="s">
        <v>845</v>
      </c>
      <c r="C101" s="103" t="s">
        <v>875</v>
      </c>
    </row>
    <row r="102">
      <c r="A102" s="23">
        <v>440008.0</v>
      </c>
      <c r="B102" s="270" t="s">
        <v>845</v>
      </c>
      <c r="C102" s="103" t="s">
        <v>877</v>
      </c>
    </row>
    <row r="103">
      <c r="A103" s="23">
        <v>440193.0</v>
      </c>
      <c r="B103" s="270" t="s">
        <v>1101</v>
      </c>
      <c r="C103" s="103" t="s">
        <v>1860</v>
      </c>
    </row>
    <row r="104">
      <c r="A104" s="23">
        <v>440445.0</v>
      </c>
      <c r="B104" s="270" t="s">
        <v>211</v>
      </c>
      <c r="C104" s="103" t="s">
        <v>1036</v>
      </c>
    </row>
    <row r="105">
      <c r="A105" s="23">
        <v>440270.0</v>
      </c>
      <c r="B105" s="270" t="s">
        <v>211</v>
      </c>
      <c r="C105" s="103" t="s">
        <v>1084</v>
      </c>
    </row>
    <row r="106">
      <c r="A106" s="23">
        <v>440314.0</v>
      </c>
      <c r="B106" s="270" t="s">
        <v>211</v>
      </c>
      <c r="C106" s="103" t="s">
        <v>1084</v>
      </c>
    </row>
    <row r="107">
      <c r="A107" s="23">
        <v>440249.0</v>
      </c>
      <c r="B107" s="270" t="s">
        <v>211</v>
      </c>
      <c r="C107" s="103" t="s">
        <v>1086</v>
      </c>
    </row>
    <row r="108">
      <c r="A108" s="23">
        <v>440398.0</v>
      </c>
      <c r="B108" s="270" t="s">
        <v>211</v>
      </c>
      <c r="C108" s="103" t="s">
        <v>1088</v>
      </c>
    </row>
    <row r="109">
      <c r="A109" s="23">
        <v>440141.0</v>
      </c>
      <c r="B109" s="270" t="s">
        <v>211</v>
      </c>
      <c r="C109" s="103" t="s">
        <v>1090</v>
      </c>
    </row>
    <row r="110">
      <c r="A110" s="23">
        <v>440003.0</v>
      </c>
      <c r="B110" s="270" t="s">
        <v>211</v>
      </c>
      <c r="C110" s="103" t="s">
        <v>1092</v>
      </c>
    </row>
    <row r="111">
      <c r="A111" s="23">
        <v>440145.0</v>
      </c>
      <c r="B111" s="270" t="s">
        <v>211</v>
      </c>
      <c r="C111" s="103" t="s">
        <v>1094</v>
      </c>
    </row>
    <row r="112">
      <c r="A112" s="23">
        <v>440063.0</v>
      </c>
      <c r="B112" s="270" t="s">
        <v>1114</v>
      </c>
      <c r="C112" s="103" t="s">
        <v>1113</v>
      </c>
    </row>
    <row r="113">
      <c r="A113" s="23">
        <v>440266.0</v>
      </c>
      <c r="B113" s="270" t="s">
        <v>1101</v>
      </c>
      <c r="C113" s="103" t="s">
        <v>1104</v>
      </c>
    </row>
    <row r="114">
      <c r="A114" s="23">
        <v>440470.0</v>
      </c>
      <c r="B114" s="270" t="s">
        <v>1101</v>
      </c>
      <c r="C114" s="103" t="s">
        <v>790</v>
      </c>
    </row>
    <row r="115">
      <c r="A115" s="23">
        <v>440390.0</v>
      </c>
      <c r="B115" s="270" t="s">
        <v>1101</v>
      </c>
      <c r="C115" s="103" t="s">
        <v>1107</v>
      </c>
    </row>
    <row r="116">
      <c r="A116" s="23">
        <v>440262.0</v>
      </c>
      <c r="B116" s="270" t="s">
        <v>1101</v>
      </c>
      <c r="C116" s="103" t="s">
        <v>1109</v>
      </c>
    </row>
    <row r="117">
      <c r="A117" s="23">
        <v>440302.0</v>
      </c>
      <c r="B117" s="270" t="s">
        <v>1101</v>
      </c>
      <c r="C117" s="103" t="s">
        <v>1111</v>
      </c>
    </row>
    <row r="118">
      <c r="A118" s="23">
        <v>440362.0</v>
      </c>
      <c r="B118" s="270" t="s">
        <v>1114</v>
      </c>
      <c r="C118" s="103" t="s">
        <v>639</v>
      </c>
    </row>
    <row r="119">
      <c r="A119" s="23">
        <v>440386.0</v>
      </c>
      <c r="B119" s="270" t="s">
        <v>1114</v>
      </c>
      <c r="C119" s="103" t="s">
        <v>1116</v>
      </c>
    </row>
    <row r="120">
      <c r="A120" s="23">
        <v>440294.0</v>
      </c>
      <c r="B120" s="270" t="s">
        <v>1114</v>
      </c>
      <c r="C120" s="103" t="s">
        <v>1118</v>
      </c>
    </row>
    <row r="121">
      <c r="A121" s="23">
        <v>440084.0</v>
      </c>
      <c r="B121" s="270" t="s">
        <v>211</v>
      </c>
      <c r="C121" s="103" t="s">
        <v>1096</v>
      </c>
    </row>
    <row r="122">
      <c r="A122" s="23">
        <v>440157.0</v>
      </c>
      <c r="B122" s="270" t="s">
        <v>468</v>
      </c>
      <c r="C122" s="103" t="s">
        <v>749</v>
      </c>
    </row>
    <row r="123">
      <c r="A123" s="23">
        <v>440410.0</v>
      </c>
      <c r="B123" s="270" t="s">
        <v>211</v>
      </c>
      <c r="C123" s="103" t="s">
        <v>1098</v>
      </c>
    </row>
    <row r="124">
      <c r="B124" s="27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0.86"/>
    <col customWidth="1" min="5" max="5" width="16.14"/>
    <col customWidth="1" hidden="1" min="6" max="6" width="6.57"/>
  </cols>
  <sheetData>
    <row r="1">
      <c r="A1" s="18" t="s">
        <v>52</v>
      </c>
      <c r="B1" s="18" t="s">
        <v>2404</v>
      </c>
    </row>
    <row r="2">
      <c r="A2" s="18" t="s">
        <v>56</v>
      </c>
      <c r="B2" s="18" t="s">
        <v>2405</v>
      </c>
      <c r="D2" s="271" t="s">
        <v>2406</v>
      </c>
      <c r="E2" s="271" t="s">
        <v>2407</v>
      </c>
      <c r="F2" s="24" t="s">
        <v>2408</v>
      </c>
    </row>
    <row r="3">
      <c r="A3" s="18" t="s">
        <v>61</v>
      </c>
      <c r="B3" s="18" t="s">
        <v>2409</v>
      </c>
      <c r="D3" s="271">
        <v>1.0</v>
      </c>
      <c r="E3" s="271">
        <v>2222.0</v>
      </c>
      <c r="F3" s="24">
        <v>12.0</v>
      </c>
    </row>
    <row r="4">
      <c r="A4" s="18" t="s">
        <v>63</v>
      </c>
      <c r="B4" s="18" t="s">
        <v>2410</v>
      </c>
      <c r="D4" s="271">
        <v>2.0</v>
      </c>
      <c r="E4" s="271">
        <v>2333.0</v>
      </c>
      <c r="F4" s="24">
        <v>10.0</v>
      </c>
    </row>
    <row r="5">
      <c r="A5" s="265"/>
      <c r="B5" s="265"/>
      <c r="D5" s="271">
        <v>3.0</v>
      </c>
      <c r="E5" s="271">
        <v>2345.0</v>
      </c>
      <c r="F5" s="24">
        <v>9.0</v>
      </c>
    </row>
    <row r="6">
      <c r="A6" s="18" t="s">
        <v>2411</v>
      </c>
      <c r="B6" s="265"/>
    </row>
    <row r="7">
      <c r="A7" s="18" t="s">
        <v>65</v>
      </c>
      <c r="B7" s="18" t="s">
        <v>2412</v>
      </c>
    </row>
    <row r="8">
      <c r="A8" s="18" t="s">
        <v>2413</v>
      </c>
      <c r="B8" s="18" t="s">
        <v>2414</v>
      </c>
    </row>
    <row r="9">
      <c r="A9" s="18" t="s">
        <v>2415</v>
      </c>
      <c r="B9" s="18" t="s">
        <v>2416</v>
      </c>
      <c r="E9" s="23" t="s">
        <v>2417</v>
      </c>
      <c r="G9" s="23" t="s">
        <v>2418</v>
      </c>
    </row>
    <row r="11">
      <c r="E11" s="23" t="s">
        <v>2419</v>
      </c>
      <c r="G11" s="23" t="s">
        <v>1797</v>
      </c>
      <c r="H11" s="23" t="s">
        <v>2420</v>
      </c>
      <c r="I11" s="23" t="s">
        <v>2421</v>
      </c>
    </row>
    <row r="12">
      <c r="A12" s="23" t="s">
        <v>2422</v>
      </c>
      <c r="E12" s="23" t="s">
        <v>2423</v>
      </c>
      <c r="G12" s="23" t="s">
        <v>101</v>
      </c>
      <c r="H12" s="23">
        <v>9983.0</v>
      </c>
      <c r="I12" s="23">
        <v>2.0</v>
      </c>
    </row>
    <row r="13">
      <c r="A13" s="23" t="s">
        <v>2424</v>
      </c>
      <c r="B13" s="23" t="s">
        <v>101</v>
      </c>
      <c r="C13" s="23"/>
      <c r="E13" s="23" t="s">
        <v>2423</v>
      </c>
      <c r="G13" s="23" t="s">
        <v>101</v>
      </c>
      <c r="H13" s="23">
        <v>9981.0</v>
      </c>
      <c r="I13" s="23">
        <v>1.0</v>
      </c>
    </row>
    <row r="14">
      <c r="A14" s="24" t="s">
        <v>2425</v>
      </c>
      <c r="B14" s="24" t="s">
        <v>2426</v>
      </c>
      <c r="C14" s="24" t="s">
        <v>2427</v>
      </c>
      <c r="E14" s="23" t="s">
        <v>2428</v>
      </c>
      <c r="G14" s="23" t="s">
        <v>101</v>
      </c>
      <c r="H14" s="23">
        <v>9985.0</v>
      </c>
      <c r="I14" s="23">
        <v>1.0</v>
      </c>
      <c r="J14" s="23" t="s">
        <v>2429</v>
      </c>
    </row>
    <row r="15">
      <c r="A15" s="271">
        <v>2222.0</v>
      </c>
      <c r="B15" s="23">
        <v>3.0</v>
      </c>
      <c r="C15" s="23">
        <v>2.0</v>
      </c>
      <c r="E15" s="23" t="s">
        <v>2430</v>
      </c>
      <c r="G15" s="23" t="s">
        <v>2431</v>
      </c>
      <c r="J15" s="23" t="s">
        <v>2432</v>
      </c>
    </row>
    <row r="16">
      <c r="A16" s="271">
        <v>2333.0</v>
      </c>
      <c r="B16" s="23">
        <v>5.0</v>
      </c>
      <c r="C16" s="23">
        <v>1.0</v>
      </c>
      <c r="E16" s="23" t="s">
        <v>2433</v>
      </c>
      <c r="G16" s="23" t="s">
        <v>101</v>
      </c>
      <c r="H16" s="23">
        <v>9985.0</v>
      </c>
      <c r="I16" s="23">
        <v>1.0</v>
      </c>
      <c r="J16" s="23" t="s">
        <v>2429</v>
      </c>
    </row>
    <row r="17">
      <c r="A17" s="271">
        <v>2345.0</v>
      </c>
      <c r="B17" s="23">
        <v>1.0</v>
      </c>
      <c r="C17" s="23">
        <v>3.0</v>
      </c>
    </row>
    <row r="19">
      <c r="A19" s="272" t="s">
        <v>2434</v>
      </c>
      <c r="C19" s="23" t="s">
        <v>2427</v>
      </c>
    </row>
    <row r="20">
      <c r="A20" s="271">
        <v>2222.0</v>
      </c>
      <c r="B20" s="23">
        <v>2.0</v>
      </c>
      <c r="C20" s="23">
        <v>2.0</v>
      </c>
    </row>
    <row r="21">
      <c r="A21" s="271">
        <v>2333.0</v>
      </c>
      <c r="B21" s="23">
        <v>3.0</v>
      </c>
      <c r="C21" s="23">
        <v>1.0</v>
      </c>
    </row>
    <row r="22">
      <c r="A22" s="271">
        <v>2345.0</v>
      </c>
      <c r="B22" s="23">
        <v>1.0</v>
      </c>
      <c r="C22" s="23">
        <v>3.0</v>
      </c>
    </row>
    <row r="24">
      <c r="A24" s="23" t="s">
        <v>2435</v>
      </c>
      <c r="C24" s="23" t="s">
        <v>2436</v>
      </c>
    </row>
    <row r="25">
      <c r="A25" s="24">
        <v>2222.0</v>
      </c>
      <c r="B25" s="23">
        <v>3.0</v>
      </c>
      <c r="C25" s="23">
        <v>1.0</v>
      </c>
    </row>
    <row r="26">
      <c r="A26" s="23">
        <v>2334.0</v>
      </c>
      <c r="B26" s="23">
        <v>1.0</v>
      </c>
      <c r="C26" s="23">
        <v>1.0</v>
      </c>
    </row>
    <row r="28">
      <c r="A28" s="23" t="s">
        <v>2437</v>
      </c>
      <c r="C28" s="23" t="s">
        <v>2436</v>
      </c>
    </row>
    <row r="29">
      <c r="A29" s="23">
        <v>2346.0</v>
      </c>
      <c r="B29" s="23">
        <v>3.0</v>
      </c>
      <c r="C29" s="23">
        <v>1.0</v>
      </c>
    </row>
    <row r="30">
      <c r="A30" s="23">
        <v>2334.0</v>
      </c>
      <c r="B30" s="23">
        <v>1.0</v>
      </c>
      <c r="C30" s="23">
        <v>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14"/>
    <col customWidth="1" min="3" max="3" width="26.43"/>
  </cols>
  <sheetData>
    <row r="2">
      <c r="B2" s="273" t="s">
        <v>2438</v>
      </c>
      <c r="C2" s="273" t="s">
        <v>2439</v>
      </c>
    </row>
    <row r="3">
      <c r="B3" s="273" t="s">
        <v>2440</v>
      </c>
      <c r="C3" s="273" t="s">
        <v>2441</v>
      </c>
    </row>
    <row r="4">
      <c r="B4" s="273" t="s">
        <v>2442</v>
      </c>
      <c r="C4" s="273" t="s">
        <v>2443</v>
      </c>
    </row>
    <row r="5">
      <c r="B5" s="273" t="s">
        <v>2444</v>
      </c>
      <c r="C5" s="273" t="s">
        <v>2445</v>
      </c>
    </row>
    <row r="6">
      <c r="B6" s="273" t="s">
        <v>2446</v>
      </c>
      <c r="C6" s="273" t="s">
        <v>2447</v>
      </c>
    </row>
    <row r="7">
      <c r="B7" s="273" t="s">
        <v>2448</v>
      </c>
      <c r="C7" s="273" t="s">
        <v>2449</v>
      </c>
    </row>
    <row r="8">
      <c r="B8" s="273" t="s">
        <v>2450</v>
      </c>
      <c r="C8" s="273" t="s">
        <v>2451</v>
      </c>
    </row>
    <row r="9">
      <c r="B9" s="273" t="s">
        <v>2452</v>
      </c>
      <c r="C9" s="273" t="s">
        <v>2453</v>
      </c>
    </row>
    <row r="10">
      <c r="B10" s="273" t="s">
        <v>2454</v>
      </c>
      <c r="C10" s="273" t="s">
        <v>2455</v>
      </c>
    </row>
    <row r="11">
      <c r="B11" s="273" t="s">
        <v>2456</v>
      </c>
      <c r="C11" s="273" t="s">
        <v>2457</v>
      </c>
    </row>
    <row r="12">
      <c r="B12" s="273" t="s">
        <v>2458</v>
      </c>
      <c r="C12" s="273" t="s">
        <v>2459</v>
      </c>
    </row>
    <row r="13">
      <c r="B13" s="273" t="s">
        <v>2460</v>
      </c>
      <c r="C13" s="273" t="s">
        <v>2461</v>
      </c>
    </row>
    <row r="14">
      <c r="B14" s="273" t="s">
        <v>2462</v>
      </c>
      <c r="C14" s="273" t="s">
        <v>2463</v>
      </c>
    </row>
    <row r="15">
      <c r="B15" s="273" t="s">
        <v>2464</v>
      </c>
      <c r="C15" s="273" t="s">
        <v>2465</v>
      </c>
    </row>
    <row r="16">
      <c r="B16" s="273" t="s">
        <v>2466</v>
      </c>
      <c r="C16" s="273" t="s">
        <v>2467</v>
      </c>
    </row>
    <row r="17">
      <c r="B17" s="273" t="s">
        <v>2468</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52" t="s">
        <v>2469</v>
      </c>
    </row>
  </sheetData>
  <hyperlinks>
    <hyperlink r:id="rId1" ref="B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1"/>
    <col customWidth="1" min="2" max="2" width="112.43"/>
    <col customWidth="1" min="3" max="3" width="7.43"/>
  </cols>
  <sheetData>
    <row r="1">
      <c r="A1" s="274" t="s">
        <v>2034</v>
      </c>
      <c r="B1" s="274" t="s">
        <v>2470</v>
      </c>
      <c r="C1" s="274" t="s">
        <v>1892</v>
      </c>
      <c r="D1" s="275"/>
      <c r="E1" s="275"/>
      <c r="F1" s="275"/>
      <c r="G1" s="275"/>
      <c r="H1" s="275"/>
      <c r="I1" s="275"/>
      <c r="J1" s="275"/>
      <c r="K1" s="275"/>
      <c r="L1" s="275"/>
      <c r="M1" s="275"/>
      <c r="N1" s="275"/>
      <c r="O1" s="275"/>
      <c r="P1" s="275"/>
      <c r="Q1" s="275"/>
      <c r="R1" s="275"/>
      <c r="S1" s="275"/>
      <c r="T1" s="275"/>
      <c r="U1" s="275"/>
      <c r="V1" s="275"/>
      <c r="W1" s="275"/>
      <c r="X1" s="275"/>
      <c r="Y1" s="275"/>
      <c r="Z1" s="275"/>
    </row>
    <row r="2">
      <c r="A2" s="274" t="s">
        <v>2471</v>
      </c>
      <c r="B2" s="276" t="s">
        <v>2472</v>
      </c>
      <c r="C2" s="274">
        <v>1001.0</v>
      </c>
      <c r="D2" s="275"/>
      <c r="E2" s="275"/>
      <c r="F2" s="275"/>
      <c r="G2" s="275"/>
      <c r="H2" s="275"/>
      <c r="I2" s="275"/>
      <c r="J2" s="275"/>
      <c r="K2" s="275"/>
      <c r="L2" s="275"/>
      <c r="M2" s="275"/>
      <c r="N2" s="275"/>
      <c r="O2" s="275"/>
      <c r="P2" s="275"/>
      <c r="Q2" s="275"/>
      <c r="R2" s="275"/>
      <c r="S2" s="275"/>
      <c r="T2" s="275"/>
      <c r="U2" s="275"/>
      <c r="V2" s="275"/>
      <c r="W2" s="275"/>
      <c r="X2" s="275"/>
      <c r="Y2" s="275"/>
      <c r="Z2" s="275"/>
    </row>
    <row r="3">
      <c r="B3" s="276" t="s">
        <v>2473</v>
      </c>
      <c r="C3" s="274">
        <v>1002.0</v>
      </c>
      <c r="D3" s="275"/>
      <c r="E3" s="275"/>
      <c r="F3" s="275"/>
      <c r="G3" s="275"/>
      <c r="H3" s="275"/>
      <c r="I3" s="275"/>
      <c r="J3" s="275"/>
      <c r="K3" s="275"/>
      <c r="L3" s="275"/>
      <c r="M3" s="275"/>
      <c r="N3" s="275"/>
      <c r="O3" s="275"/>
      <c r="P3" s="275"/>
      <c r="Q3" s="275"/>
      <c r="R3" s="275"/>
      <c r="S3" s="275"/>
      <c r="T3" s="275"/>
      <c r="U3" s="275"/>
      <c r="V3" s="275"/>
      <c r="W3" s="275"/>
      <c r="X3" s="275"/>
      <c r="Y3" s="275"/>
      <c r="Z3" s="275"/>
    </row>
    <row r="4">
      <c r="B4" s="276" t="s">
        <v>2474</v>
      </c>
      <c r="C4" s="274">
        <v>1003.0</v>
      </c>
      <c r="D4" s="275"/>
      <c r="E4" s="275"/>
      <c r="F4" s="275"/>
      <c r="G4" s="275"/>
      <c r="H4" s="275"/>
      <c r="I4" s="275"/>
      <c r="J4" s="275"/>
      <c r="K4" s="275"/>
      <c r="L4" s="275"/>
      <c r="M4" s="275"/>
      <c r="N4" s="275"/>
      <c r="O4" s="275"/>
      <c r="P4" s="275"/>
      <c r="Q4" s="275"/>
      <c r="R4" s="275"/>
      <c r="S4" s="275"/>
      <c r="T4" s="275"/>
      <c r="U4" s="275"/>
      <c r="V4" s="275"/>
      <c r="W4" s="275"/>
      <c r="X4" s="275"/>
      <c r="Y4" s="275"/>
      <c r="Z4" s="275"/>
    </row>
    <row r="5">
      <c r="B5" s="276" t="s">
        <v>2475</v>
      </c>
      <c r="C5" s="274">
        <v>1004.0</v>
      </c>
      <c r="D5" s="275"/>
      <c r="E5" s="275"/>
      <c r="F5" s="275"/>
      <c r="G5" s="275"/>
      <c r="H5" s="275"/>
      <c r="I5" s="275"/>
      <c r="J5" s="275"/>
      <c r="K5" s="275"/>
      <c r="L5" s="275"/>
      <c r="M5" s="275"/>
      <c r="N5" s="275"/>
      <c r="O5" s="275"/>
      <c r="P5" s="275"/>
      <c r="Q5" s="275"/>
      <c r="R5" s="275"/>
      <c r="S5" s="275"/>
      <c r="T5" s="275"/>
      <c r="U5" s="275"/>
      <c r="V5" s="275"/>
      <c r="W5" s="275"/>
      <c r="X5" s="275"/>
      <c r="Y5" s="275"/>
      <c r="Z5" s="275"/>
    </row>
    <row r="6">
      <c r="B6" s="276" t="s">
        <v>2476</v>
      </c>
      <c r="C6" s="274">
        <v>1005.0</v>
      </c>
      <c r="D6" s="275"/>
      <c r="E6" s="275"/>
      <c r="F6" s="275"/>
      <c r="G6" s="275"/>
      <c r="H6" s="275"/>
      <c r="I6" s="275"/>
      <c r="J6" s="275"/>
      <c r="K6" s="275"/>
      <c r="L6" s="275"/>
      <c r="M6" s="275"/>
      <c r="N6" s="275"/>
      <c r="O6" s="275"/>
      <c r="P6" s="275"/>
      <c r="Q6" s="275"/>
      <c r="R6" s="275"/>
      <c r="S6" s="275"/>
      <c r="T6" s="275"/>
      <c r="U6" s="275"/>
      <c r="V6" s="275"/>
      <c r="W6" s="275"/>
      <c r="X6" s="275"/>
      <c r="Y6" s="275"/>
      <c r="Z6" s="275"/>
    </row>
    <row r="7">
      <c r="B7" s="276" t="s">
        <v>2477</v>
      </c>
      <c r="C7" s="274">
        <v>1006.0</v>
      </c>
      <c r="D7" s="275"/>
      <c r="E7" s="275"/>
      <c r="F7" s="275"/>
      <c r="G7" s="275"/>
      <c r="H7" s="275"/>
      <c r="I7" s="275"/>
      <c r="J7" s="275"/>
      <c r="K7" s="275"/>
      <c r="L7" s="275"/>
      <c r="M7" s="275"/>
      <c r="N7" s="275"/>
      <c r="O7" s="275"/>
      <c r="P7" s="275"/>
      <c r="Q7" s="275"/>
      <c r="R7" s="275"/>
      <c r="S7" s="275"/>
      <c r="T7" s="275"/>
      <c r="U7" s="275"/>
      <c r="V7" s="275"/>
      <c r="W7" s="275"/>
      <c r="X7" s="275"/>
      <c r="Y7" s="275"/>
      <c r="Z7" s="275"/>
    </row>
    <row r="8">
      <c r="B8" s="276" t="s">
        <v>2478</v>
      </c>
      <c r="C8" s="274">
        <v>1007.0</v>
      </c>
      <c r="D8" s="275"/>
      <c r="E8" s="275"/>
      <c r="F8" s="275"/>
      <c r="G8" s="275"/>
      <c r="H8" s="275"/>
      <c r="I8" s="275"/>
      <c r="J8" s="275"/>
      <c r="K8" s="275"/>
      <c r="L8" s="275"/>
      <c r="M8" s="275"/>
      <c r="N8" s="275"/>
      <c r="O8" s="275"/>
      <c r="P8" s="275"/>
      <c r="Q8" s="275"/>
      <c r="R8" s="275"/>
      <c r="S8" s="275"/>
      <c r="T8" s="275"/>
      <c r="U8" s="275"/>
      <c r="V8" s="275"/>
      <c r="W8" s="275"/>
      <c r="X8" s="275"/>
      <c r="Y8" s="275"/>
      <c r="Z8" s="275"/>
    </row>
    <row r="9">
      <c r="B9" s="276" t="s">
        <v>2479</v>
      </c>
      <c r="C9" s="274">
        <v>1008.0</v>
      </c>
      <c r="D9" s="275"/>
      <c r="E9" s="275"/>
      <c r="F9" s="275"/>
      <c r="G9" s="275"/>
      <c r="H9" s="275"/>
      <c r="I9" s="275"/>
      <c r="J9" s="275"/>
      <c r="K9" s="275"/>
      <c r="L9" s="275"/>
      <c r="M9" s="275"/>
      <c r="N9" s="275"/>
      <c r="O9" s="275"/>
      <c r="P9" s="275"/>
      <c r="Q9" s="275"/>
      <c r="R9" s="275"/>
      <c r="S9" s="275"/>
      <c r="T9" s="275"/>
      <c r="U9" s="275"/>
      <c r="V9" s="275"/>
      <c r="W9" s="275"/>
      <c r="X9" s="275"/>
      <c r="Y9" s="275"/>
      <c r="Z9" s="275"/>
    </row>
    <row r="10">
      <c r="B10" s="276" t="s">
        <v>2480</v>
      </c>
      <c r="C10" s="274">
        <v>1009.0</v>
      </c>
      <c r="D10" s="275"/>
      <c r="E10" s="275"/>
      <c r="F10" s="275"/>
      <c r="G10" s="275"/>
      <c r="H10" s="275"/>
      <c r="I10" s="275"/>
      <c r="J10" s="275"/>
      <c r="K10" s="275"/>
      <c r="L10" s="275"/>
      <c r="M10" s="275"/>
      <c r="N10" s="275"/>
      <c r="O10" s="275"/>
      <c r="P10" s="275"/>
      <c r="Q10" s="275"/>
      <c r="R10" s="275"/>
      <c r="S10" s="275"/>
      <c r="T10" s="275"/>
      <c r="U10" s="275"/>
      <c r="V10" s="275"/>
      <c r="W10" s="275"/>
      <c r="X10" s="275"/>
      <c r="Y10" s="275"/>
      <c r="Z10" s="275"/>
    </row>
    <row r="11">
      <c r="B11" s="276" t="s">
        <v>2481</v>
      </c>
      <c r="C11" s="274">
        <v>1010.0</v>
      </c>
      <c r="D11" s="275"/>
      <c r="E11" s="275"/>
      <c r="F11" s="275"/>
      <c r="G11" s="275"/>
      <c r="H11" s="275"/>
      <c r="I11" s="275"/>
      <c r="J11" s="275"/>
      <c r="K11" s="275"/>
      <c r="L11" s="275"/>
      <c r="M11" s="275"/>
      <c r="N11" s="275"/>
      <c r="O11" s="275"/>
      <c r="P11" s="275"/>
      <c r="Q11" s="275"/>
      <c r="R11" s="275"/>
      <c r="S11" s="275"/>
      <c r="T11" s="275"/>
      <c r="U11" s="275"/>
      <c r="V11" s="275"/>
      <c r="W11" s="275"/>
      <c r="X11" s="275"/>
      <c r="Y11" s="275"/>
      <c r="Z11" s="275"/>
    </row>
    <row r="12">
      <c r="B12" s="276" t="s">
        <v>2482</v>
      </c>
      <c r="C12" s="274">
        <v>1011.0</v>
      </c>
      <c r="D12" s="275"/>
      <c r="E12" s="275"/>
      <c r="F12" s="275"/>
      <c r="G12" s="275"/>
      <c r="H12" s="275"/>
      <c r="I12" s="275"/>
      <c r="J12" s="275"/>
      <c r="K12" s="275"/>
      <c r="L12" s="275"/>
      <c r="M12" s="275"/>
      <c r="N12" s="275"/>
      <c r="O12" s="275"/>
      <c r="P12" s="275"/>
      <c r="Q12" s="275"/>
      <c r="R12" s="275"/>
      <c r="S12" s="275"/>
      <c r="T12" s="275"/>
      <c r="U12" s="275"/>
      <c r="V12" s="275"/>
      <c r="W12" s="275"/>
      <c r="X12" s="275"/>
      <c r="Y12" s="275"/>
      <c r="Z12" s="275"/>
    </row>
    <row r="13">
      <c r="B13" s="276" t="s">
        <v>2483</v>
      </c>
      <c r="C13" s="274">
        <v>1012.0</v>
      </c>
      <c r="D13" s="275"/>
      <c r="E13" s="275"/>
      <c r="F13" s="275"/>
      <c r="G13" s="275"/>
      <c r="H13" s="275"/>
      <c r="I13" s="275"/>
      <c r="J13" s="275"/>
      <c r="K13" s="275"/>
      <c r="L13" s="275"/>
      <c r="M13" s="275"/>
      <c r="N13" s="275"/>
      <c r="O13" s="275"/>
      <c r="P13" s="275"/>
      <c r="Q13" s="275"/>
      <c r="R13" s="275"/>
      <c r="S13" s="275"/>
      <c r="T13" s="275"/>
      <c r="U13" s="275"/>
      <c r="V13" s="275"/>
      <c r="W13" s="275"/>
      <c r="X13" s="275"/>
      <c r="Y13" s="275"/>
      <c r="Z13" s="275"/>
    </row>
    <row r="14">
      <c r="B14" s="276" t="s">
        <v>2484</v>
      </c>
      <c r="C14" s="274">
        <v>1013.0</v>
      </c>
      <c r="D14" s="275"/>
      <c r="E14" s="275"/>
      <c r="F14" s="275"/>
      <c r="G14" s="275"/>
      <c r="H14" s="275"/>
      <c r="I14" s="275"/>
      <c r="J14" s="275"/>
      <c r="K14" s="275"/>
      <c r="L14" s="275"/>
      <c r="M14" s="275"/>
      <c r="N14" s="275"/>
      <c r="O14" s="275"/>
      <c r="P14" s="275"/>
      <c r="Q14" s="275"/>
      <c r="R14" s="275"/>
      <c r="S14" s="275"/>
      <c r="T14" s="275"/>
      <c r="U14" s="275"/>
      <c r="V14" s="275"/>
      <c r="W14" s="275"/>
      <c r="X14" s="275"/>
      <c r="Y14" s="275"/>
      <c r="Z14" s="275"/>
    </row>
    <row r="15">
      <c r="B15" s="276" t="s">
        <v>2485</v>
      </c>
      <c r="C15" s="274">
        <v>1014.0</v>
      </c>
      <c r="D15" s="275"/>
      <c r="E15" s="275"/>
      <c r="F15" s="275"/>
      <c r="G15" s="275"/>
      <c r="H15" s="275"/>
      <c r="I15" s="275"/>
      <c r="J15" s="275"/>
      <c r="K15" s="275"/>
      <c r="L15" s="275"/>
      <c r="M15" s="275"/>
      <c r="N15" s="275"/>
      <c r="O15" s="275"/>
      <c r="P15" s="275"/>
      <c r="Q15" s="275"/>
      <c r="R15" s="275"/>
      <c r="S15" s="275"/>
      <c r="T15" s="275"/>
      <c r="U15" s="275"/>
      <c r="V15" s="275"/>
      <c r="W15" s="275"/>
      <c r="X15" s="275"/>
      <c r="Y15" s="275"/>
      <c r="Z15" s="275"/>
    </row>
    <row r="16">
      <c r="B16" s="276" t="s">
        <v>2486</v>
      </c>
      <c r="C16" s="274">
        <v>1015.0</v>
      </c>
      <c r="D16" s="275"/>
      <c r="E16" s="275"/>
      <c r="F16" s="275"/>
      <c r="G16" s="275"/>
      <c r="H16" s="275"/>
      <c r="I16" s="275"/>
      <c r="J16" s="275"/>
      <c r="K16" s="275"/>
      <c r="L16" s="275"/>
      <c r="M16" s="275"/>
      <c r="N16" s="275"/>
      <c r="O16" s="275"/>
      <c r="P16" s="275"/>
      <c r="Q16" s="275"/>
      <c r="R16" s="275"/>
      <c r="S16" s="275"/>
      <c r="T16" s="275"/>
      <c r="U16" s="275"/>
      <c r="V16" s="275"/>
      <c r="W16" s="275"/>
      <c r="X16" s="275"/>
      <c r="Y16" s="275"/>
      <c r="Z16" s="275"/>
    </row>
    <row r="17">
      <c r="B17" s="276" t="s">
        <v>2487</v>
      </c>
      <c r="C17" s="274">
        <v>1016.0</v>
      </c>
      <c r="D17" s="275"/>
      <c r="E17" s="275"/>
      <c r="F17" s="275"/>
      <c r="G17" s="275"/>
      <c r="H17" s="275"/>
      <c r="I17" s="275"/>
      <c r="J17" s="275"/>
      <c r="K17" s="275"/>
      <c r="L17" s="275"/>
      <c r="M17" s="275"/>
      <c r="N17" s="275"/>
      <c r="O17" s="275"/>
      <c r="P17" s="275"/>
      <c r="Q17" s="275"/>
      <c r="R17" s="275"/>
      <c r="S17" s="275"/>
      <c r="T17" s="275"/>
      <c r="U17" s="275"/>
      <c r="V17" s="275"/>
      <c r="W17" s="275"/>
      <c r="X17" s="275"/>
      <c r="Y17" s="275"/>
      <c r="Z17" s="275"/>
    </row>
    <row r="18">
      <c r="B18" s="276" t="s">
        <v>2488</v>
      </c>
      <c r="C18" s="274">
        <v>1017.0</v>
      </c>
      <c r="D18" s="275"/>
      <c r="E18" s="275"/>
      <c r="F18" s="275"/>
      <c r="G18" s="275"/>
      <c r="H18" s="275"/>
      <c r="I18" s="275"/>
      <c r="J18" s="275"/>
      <c r="K18" s="275"/>
      <c r="L18" s="275"/>
      <c r="M18" s="275"/>
      <c r="N18" s="275"/>
      <c r="O18" s="275"/>
      <c r="P18" s="275"/>
      <c r="Q18" s="275"/>
      <c r="R18" s="275"/>
      <c r="S18" s="275"/>
      <c r="T18" s="275"/>
      <c r="U18" s="275"/>
      <c r="V18" s="275"/>
      <c r="W18" s="275"/>
      <c r="X18" s="275"/>
      <c r="Y18" s="275"/>
      <c r="Z18" s="275"/>
    </row>
    <row r="19">
      <c r="B19" s="276" t="s">
        <v>2489</v>
      </c>
      <c r="C19" s="274">
        <v>1018.0</v>
      </c>
      <c r="D19" s="275"/>
      <c r="E19" s="275"/>
      <c r="F19" s="275"/>
      <c r="G19" s="275"/>
      <c r="H19" s="275"/>
      <c r="I19" s="275"/>
      <c r="J19" s="275"/>
      <c r="K19" s="275"/>
      <c r="L19" s="275"/>
      <c r="M19" s="275"/>
      <c r="N19" s="275"/>
      <c r="O19" s="275"/>
      <c r="P19" s="275"/>
      <c r="Q19" s="275"/>
      <c r="R19" s="275"/>
      <c r="S19" s="275"/>
      <c r="T19" s="275"/>
      <c r="U19" s="275"/>
      <c r="V19" s="275"/>
      <c r="W19" s="275"/>
      <c r="X19" s="275"/>
      <c r="Y19" s="275"/>
      <c r="Z19" s="275"/>
    </row>
    <row r="20">
      <c r="A20" s="277"/>
      <c r="B20" s="277"/>
      <c r="C20" s="277"/>
      <c r="D20" s="275"/>
      <c r="E20" s="275"/>
      <c r="F20" s="275"/>
      <c r="G20" s="275"/>
      <c r="H20" s="275"/>
      <c r="I20" s="275"/>
      <c r="J20" s="275"/>
      <c r="K20" s="275"/>
      <c r="L20" s="275"/>
      <c r="M20" s="275"/>
      <c r="N20" s="275"/>
      <c r="O20" s="275"/>
      <c r="P20" s="275"/>
      <c r="Q20" s="275"/>
      <c r="R20" s="275"/>
      <c r="S20" s="275"/>
      <c r="T20" s="275"/>
      <c r="U20" s="275"/>
      <c r="V20" s="275"/>
      <c r="W20" s="275"/>
      <c r="X20" s="275"/>
      <c r="Y20" s="275"/>
      <c r="Z20" s="275"/>
    </row>
    <row r="21">
      <c r="A21" s="274" t="s">
        <v>2490</v>
      </c>
      <c r="B21" s="276" t="s">
        <v>2491</v>
      </c>
      <c r="C21" s="274">
        <v>2001.0</v>
      </c>
      <c r="D21" s="275"/>
      <c r="E21" s="275"/>
      <c r="F21" s="275"/>
      <c r="G21" s="275"/>
      <c r="H21" s="275"/>
      <c r="I21" s="275"/>
      <c r="J21" s="275"/>
      <c r="K21" s="275"/>
      <c r="L21" s="275"/>
      <c r="M21" s="275"/>
      <c r="N21" s="275"/>
      <c r="O21" s="275"/>
      <c r="P21" s="275"/>
      <c r="Q21" s="275"/>
      <c r="R21" s="275"/>
      <c r="S21" s="275"/>
      <c r="T21" s="275"/>
      <c r="U21" s="275"/>
      <c r="V21" s="275"/>
      <c r="W21" s="275"/>
      <c r="X21" s="275"/>
      <c r="Y21" s="275"/>
      <c r="Z21" s="275"/>
    </row>
    <row r="22">
      <c r="B22" s="276" t="s">
        <v>2492</v>
      </c>
      <c r="C22" s="274">
        <v>2002.0</v>
      </c>
      <c r="D22" s="275"/>
      <c r="E22" s="275"/>
      <c r="F22" s="275"/>
      <c r="G22" s="275"/>
      <c r="H22" s="275"/>
      <c r="I22" s="275"/>
      <c r="J22" s="275"/>
      <c r="K22" s="275"/>
      <c r="L22" s="275"/>
      <c r="M22" s="275"/>
      <c r="N22" s="275"/>
      <c r="O22" s="275"/>
      <c r="P22" s="275"/>
      <c r="Q22" s="275"/>
      <c r="R22" s="275"/>
      <c r="S22" s="275"/>
      <c r="T22" s="275"/>
      <c r="U22" s="275"/>
      <c r="V22" s="275"/>
      <c r="W22" s="275"/>
      <c r="X22" s="275"/>
      <c r="Y22" s="275"/>
      <c r="Z22" s="275"/>
    </row>
    <row r="23">
      <c r="B23" s="276" t="s">
        <v>2493</v>
      </c>
      <c r="C23" s="274">
        <v>2003.0</v>
      </c>
      <c r="D23" s="275"/>
      <c r="E23" s="275"/>
      <c r="F23" s="275"/>
      <c r="G23" s="275"/>
      <c r="H23" s="275"/>
      <c r="I23" s="275"/>
      <c r="J23" s="275"/>
      <c r="K23" s="275"/>
      <c r="L23" s="275"/>
      <c r="M23" s="275"/>
      <c r="N23" s="275"/>
      <c r="O23" s="275"/>
      <c r="P23" s="275"/>
      <c r="Q23" s="275"/>
      <c r="R23" s="275"/>
      <c r="S23" s="275"/>
      <c r="T23" s="275"/>
      <c r="U23" s="275"/>
      <c r="V23" s="275"/>
      <c r="W23" s="275"/>
      <c r="X23" s="275"/>
      <c r="Y23" s="275"/>
      <c r="Z23" s="275"/>
    </row>
    <row r="24">
      <c r="B24" s="276" t="s">
        <v>2494</v>
      </c>
      <c r="C24" s="274">
        <v>2004.0</v>
      </c>
      <c r="D24" s="275"/>
      <c r="E24" s="275"/>
      <c r="F24" s="275"/>
      <c r="G24" s="275"/>
      <c r="H24" s="275"/>
      <c r="I24" s="275"/>
      <c r="J24" s="275"/>
      <c r="K24" s="275"/>
      <c r="L24" s="275"/>
      <c r="M24" s="275"/>
      <c r="N24" s="275"/>
      <c r="O24" s="275"/>
      <c r="P24" s="275"/>
      <c r="Q24" s="275"/>
      <c r="R24" s="275"/>
      <c r="S24" s="275"/>
      <c r="T24" s="275"/>
      <c r="U24" s="275"/>
      <c r="V24" s="275"/>
      <c r="W24" s="275"/>
      <c r="X24" s="275"/>
      <c r="Y24" s="275"/>
      <c r="Z24" s="275"/>
    </row>
    <row r="25">
      <c r="B25" s="276" t="s">
        <v>2495</v>
      </c>
      <c r="C25" s="274">
        <v>2005.0</v>
      </c>
      <c r="D25" s="275"/>
      <c r="E25" s="275"/>
      <c r="F25" s="275"/>
      <c r="G25" s="275"/>
      <c r="H25" s="275"/>
      <c r="I25" s="275"/>
      <c r="J25" s="275"/>
      <c r="K25" s="275"/>
      <c r="L25" s="275"/>
      <c r="M25" s="275"/>
      <c r="N25" s="275"/>
      <c r="O25" s="275"/>
      <c r="P25" s="275"/>
      <c r="Q25" s="275"/>
      <c r="R25" s="275"/>
      <c r="S25" s="275"/>
      <c r="T25" s="275"/>
      <c r="U25" s="275"/>
      <c r="V25" s="275"/>
      <c r="W25" s="275"/>
      <c r="X25" s="275"/>
      <c r="Y25" s="275"/>
      <c r="Z25" s="275"/>
    </row>
    <row r="26">
      <c r="B26" s="276" t="s">
        <v>2496</v>
      </c>
      <c r="C26" s="274">
        <v>2006.0</v>
      </c>
      <c r="D26" s="275"/>
      <c r="E26" s="275"/>
      <c r="F26" s="275"/>
      <c r="G26" s="275"/>
      <c r="H26" s="275"/>
      <c r="I26" s="275"/>
      <c r="J26" s="275"/>
      <c r="K26" s="275"/>
      <c r="L26" s="275"/>
      <c r="M26" s="275"/>
      <c r="N26" s="275"/>
      <c r="O26" s="275"/>
      <c r="P26" s="275"/>
      <c r="Q26" s="275"/>
      <c r="R26" s="275"/>
      <c r="S26" s="275"/>
      <c r="T26" s="275"/>
      <c r="U26" s="275"/>
      <c r="V26" s="275"/>
      <c r="W26" s="275"/>
      <c r="X26" s="275"/>
      <c r="Y26" s="275"/>
      <c r="Z26" s="275"/>
    </row>
    <row r="27">
      <c r="A27" s="277"/>
      <c r="B27" s="277"/>
      <c r="C27" s="277"/>
      <c r="D27" s="275"/>
      <c r="E27" s="275"/>
      <c r="F27" s="275"/>
      <c r="G27" s="275"/>
      <c r="H27" s="275"/>
      <c r="I27" s="275"/>
      <c r="J27" s="275"/>
      <c r="K27" s="275"/>
      <c r="L27" s="275"/>
      <c r="M27" s="275"/>
      <c r="N27" s="275"/>
      <c r="O27" s="275"/>
      <c r="P27" s="275"/>
      <c r="Q27" s="275"/>
      <c r="R27" s="275"/>
      <c r="S27" s="275"/>
      <c r="T27" s="275"/>
      <c r="U27" s="275"/>
      <c r="V27" s="275"/>
      <c r="W27" s="275"/>
      <c r="X27" s="275"/>
      <c r="Y27" s="275"/>
      <c r="Z27" s="275"/>
    </row>
    <row r="28">
      <c r="A28" s="274" t="s">
        <v>2497</v>
      </c>
      <c r="B28" s="276" t="s">
        <v>2498</v>
      </c>
      <c r="C28" s="274">
        <v>3001.0</v>
      </c>
      <c r="D28" s="275"/>
      <c r="E28" s="275"/>
      <c r="F28" s="275"/>
      <c r="G28" s="275"/>
      <c r="H28" s="275"/>
      <c r="I28" s="275"/>
      <c r="J28" s="275"/>
      <c r="K28" s="275"/>
      <c r="L28" s="275"/>
      <c r="M28" s="275"/>
      <c r="N28" s="275"/>
      <c r="O28" s="275"/>
      <c r="P28" s="275"/>
      <c r="Q28" s="275"/>
      <c r="R28" s="275"/>
      <c r="S28" s="275"/>
      <c r="T28" s="275"/>
      <c r="U28" s="275"/>
      <c r="V28" s="275"/>
      <c r="W28" s="275"/>
      <c r="X28" s="275"/>
      <c r="Y28" s="275"/>
      <c r="Z28" s="275"/>
    </row>
    <row r="29">
      <c r="B29" s="276" t="s">
        <v>2499</v>
      </c>
      <c r="C29" s="274">
        <v>3002.0</v>
      </c>
      <c r="D29" s="275"/>
      <c r="E29" s="275"/>
      <c r="F29" s="275"/>
      <c r="G29" s="275"/>
      <c r="H29" s="275"/>
      <c r="I29" s="275"/>
      <c r="J29" s="275"/>
      <c r="K29" s="275"/>
      <c r="L29" s="275"/>
      <c r="M29" s="275"/>
      <c r="N29" s="275"/>
      <c r="O29" s="275"/>
      <c r="P29" s="275"/>
      <c r="Q29" s="275"/>
      <c r="R29" s="275"/>
      <c r="S29" s="275"/>
      <c r="T29" s="275"/>
      <c r="U29" s="275"/>
      <c r="V29" s="275"/>
      <c r="W29" s="275"/>
      <c r="X29" s="275"/>
      <c r="Y29" s="275"/>
      <c r="Z29" s="275"/>
    </row>
    <row r="30">
      <c r="B30" s="276" t="s">
        <v>2500</v>
      </c>
      <c r="C30" s="274">
        <v>3003.0</v>
      </c>
      <c r="D30" s="275"/>
      <c r="E30" s="275"/>
      <c r="F30" s="275"/>
      <c r="G30" s="275"/>
      <c r="H30" s="275"/>
      <c r="I30" s="275"/>
      <c r="J30" s="275"/>
      <c r="K30" s="275"/>
      <c r="L30" s="275"/>
      <c r="M30" s="275"/>
      <c r="N30" s="275"/>
      <c r="O30" s="275"/>
      <c r="P30" s="275"/>
      <c r="Q30" s="275"/>
      <c r="R30" s="275"/>
      <c r="S30" s="275"/>
      <c r="T30" s="275"/>
      <c r="U30" s="275"/>
      <c r="V30" s="275"/>
      <c r="W30" s="275"/>
      <c r="X30" s="275"/>
      <c r="Y30" s="275"/>
      <c r="Z30" s="275"/>
    </row>
    <row r="31">
      <c r="B31" s="276" t="s">
        <v>2501</v>
      </c>
      <c r="C31" s="274">
        <v>3004.0</v>
      </c>
      <c r="D31" s="275"/>
      <c r="E31" s="275"/>
      <c r="F31" s="275"/>
      <c r="G31" s="275"/>
      <c r="H31" s="275"/>
      <c r="I31" s="275"/>
      <c r="J31" s="275"/>
      <c r="K31" s="275"/>
      <c r="L31" s="275"/>
      <c r="M31" s="275"/>
      <c r="N31" s="275"/>
      <c r="O31" s="275"/>
      <c r="P31" s="275"/>
      <c r="Q31" s="275"/>
      <c r="R31" s="275"/>
      <c r="S31" s="275"/>
      <c r="T31" s="275"/>
      <c r="U31" s="275"/>
      <c r="V31" s="275"/>
      <c r="W31" s="275"/>
      <c r="X31" s="275"/>
      <c r="Y31" s="275"/>
      <c r="Z31" s="275"/>
    </row>
    <row r="32">
      <c r="B32" s="276" t="s">
        <v>2502</v>
      </c>
      <c r="C32" s="274">
        <v>3005.0</v>
      </c>
      <c r="D32" s="275"/>
      <c r="E32" s="275"/>
      <c r="F32" s="275"/>
      <c r="G32" s="275"/>
      <c r="H32" s="275"/>
      <c r="I32" s="275"/>
      <c r="J32" s="275"/>
      <c r="K32" s="275"/>
      <c r="L32" s="275"/>
      <c r="M32" s="275"/>
      <c r="N32" s="275"/>
      <c r="O32" s="275"/>
      <c r="P32" s="275"/>
      <c r="Q32" s="275"/>
      <c r="R32" s="275"/>
      <c r="S32" s="275"/>
      <c r="T32" s="275"/>
      <c r="U32" s="275"/>
      <c r="V32" s="275"/>
      <c r="W32" s="275"/>
      <c r="X32" s="275"/>
      <c r="Y32" s="275"/>
      <c r="Z32" s="275"/>
    </row>
    <row r="33">
      <c r="B33" s="276" t="s">
        <v>2503</v>
      </c>
      <c r="C33" s="274">
        <v>3006.0</v>
      </c>
      <c r="D33" s="275"/>
      <c r="E33" s="275"/>
      <c r="F33" s="275"/>
      <c r="G33" s="275"/>
      <c r="H33" s="275"/>
      <c r="I33" s="275"/>
      <c r="J33" s="275"/>
      <c r="K33" s="275"/>
      <c r="L33" s="275"/>
      <c r="M33" s="275"/>
      <c r="N33" s="275"/>
      <c r="O33" s="275"/>
      <c r="P33" s="275"/>
      <c r="Q33" s="275"/>
      <c r="R33" s="275"/>
      <c r="S33" s="275"/>
      <c r="T33" s="275"/>
      <c r="U33" s="275"/>
      <c r="V33" s="275"/>
      <c r="W33" s="275"/>
      <c r="X33" s="275"/>
      <c r="Y33" s="275"/>
      <c r="Z33" s="275"/>
    </row>
    <row r="34">
      <c r="B34" s="276" t="s">
        <v>2504</v>
      </c>
      <c r="C34" s="274">
        <v>3007.0</v>
      </c>
      <c r="D34" s="275"/>
      <c r="E34" s="275"/>
      <c r="F34" s="275"/>
      <c r="G34" s="275"/>
      <c r="H34" s="275"/>
      <c r="I34" s="275"/>
      <c r="J34" s="275"/>
      <c r="K34" s="275"/>
      <c r="L34" s="275"/>
      <c r="M34" s="275"/>
      <c r="N34" s="275"/>
      <c r="O34" s="275"/>
      <c r="P34" s="275"/>
      <c r="Q34" s="275"/>
      <c r="R34" s="275"/>
      <c r="S34" s="275"/>
      <c r="T34" s="275"/>
      <c r="U34" s="275"/>
      <c r="V34" s="275"/>
      <c r="W34" s="275"/>
      <c r="X34" s="275"/>
      <c r="Y34" s="275"/>
      <c r="Z34" s="275"/>
    </row>
    <row r="35">
      <c r="B35" s="276" t="s">
        <v>2505</v>
      </c>
      <c r="C35" s="274">
        <v>3008.0</v>
      </c>
      <c r="D35" s="275"/>
      <c r="E35" s="275"/>
      <c r="F35" s="275"/>
      <c r="G35" s="275"/>
      <c r="H35" s="275"/>
      <c r="I35" s="275"/>
      <c r="J35" s="275"/>
      <c r="K35" s="275"/>
      <c r="L35" s="275"/>
      <c r="M35" s="275"/>
      <c r="N35" s="275"/>
      <c r="O35" s="275"/>
      <c r="P35" s="275"/>
      <c r="Q35" s="275"/>
      <c r="R35" s="275"/>
      <c r="S35" s="275"/>
      <c r="T35" s="275"/>
      <c r="U35" s="275"/>
      <c r="V35" s="275"/>
      <c r="W35" s="275"/>
      <c r="X35" s="275"/>
      <c r="Y35" s="275"/>
      <c r="Z35" s="275"/>
    </row>
    <row r="36">
      <c r="B36" s="276" t="s">
        <v>2506</v>
      </c>
      <c r="C36" s="274">
        <v>3009.0</v>
      </c>
      <c r="D36" s="275"/>
      <c r="E36" s="275"/>
      <c r="F36" s="275"/>
      <c r="G36" s="275"/>
      <c r="H36" s="275"/>
      <c r="I36" s="275"/>
      <c r="J36" s="275"/>
      <c r="K36" s="275"/>
      <c r="L36" s="275"/>
      <c r="M36" s="275"/>
      <c r="N36" s="275"/>
      <c r="O36" s="275"/>
      <c r="P36" s="275"/>
      <c r="Q36" s="275"/>
      <c r="R36" s="275"/>
      <c r="S36" s="275"/>
      <c r="T36" s="275"/>
      <c r="U36" s="275"/>
      <c r="V36" s="275"/>
      <c r="W36" s="275"/>
      <c r="X36" s="275"/>
      <c r="Y36" s="275"/>
      <c r="Z36" s="275"/>
    </row>
    <row r="37">
      <c r="B37" s="276" t="s">
        <v>2507</v>
      </c>
      <c r="C37" s="274">
        <v>3010.0</v>
      </c>
      <c r="D37" s="275"/>
      <c r="E37" s="275"/>
      <c r="F37" s="275"/>
      <c r="G37" s="275"/>
      <c r="H37" s="275"/>
      <c r="I37" s="275"/>
      <c r="J37" s="275"/>
      <c r="K37" s="275"/>
      <c r="L37" s="275"/>
      <c r="M37" s="275"/>
      <c r="N37" s="275"/>
      <c r="O37" s="275"/>
      <c r="P37" s="275"/>
      <c r="Q37" s="275"/>
      <c r="R37" s="275"/>
      <c r="S37" s="275"/>
      <c r="T37" s="275"/>
      <c r="U37" s="275"/>
      <c r="V37" s="275"/>
      <c r="W37" s="275"/>
      <c r="X37" s="275"/>
      <c r="Y37" s="275"/>
      <c r="Z37" s="275"/>
    </row>
    <row r="38">
      <c r="B38" s="276" t="s">
        <v>2508</v>
      </c>
      <c r="C38" s="274">
        <v>3011.0</v>
      </c>
      <c r="D38" s="275"/>
      <c r="E38" s="275"/>
      <c r="F38" s="275"/>
      <c r="G38" s="275"/>
      <c r="H38" s="275"/>
      <c r="I38" s="275"/>
      <c r="J38" s="275"/>
      <c r="K38" s="275"/>
      <c r="L38" s="275"/>
      <c r="M38" s="275"/>
      <c r="N38" s="275"/>
      <c r="O38" s="275"/>
      <c r="P38" s="275"/>
      <c r="Q38" s="275"/>
      <c r="R38" s="275"/>
      <c r="S38" s="275"/>
      <c r="T38" s="275"/>
      <c r="U38" s="275"/>
      <c r="V38" s="275"/>
      <c r="W38" s="275"/>
      <c r="X38" s="275"/>
      <c r="Y38" s="275"/>
      <c r="Z38" s="275"/>
    </row>
    <row r="39">
      <c r="B39" s="276" t="s">
        <v>2509</v>
      </c>
      <c r="C39" s="274">
        <v>3012.0</v>
      </c>
      <c r="D39" s="275"/>
      <c r="E39" s="275"/>
      <c r="F39" s="275"/>
      <c r="G39" s="275"/>
      <c r="H39" s="275"/>
      <c r="I39" s="275"/>
      <c r="J39" s="275"/>
      <c r="K39" s="275"/>
      <c r="L39" s="275"/>
      <c r="M39" s="275"/>
      <c r="N39" s="275"/>
      <c r="O39" s="275"/>
      <c r="P39" s="275"/>
      <c r="Q39" s="275"/>
      <c r="R39" s="275"/>
      <c r="S39" s="275"/>
      <c r="T39" s="275"/>
      <c r="U39" s="275"/>
      <c r="V39" s="275"/>
      <c r="W39" s="275"/>
      <c r="X39" s="275"/>
      <c r="Y39" s="275"/>
      <c r="Z39" s="275"/>
    </row>
    <row r="40">
      <c r="B40" s="276" t="s">
        <v>2510</v>
      </c>
      <c r="C40" s="274">
        <v>3013.0</v>
      </c>
      <c r="D40" s="275"/>
      <c r="E40" s="275"/>
      <c r="F40" s="275"/>
      <c r="G40" s="275"/>
      <c r="H40" s="275"/>
      <c r="I40" s="275"/>
      <c r="J40" s="275"/>
      <c r="K40" s="275"/>
      <c r="L40" s="275"/>
      <c r="M40" s="275"/>
      <c r="N40" s="275"/>
      <c r="O40" s="275"/>
      <c r="P40" s="275"/>
      <c r="Q40" s="275"/>
      <c r="R40" s="275"/>
      <c r="S40" s="275"/>
      <c r="T40" s="275"/>
      <c r="U40" s="275"/>
      <c r="V40" s="275"/>
      <c r="W40" s="275"/>
      <c r="X40" s="275"/>
      <c r="Y40" s="275"/>
      <c r="Z40" s="275"/>
    </row>
    <row r="41">
      <c r="B41" s="276" t="s">
        <v>2511</v>
      </c>
      <c r="C41" s="274">
        <v>3014.0</v>
      </c>
      <c r="D41" s="275"/>
      <c r="E41" s="275"/>
      <c r="F41" s="275"/>
      <c r="G41" s="275"/>
      <c r="H41" s="275"/>
      <c r="I41" s="275"/>
      <c r="J41" s="275"/>
      <c r="K41" s="275"/>
      <c r="L41" s="275"/>
      <c r="M41" s="275"/>
      <c r="N41" s="275"/>
      <c r="O41" s="275"/>
      <c r="P41" s="275"/>
      <c r="Q41" s="275"/>
      <c r="R41" s="275"/>
      <c r="S41" s="275"/>
      <c r="T41" s="275"/>
      <c r="U41" s="275"/>
      <c r="V41" s="275"/>
      <c r="W41" s="275"/>
      <c r="X41" s="275"/>
      <c r="Y41" s="275"/>
      <c r="Z41" s="275"/>
    </row>
    <row r="42">
      <c r="B42" s="276" t="s">
        <v>2512</v>
      </c>
      <c r="C42" s="274">
        <v>3015.0</v>
      </c>
      <c r="D42" s="275"/>
      <c r="E42" s="275"/>
      <c r="F42" s="275"/>
      <c r="G42" s="275"/>
      <c r="H42" s="275"/>
      <c r="I42" s="275"/>
      <c r="J42" s="275"/>
      <c r="K42" s="275"/>
      <c r="L42" s="275"/>
      <c r="M42" s="275"/>
      <c r="N42" s="275"/>
      <c r="O42" s="275"/>
      <c r="P42" s="275"/>
      <c r="Q42" s="275"/>
      <c r="R42" s="275"/>
      <c r="S42" s="275"/>
      <c r="T42" s="275"/>
      <c r="U42" s="275"/>
      <c r="V42" s="275"/>
      <c r="W42" s="275"/>
      <c r="X42" s="275"/>
      <c r="Y42" s="275"/>
      <c r="Z42" s="275"/>
    </row>
    <row r="43">
      <c r="B43" s="276" t="s">
        <v>2513</v>
      </c>
      <c r="C43" s="274">
        <v>3016.0</v>
      </c>
      <c r="D43" s="275"/>
      <c r="E43" s="275"/>
      <c r="F43" s="275"/>
      <c r="G43" s="275"/>
      <c r="H43" s="275"/>
      <c r="I43" s="275"/>
      <c r="J43" s="275"/>
      <c r="K43" s="275"/>
      <c r="L43" s="275"/>
      <c r="M43" s="275"/>
      <c r="N43" s="275"/>
      <c r="O43" s="275"/>
      <c r="P43" s="275"/>
      <c r="Q43" s="275"/>
      <c r="R43" s="275"/>
      <c r="S43" s="275"/>
      <c r="T43" s="275"/>
      <c r="U43" s="275"/>
      <c r="V43" s="275"/>
      <c r="W43" s="275"/>
      <c r="X43" s="275"/>
      <c r="Y43" s="275"/>
      <c r="Z43" s="275"/>
    </row>
    <row r="44">
      <c r="A44" s="277"/>
      <c r="B44" s="277"/>
      <c r="C44" s="277"/>
      <c r="D44" s="275"/>
      <c r="E44" s="275"/>
      <c r="F44" s="275"/>
      <c r="G44" s="275"/>
      <c r="H44" s="275"/>
      <c r="I44" s="275"/>
      <c r="J44" s="275"/>
      <c r="K44" s="275"/>
      <c r="L44" s="275"/>
      <c r="M44" s="275"/>
      <c r="N44" s="275"/>
      <c r="O44" s="275"/>
      <c r="P44" s="275"/>
      <c r="Q44" s="275"/>
      <c r="R44" s="275"/>
      <c r="S44" s="275"/>
      <c r="T44" s="275"/>
      <c r="U44" s="275"/>
      <c r="V44" s="275"/>
      <c r="W44" s="275"/>
      <c r="X44" s="275"/>
      <c r="Y44" s="275"/>
      <c r="Z44" s="275"/>
    </row>
    <row r="45">
      <c r="A45" s="274" t="s">
        <v>2514</v>
      </c>
      <c r="B45" s="276" t="s">
        <v>2515</v>
      </c>
      <c r="C45" s="274">
        <v>4001.0</v>
      </c>
      <c r="D45" s="275"/>
      <c r="E45" s="275"/>
      <c r="F45" s="275"/>
      <c r="G45" s="275"/>
      <c r="H45" s="275"/>
      <c r="I45" s="275"/>
      <c r="J45" s="275"/>
      <c r="K45" s="275"/>
      <c r="L45" s="275"/>
      <c r="M45" s="275"/>
      <c r="N45" s="275"/>
      <c r="O45" s="275"/>
      <c r="P45" s="275"/>
      <c r="Q45" s="275"/>
      <c r="R45" s="275"/>
      <c r="S45" s="275"/>
      <c r="T45" s="275"/>
      <c r="U45" s="275"/>
      <c r="V45" s="275"/>
      <c r="W45" s="275"/>
      <c r="X45" s="275"/>
      <c r="Y45" s="275"/>
      <c r="Z45" s="275"/>
    </row>
    <row r="46">
      <c r="B46" s="276" t="s">
        <v>2516</v>
      </c>
      <c r="C46" s="274">
        <v>4002.0</v>
      </c>
      <c r="D46" s="275"/>
      <c r="E46" s="275"/>
      <c r="F46" s="275"/>
      <c r="G46" s="275"/>
      <c r="H46" s="275"/>
      <c r="I46" s="275"/>
      <c r="J46" s="275"/>
      <c r="K46" s="275"/>
      <c r="L46" s="275"/>
      <c r="M46" s="275"/>
      <c r="N46" s="275"/>
      <c r="O46" s="275"/>
      <c r="P46" s="275"/>
      <c r="Q46" s="275"/>
      <c r="R46" s="275"/>
      <c r="S46" s="275"/>
      <c r="T46" s="275"/>
      <c r="U46" s="275"/>
      <c r="V46" s="275"/>
      <c r="W46" s="275"/>
      <c r="X46" s="275"/>
      <c r="Y46" s="275"/>
      <c r="Z46" s="275"/>
    </row>
    <row r="47">
      <c r="B47" s="276" t="s">
        <v>2517</v>
      </c>
      <c r="C47" s="274">
        <v>4003.0</v>
      </c>
      <c r="D47" s="275"/>
      <c r="E47" s="275"/>
      <c r="F47" s="275"/>
      <c r="G47" s="275"/>
      <c r="H47" s="275"/>
      <c r="I47" s="275"/>
      <c r="J47" s="275"/>
      <c r="K47" s="275"/>
      <c r="L47" s="275"/>
      <c r="M47" s="275"/>
      <c r="N47" s="275"/>
      <c r="O47" s="275"/>
      <c r="P47" s="275"/>
      <c r="Q47" s="275"/>
      <c r="R47" s="275"/>
      <c r="S47" s="275"/>
      <c r="T47" s="275"/>
      <c r="U47" s="275"/>
      <c r="V47" s="275"/>
      <c r="W47" s="275"/>
      <c r="X47" s="275"/>
      <c r="Y47" s="275"/>
      <c r="Z47" s="275"/>
    </row>
    <row r="48">
      <c r="B48" s="276" t="s">
        <v>2518</v>
      </c>
      <c r="C48" s="274">
        <v>4004.0</v>
      </c>
      <c r="D48" s="275"/>
      <c r="E48" s="275"/>
      <c r="F48" s="275"/>
      <c r="G48" s="275"/>
      <c r="H48" s="275"/>
      <c r="I48" s="275"/>
      <c r="J48" s="275"/>
      <c r="K48" s="275"/>
      <c r="L48" s="275"/>
      <c r="M48" s="275"/>
      <c r="N48" s="275"/>
      <c r="O48" s="275"/>
      <c r="P48" s="275"/>
      <c r="Q48" s="275"/>
      <c r="R48" s="275"/>
      <c r="S48" s="275"/>
      <c r="T48" s="275"/>
      <c r="U48" s="275"/>
      <c r="V48" s="275"/>
      <c r="W48" s="275"/>
      <c r="X48" s="275"/>
      <c r="Y48" s="275"/>
      <c r="Z48" s="275"/>
    </row>
    <row r="49">
      <c r="B49" s="276" t="s">
        <v>2519</v>
      </c>
      <c r="C49" s="274">
        <v>4005.0</v>
      </c>
      <c r="D49" s="275"/>
      <c r="E49" s="275"/>
      <c r="F49" s="275"/>
      <c r="G49" s="275"/>
      <c r="H49" s="275"/>
      <c r="I49" s="275"/>
      <c r="J49" s="275"/>
      <c r="K49" s="275"/>
      <c r="L49" s="275"/>
      <c r="M49" s="275"/>
      <c r="N49" s="275"/>
      <c r="O49" s="275"/>
      <c r="P49" s="275"/>
      <c r="Q49" s="275"/>
      <c r="R49" s="275"/>
      <c r="S49" s="275"/>
      <c r="T49" s="275"/>
      <c r="U49" s="275"/>
      <c r="V49" s="275"/>
      <c r="W49" s="275"/>
      <c r="X49" s="275"/>
      <c r="Y49" s="275"/>
      <c r="Z49" s="275"/>
    </row>
    <row r="50">
      <c r="B50" s="276" t="s">
        <v>2520</v>
      </c>
      <c r="C50" s="274">
        <v>4006.0</v>
      </c>
      <c r="D50" s="275"/>
      <c r="E50" s="275"/>
      <c r="F50" s="275"/>
      <c r="G50" s="275"/>
      <c r="H50" s="275"/>
      <c r="I50" s="275"/>
      <c r="J50" s="275"/>
      <c r="K50" s="275"/>
      <c r="L50" s="275"/>
      <c r="M50" s="275"/>
      <c r="N50" s="275"/>
      <c r="O50" s="275"/>
      <c r="P50" s="275"/>
      <c r="Q50" s="275"/>
      <c r="R50" s="275"/>
      <c r="S50" s="275"/>
      <c r="T50" s="275"/>
      <c r="U50" s="275"/>
      <c r="V50" s="275"/>
      <c r="W50" s="275"/>
      <c r="X50" s="275"/>
      <c r="Y50" s="275"/>
      <c r="Z50" s="275"/>
    </row>
    <row r="51">
      <c r="B51" s="276" t="s">
        <v>2521</v>
      </c>
      <c r="C51" s="274">
        <v>4007.0</v>
      </c>
      <c r="D51" s="275"/>
      <c r="E51" s="275"/>
      <c r="F51" s="275"/>
      <c r="G51" s="275"/>
      <c r="H51" s="275"/>
      <c r="I51" s="275"/>
      <c r="J51" s="275"/>
      <c r="K51" s="275"/>
      <c r="L51" s="275"/>
      <c r="M51" s="275"/>
      <c r="N51" s="275"/>
      <c r="O51" s="275"/>
      <c r="P51" s="275"/>
      <c r="Q51" s="275"/>
      <c r="R51" s="275"/>
      <c r="S51" s="275"/>
      <c r="T51" s="275"/>
      <c r="U51" s="275"/>
      <c r="V51" s="275"/>
      <c r="W51" s="275"/>
      <c r="X51" s="275"/>
      <c r="Y51" s="275"/>
      <c r="Z51" s="275"/>
    </row>
    <row r="52">
      <c r="B52" s="276" t="s">
        <v>2522</v>
      </c>
      <c r="C52" s="274">
        <v>4008.0</v>
      </c>
      <c r="D52" s="275"/>
      <c r="E52" s="275"/>
      <c r="F52" s="275"/>
      <c r="G52" s="275"/>
      <c r="H52" s="275"/>
      <c r="I52" s="275"/>
      <c r="J52" s="275"/>
      <c r="K52" s="275"/>
      <c r="L52" s="275"/>
      <c r="M52" s="275"/>
      <c r="N52" s="275"/>
      <c r="O52" s="275"/>
      <c r="P52" s="275"/>
      <c r="Q52" s="275"/>
      <c r="R52" s="275"/>
      <c r="S52" s="275"/>
      <c r="T52" s="275"/>
      <c r="U52" s="275"/>
      <c r="V52" s="275"/>
      <c r="W52" s="275"/>
      <c r="X52" s="275"/>
      <c r="Y52" s="275"/>
      <c r="Z52" s="275"/>
    </row>
    <row r="53">
      <c r="B53" s="276" t="s">
        <v>2523</v>
      </c>
      <c r="C53" s="274">
        <v>4009.0</v>
      </c>
      <c r="D53" s="275"/>
      <c r="E53" s="275"/>
      <c r="F53" s="275"/>
      <c r="G53" s="275"/>
      <c r="H53" s="275"/>
      <c r="I53" s="275"/>
      <c r="J53" s="275"/>
      <c r="K53" s="275"/>
      <c r="L53" s="275"/>
      <c r="M53" s="275"/>
      <c r="N53" s="275"/>
      <c r="O53" s="275"/>
      <c r="P53" s="275"/>
      <c r="Q53" s="275"/>
      <c r="R53" s="275"/>
      <c r="S53" s="275"/>
      <c r="T53" s="275"/>
      <c r="U53" s="275"/>
      <c r="V53" s="275"/>
      <c r="W53" s="275"/>
      <c r="X53" s="275"/>
      <c r="Y53" s="275"/>
      <c r="Z53" s="275"/>
    </row>
    <row r="54">
      <c r="B54" s="276" t="s">
        <v>2524</v>
      </c>
      <c r="C54" s="274">
        <v>4010.0</v>
      </c>
      <c r="D54" s="275"/>
      <c r="E54" s="275"/>
      <c r="F54" s="275"/>
      <c r="G54" s="275"/>
      <c r="H54" s="275"/>
      <c r="I54" s="275"/>
      <c r="J54" s="275"/>
      <c r="K54" s="275"/>
      <c r="L54" s="275"/>
      <c r="M54" s="275"/>
      <c r="N54" s="275"/>
      <c r="O54" s="275"/>
      <c r="P54" s="275"/>
      <c r="Q54" s="275"/>
      <c r="R54" s="275"/>
      <c r="S54" s="275"/>
      <c r="T54" s="275"/>
      <c r="U54" s="275"/>
      <c r="V54" s="275"/>
      <c r="W54" s="275"/>
      <c r="X54" s="275"/>
      <c r="Y54" s="275"/>
      <c r="Z54" s="275"/>
    </row>
    <row r="55">
      <c r="B55" s="276" t="s">
        <v>2525</v>
      </c>
      <c r="C55" s="274">
        <v>4011.0</v>
      </c>
      <c r="D55" s="275"/>
      <c r="E55" s="275"/>
      <c r="F55" s="275"/>
      <c r="G55" s="275"/>
      <c r="H55" s="275"/>
      <c r="I55" s="275"/>
      <c r="J55" s="275"/>
      <c r="K55" s="275"/>
      <c r="L55" s="275"/>
      <c r="M55" s="275"/>
      <c r="N55" s="275"/>
      <c r="O55" s="275"/>
      <c r="P55" s="275"/>
      <c r="Q55" s="275"/>
      <c r="R55" s="275"/>
      <c r="S55" s="275"/>
      <c r="T55" s="275"/>
      <c r="U55" s="275"/>
      <c r="V55" s="275"/>
      <c r="W55" s="275"/>
      <c r="X55" s="275"/>
      <c r="Y55" s="275"/>
      <c r="Z55" s="275"/>
    </row>
    <row r="56">
      <c r="B56" s="276" t="s">
        <v>2526</v>
      </c>
      <c r="C56" s="274">
        <v>4012.0</v>
      </c>
      <c r="D56" s="275"/>
      <c r="E56" s="275"/>
      <c r="F56" s="275"/>
      <c r="G56" s="275"/>
      <c r="H56" s="275"/>
      <c r="I56" s="275"/>
      <c r="J56" s="275"/>
      <c r="K56" s="275"/>
      <c r="L56" s="275"/>
      <c r="M56" s="275"/>
      <c r="N56" s="275"/>
      <c r="O56" s="275"/>
      <c r="P56" s="275"/>
      <c r="Q56" s="275"/>
      <c r="R56" s="275"/>
      <c r="S56" s="275"/>
      <c r="T56" s="275"/>
      <c r="U56" s="275"/>
      <c r="V56" s="275"/>
      <c r="W56" s="275"/>
      <c r="X56" s="275"/>
      <c r="Y56" s="275"/>
      <c r="Z56" s="275"/>
    </row>
    <row r="57">
      <c r="B57" s="276" t="s">
        <v>2527</v>
      </c>
      <c r="C57" s="274">
        <v>4013.0</v>
      </c>
      <c r="D57" s="275"/>
      <c r="E57" s="275"/>
      <c r="F57" s="275"/>
      <c r="G57" s="275"/>
      <c r="H57" s="275"/>
      <c r="I57" s="275"/>
      <c r="J57" s="275"/>
      <c r="K57" s="275"/>
      <c r="L57" s="275"/>
      <c r="M57" s="275"/>
      <c r="N57" s="275"/>
      <c r="O57" s="275"/>
      <c r="P57" s="275"/>
      <c r="Q57" s="275"/>
      <c r="R57" s="275"/>
      <c r="S57" s="275"/>
      <c r="T57" s="275"/>
      <c r="U57" s="275"/>
      <c r="V57" s="275"/>
      <c r="W57" s="275"/>
      <c r="X57" s="275"/>
      <c r="Y57" s="275"/>
      <c r="Z57" s="275"/>
    </row>
    <row r="58">
      <c r="B58" s="276" t="s">
        <v>2528</v>
      </c>
      <c r="C58" s="274">
        <v>4014.0</v>
      </c>
      <c r="D58" s="275"/>
      <c r="E58" s="275"/>
      <c r="F58" s="275"/>
      <c r="G58" s="275"/>
      <c r="H58" s="275"/>
      <c r="I58" s="275"/>
      <c r="J58" s="275"/>
      <c r="K58" s="275"/>
      <c r="L58" s="275"/>
      <c r="M58" s="275"/>
      <c r="N58" s="275"/>
      <c r="O58" s="275"/>
      <c r="P58" s="275"/>
      <c r="Q58" s="275"/>
      <c r="R58" s="275"/>
      <c r="S58" s="275"/>
      <c r="T58" s="275"/>
      <c r="U58" s="275"/>
      <c r="V58" s="275"/>
      <c r="W58" s="275"/>
      <c r="X58" s="275"/>
      <c r="Y58" s="275"/>
      <c r="Z58" s="275"/>
    </row>
    <row r="59">
      <c r="B59" s="276" t="s">
        <v>2529</v>
      </c>
      <c r="C59" s="274">
        <v>4015.0</v>
      </c>
      <c r="D59" s="275"/>
      <c r="E59" s="275"/>
      <c r="F59" s="275"/>
      <c r="G59" s="275"/>
      <c r="H59" s="275"/>
      <c r="I59" s="275"/>
      <c r="J59" s="275"/>
      <c r="K59" s="275"/>
      <c r="L59" s="275"/>
      <c r="M59" s="275"/>
      <c r="N59" s="275"/>
      <c r="O59" s="275"/>
      <c r="P59" s="275"/>
      <c r="Q59" s="275"/>
      <c r="R59" s="275"/>
      <c r="S59" s="275"/>
      <c r="T59" s="275"/>
      <c r="U59" s="275"/>
      <c r="V59" s="275"/>
      <c r="W59" s="275"/>
      <c r="X59" s="275"/>
      <c r="Y59" s="275"/>
      <c r="Z59" s="275"/>
    </row>
    <row r="60">
      <c r="B60" s="276" t="s">
        <v>2530</v>
      </c>
      <c r="C60" s="274">
        <v>4016.0</v>
      </c>
      <c r="D60" s="275"/>
      <c r="E60" s="275"/>
      <c r="F60" s="275"/>
      <c r="G60" s="275"/>
      <c r="H60" s="275"/>
      <c r="I60" s="275"/>
      <c r="J60" s="275"/>
      <c r="K60" s="275"/>
      <c r="L60" s="275"/>
      <c r="M60" s="275"/>
      <c r="N60" s="275"/>
      <c r="O60" s="275"/>
      <c r="P60" s="275"/>
      <c r="Q60" s="275"/>
      <c r="R60" s="275"/>
      <c r="S60" s="275"/>
      <c r="T60" s="275"/>
      <c r="U60" s="275"/>
      <c r="V60" s="275"/>
      <c r="W60" s="275"/>
      <c r="X60" s="275"/>
      <c r="Y60" s="275"/>
      <c r="Z60" s="275"/>
    </row>
    <row r="61">
      <c r="B61" s="276" t="s">
        <v>2531</v>
      </c>
      <c r="C61" s="274">
        <v>4017.0</v>
      </c>
      <c r="D61" s="275"/>
      <c r="E61" s="275"/>
      <c r="F61" s="275"/>
      <c r="G61" s="275"/>
      <c r="H61" s="275"/>
      <c r="I61" s="275"/>
      <c r="J61" s="275"/>
      <c r="K61" s="275"/>
      <c r="L61" s="275"/>
      <c r="M61" s="275"/>
      <c r="N61" s="275"/>
      <c r="O61" s="275"/>
      <c r="P61" s="275"/>
      <c r="Q61" s="275"/>
      <c r="R61" s="275"/>
      <c r="S61" s="275"/>
      <c r="T61" s="275"/>
      <c r="U61" s="275"/>
      <c r="V61" s="275"/>
      <c r="W61" s="275"/>
      <c r="X61" s="275"/>
      <c r="Y61" s="275"/>
      <c r="Z61" s="275"/>
    </row>
    <row r="62">
      <c r="B62" s="276" t="s">
        <v>2532</v>
      </c>
      <c r="C62" s="274">
        <v>4018.0</v>
      </c>
      <c r="D62" s="275"/>
      <c r="E62" s="275"/>
      <c r="F62" s="275"/>
      <c r="G62" s="275"/>
      <c r="H62" s="275"/>
      <c r="I62" s="275"/>
      <c r="J62" s="275"/>
      <c r="K62" s="275"/>
      <c r="L62" s="275"/>
      <c r="M62" s="275"/>
      <c r="N62" s="275"/>
      <c r="O62" s="275"/>
      <c r="P62" s="275"/>
      <c r="Q62" s="275"/>
      <c r="R62" s="275"/>
      <c r="S62" s="275"/>
      <c r="T62" s="275"/>
      <c r="U62" s="275"/>
      <c r="V62" s="275"/>
      <c r="W62" s="275"/>
      <c r="X62" s="275"/>
      <c r="Y62" s="275"/>
      <c r="Z62" s="275"/>
    </row>
    <row r="63">
      <c r="B63" s="276" t="s">
        <v>2533</v>
      </c>
      <c r="C63" s="274">
        <v>4019.0</v>
      </c>
      <c r="D63" s="275"/>
      <c r="E63" s="275"/>
      <c r="F63" s="275"/>
      <c r="G63" s="275"/>
      <c r="H63" s="275"/>
      <c r="I63" s="275"/>
      <c r="J63" s="275"/>
      <c r="K63" s="275"/>
      <c r="L63" s="275"/>
      <c r="M63" s="275"/>
      <c r="N63" s="275"/>
      <c r="O63" s="275"/>
      <c r="P63" s="275"/>
      <c r="Q63" s="275"/>
      <c r="R63" s="275"/>
      <c r="S63" s="275"/>
      <c r="T63" s="275"/>
      <c r="U63" s="275"/>
      <c r="V63" s="275"/>
      <c r="W63" s="275"/>
      <c r="X63" s="275"/>
      <c r="Y63" s="275"/>
      <c r="Z63" s="275"/>
    </row>
    <row r="64">
      <c r="B64" s="276" t="s">
        <v>2534</v>
      </c>
      <c r="C64" s="274">
        <v>4020.0</v>
      </c>
      <c r="D64" s="275"/>
      <c r="E64" s="275"/>
      <c r="F64" s="275"/>
      <c r="G64" s="275"/>
      <c r="H64" s="275"/>
      <c r="I64" s="275"/>
      <c r="J64" s="275"/>
      <c r="K64" s="275"/>
      <c r="L64" s="275"/>
      <c r="M64" s="275"/>
      <c r="N64" s="275"/>
      <c r="O64" s="275"/>
      <c r="P64" s="275"/>
      <c r="Q64" s="275"/>
      <c r="R64" s="275"/>
      <c r="S64" s="275"/>
      <c r="T64" s="275"/>
      <c r="U64" s="275"/>
      <c r="V64" s="275"/>
      <c r="W64" s="275"/>
      <c r="X64" s="275"/>
      <c r="Y64" s="275"/>
      <c r="Z64" s="275"/>
    </row>
    <row r="65">
      <c r="B65" s="276" t="s">
        <v>2535</v>
      </c>
      <c r="C65" s="274">
        <v>4021.0</v>
      </c>
      <c r="D65" s="275"/>
      <c r="E65" s="275"/>
      <c r="F65" s="275"/>
      <c r="G65" s="275"/>
      <c r="H65" s="275"/>
      <c r="I65" s="275"/>
      <c r="J65" s="275"/>
      <c r="K65" s="275"/>
      <c r="L65" s="275"/>
      <c r="M65" s="275"/>
      <c r="N65" s="275"/>
      <c r="O65" s="275"/>
      <c r="P65" s="275"/>
      <c r="Q65" s="275"/>
      <c r="R65" s="275"/>
      <c r="S65" s="275"/>
      <c r="T65" s="275"/>
      <c r="U65" s="275"/>
      <c r="V65" s="275"/>
      <c r="W65" s="275"/>
      <c r="X65" s="275"/>
      <c r="Y65" s="275"/>
      <c r="Z65" s="275"/>
    </row>
    <row r="66">
      <c r="B66" s="276" t="s">
        <v>2536</v>
      </c>
      <c r="C66" s="274">
        <v>4022.0</v>
      </c>
      <c r="D66" s="275"/>
      <c r="E66" s="275"/>
      <c r="F66" s="275"/>
      <c r="G66" s="275"/>
      <c r="H66" s="275"/>
      <c r="I66" s="275"/>
      <c r="J66" s="275"/>
      <c r="K66" s="275"/>
      <c r="L66" s="275"/>
      <c r="M66" s="275"/>
      <c r="N66" s="275"/>
      <c r="O66" s="275"/>
      <c r="P66" s="275"/>
      <c r="Q66" s="275"/>
      <c r="R66" s="275"/>
      <c r="S66" s="275"/>
      <c r="T66" s="275"/>
      <c r="U66" s="275"/>
      <c r="V66" s="275"/>
      <c r="W66" s="275"/>
      <c r="X66" s="275"/>
      <c r="Y66" s="275"/>
      <c r="Z66" s="275"/>
    </row>
    <row r="67">
      <c r="B67" s="276" t="s">
        <v>2537</v>
      </c>
      <c r="C67" s="274">
        <v>4023.0</v>
      </c>
      <c r="D67" s="275"/>
      <c r="E67" s="275"/>
      <c r="F67" s="275"/>
      <c r="G67" s="275"/>
      <c r="H67" s="275"/>
      <c r="I67" s="275"/>
      <c r="J67" s="275"/>
      <c r="K67" s="275"/>
      <c r="L67" s="275"/>
      <c r="M67" s="275"/>
      <c r="N67" s="275"/>
      <c r="O67" s="275"/>
      <c r="P67" s="275"/>
      <c r="Q67" s="275"/>
      <c r="R67" s="275"/>
      <c r="S67" s="275"/>
      <c r="T67" s="275"/>
      <c r="U67" s="275"/>
      <c r="V67" s="275"/>
      <c r="W67" s="275"/>
      <c r="X67" s="275"/>
      <c r="Y67" s="275"/>
      <c r="Z67" s="275"/>
    </row>
    <row r="68">
      <c r="B68" s="276" t="s">
        <v>2538</v>
      </c>
      <c r="C68" s="274">
        <v>4024.0</v>
      </c>
      <c r="D68" s="275"/>
      <c r="E68" s="275"/>
      <c r="F68" s="275"/>
      <c r="G68" s="275"/>
      <c r="H68" s="275"/>
      <c r="I68" s="275"/>
      <c r="J68" s="275"/>
      <c r="K68" s="275"/>
      <c r="L68" s="275"/>
      <c r="M68" s="275"/>
      <c r="N68" s="275"/>
      <c r="O68" s="275"/>
      <c r="P68" s="275"/>
      <c r="Q68" s="275"/>
      <c r="R68" s="275"/>
      <c r="S68" s="275"/>
      <c r="T68" s="275"/>
      <c r="U68" s="275"/>
      <c r="V68" s="275"/>
      <c r="W68" s="275"/>
      <c r="X68" s="275"/>
      <c r="Y68" s="275"/>
      <c r="Z68" s="275"/>
    </row>
    <row r="69">
      <c r="B69" s="276" t="s">
        <v>2539</v>
      </c>
      <c r="C69" s="274">
        <v>4025.0</v>
      </c>
      <c r="D69" s="275"/>
      <c r="E69" s="275"/>
      <c r="F69" s="275"/>
      <c r="G69" s="275"/>
      <c r="H69" s="275"/>
      <c r="I69" s="275"/>
      <c r="J69" s="275"/>
      <c r="K69" s="275"/>
      <c r="L69" s="275"/>
      <c r="M69" s="275"/>
      <c r="N69" s="275"/>
      <c r="O69" s="275"/>
      <c r="P69" s="275"/>
      <c r="Q69" s="275"/>
      <c r="R69" s="275"/>
      <c r="S69" s="275"/>
      <c r="T69" s="275"/>
      <c r="U69" s="275"/>
      <c r="V69" s="275"/>
      <c r="W69" s="275"/>
      <c r="X69" s="275"/>
      <c r="Y69" s="275"/>
      <c r="Z69" s="275"/>
    </row>
    <row r="70">
      <c r="B70" s="276" t="s">
        <v>2540</v>
      </c>
      <c r="C70" s="274">
        <v>4026.0</v>
      </c>
      <c r="D70" s="275"/>
      <c r="E70" s="275"/>
      <c r="F70" s="275"/>
      <c r="G70" s="275"/>
      <c r="H70" s="275"/>
      <c r="I70" s="275"/>
      <c r="J70" s="275"/>
      <c r="K70" s="275"/>
      <c r="L70" s="275"/>
      <c r="M70" s="275"/>
      <c r="N70" s="275"/>
      <c r="O70" s="275"/>
      <c r="P70" s="275"/>
      <c r="Q70" s="275"/>
      <c r="R70" s="275"/>
      <c r="S70" s="275"/>
      <c r="T70" s="275"/>
      <c r="U70" s="275"/>
      <c r="V70" s="275"/>
      <c r="W70" s="275"/>
      <c r="X70" s="275"/>
      <c r="Y70" s="275"/>
      <c r="Z70" s="275"/>
    </row>
    <row r="71">
      <c r="B71" s="276" t="s">
        <v>2541</v>
      </c>
      <c r="C71" s="274">
        <v>4027.0</v>
      </c>
      <c r="D71" s="275"/>
      <c r="E71" s="275"/>
      <c r="F71" s="275"/>
      <c r="G71" s="275"/>
      <c r="H71" s="275"/>
      <c r="I71" s="275"/>
      <c r="J71" s="275"/>
      <c r="K71" s="275"/>
      <c r="L71" s="275"/>
      <c r="M71" s="275"/>
      <c r="N71" s="275"/>
      <c r="O71" s="275"/>
      <c r="P71" s="275"/>
      <c r="Q71" s="275"/>
      <c r="R71" s="275"/>
      <c r="S71" s="275"/>
      <c r="T71" s="275"/>
      <c r="U71" s="275"/>
      <c r="V71" s="275"/>
      <c r="W71" s="275"/>
      <c r="X71" s="275"/>
      <c r="Y71" s="275"/>
      <c r="Z71" s="275"/>
    </row>
    <row r="72">
      <c r="B72" s="276" t="s">
        <v>2542</v>
      </c>
      <c r="C72" s="274">
        <v>4028.0</v>
      </c>
      <c r="D72" s="275"/>
      <c r="E72" s="275"/>
      <c r="F72" s="275"/>
      <c r="G72" s="275"/>
      <c r="H72" s="275"/>
      <c r="I72" s="275"/>
      <c r="J72" s="275"/>
      <c r="K72" s="275"/>
      <c r="L72" s="275"/>
      <c r="M72" s="275"/>
      <c r="N72" s="275"/>
      <c r="O72" s="275"/>
      <c r="P72" s="275"/>
      <c r="Q72" s="275"/>
      <c r="R72" s="275"/>
      <c r="S72" s="275"/>
      <c r="T72" s="275"/>
      <c r="U72" s="275"/>
      <c r="V72" s="275"/>
      <c r="W72" s="275"/>
      <c r="X72" s="275"/>
      <c r="Y72" s="275"/>
      <c r="Z72" s="275"/>
    </row>
    <row r="73">
      <c r="B73" s="276" t="s">
        <v>2543</v>
      </c>
      <c r="C73" s="274">
        <v>4029.0</v>
      </c>
      <c r="D73" s="275"/>
      <c r="E73" s="275"/>
      <c r="F73" s="275"/>
      <c r="G73" s="275"/>
      <c r="H73" s="275"/>
      <c r="I73" s="275"/>
      <c r="J73" s="275"/>
      <c r="K73" s="275"/>
      <c r="L73" s="275"/>
      <c r="M73" s="275"/>
      <c r="N73" s="275"/>
      <c r="O73" s="275"/>
      <c r="P73" s="275"/>
      <c r="Q73" s="275"/>
      <c r="R73" s="275"/>
      <c r="S73" s="275"/>
      <c r="T73" s="275"/>
      <c r="U73" s="275"/>
      <c r="V73" s="275"/>
      <c r="W73" s="275"/>
      <c r="X73" s="275"/>
      <c r="Y73" s="275"/>
      <c r="Z73" s="275"/>
    </row>
    <row r="74">
      <c r="B74" s="276" t="s">
        <v>2544</v>
      </c>
      <c r="C74" s="274">
        <v>4030.0</v>
      </c>
      <c r="D74" s="275"/>
      <c r="E74" s="275"/>
      <c r="F74" s="275"/>
      <c r="G74" s="275"/>
      <c r="H74" s="275"/>
      <c r="I74" s="275"/>
      <c r="J74" s="275"/>
      <c r="K74" s="275"/>
      <c r="L74" s="275"/>
      <c r="M74" s="275"/>
      <c r="N74" s="275"/>
      <c r="O74" s="275"/>
      <c r="P74" s="275"/>
      <c r="Q74" s="275"/>
      <c r="R74" s="275"/>
      <c r="S74" s="275"/>
      <c r="T74" s="275"/>
      <c r="U74" s="275"/>
      <c r="V74" s="275"/>
      <c r="W74" s="275"/>
      <c r="X74" s="275"/>
      <c r="Y74" s="275"/>
      <c r="Z74" s="275"/>
    </row>
    <row r="75">
      <c r="B75" s="276" t="s">
        <v>2545</v>
      </c>
      <c r="C75" s="277"/>
      <c r="D75" s="275"/>
      <c r="E75" s="275"/>
      <c r="F75" s="275"/>
      <c r="G75" s="275"/>
      <c r="H75" s="275"/>
      <c r="I75" s="275"/>
      <c r="J75" s="275"/>
      <c r="K75" s="275"/>
      <c r="L75" s="275"/>
      <c r="M75" s="275"/>
      <c r="N75" s="275"/>
      <c r="O75" s="275"/>
      <c r="P75" s="275"/>
      <c r="Q75" s="275"/>
      <c r="R75" s="275"/>
      <c r="S75" s="275"/>
      <c r="T75" s="275"/>
      <c r="U75" s="275"/>
      <c r="V75" s="275"/>
      <c r="W75" s="275"/>
      <c r="X75" s="275"/>
      <c r="Y75" s="275"/>
      <c r="Z75" s="275"/>
    </row>
    <row r="76">
      <c r="B76" s="276" t="s">
        <v>2546</v>
      </c>
      <c r="C76" s="274">
        <v>4031.0</v>
      </c>
      <c r="D76" s="275"/>
      <c r="E76" s="275"/>
      <c r="F76" s="275"/>
      <c r="G76" s="275"/>
      <c r="H76" s="275"/>
      <c r="I76" s="275"/>
      <c r="J76" s="275"/>
      <c r="K76" s="275"/>
      <c r="L76" s="275"/>
      <c r="M76" s="275"/>
      <c r="N76" s="275"/>
      <c r="O76" s="275"/>
      <c r="P76" s="275"/>
      <c r="Q76" s="275"/>
      <c r="R76" s="275"/>
      <c r="S76" s="275"/>
      <c r="T76" s="275"/>
      <c r="U76" s="275"/>
      <c r="V76" s="275"/>
      <c r="W76" s="275"/>
      <c r="X76" s="275"/>
      <c r="Y76" s="275"/>
      <c r="Z76" s="275"/>
    </row>
    <row r="77">
      <c r="B77" s="276" t="s">
        <v>2547</v>
      </c>
      <c r="C77" s="274">
        <v>4032.0</v>
      </c>
      <c r="D77" s="275"/>
      <c r="E77" s="275"/>
      <c r="F77" s="275"/>
      <c r="G77" s="275"/>
      <c r="H77" s="275"/>
      <c r="I77" s="275"/>
      <c r="J77" s="275"/>
      <c r="K77" s="275"/>
      <c r="L77" s="275"/>
      <c r="M77" s="275"/>
      <c r="N77" s="275"/>
      <c r="O77" s="275"/>
      <c r="P77" s="275"/>
      <c r="Q77" s="275"/>
      <c r="R77" s="275"/>
      <c r="S77" s="275"/>
      <c r="T77" s="275"/>
      <c r="U77" s="275"/>
      <c r="V77" s="275"/>
      <c r="W77" s="275"/>
      <c r="X77" s="275"/>
      <c r="Y77" s="275"/>
      <c r="Z77" s="275"/>
    </row>
    <row r="78">
      <c r="B78" s="276" t="s">
        <v>2548</v>
      </c>
      <c r="C78" s="274">
        <v>4033.0</v>
      </c>
      <c r="D78" s="275"/>
      <c r="E78" s="275"/>
      <c r="F78" s="275"/>
      <c r="G78" s="275"/>
      <c r="H78" s="275"/>
      <c r="I78" s="275"/>
      <c r="J78" s="275"/>
      <c r="K78" s="275"/>
      <c r="L78" s="275"/>
      <c r="M78" s="275"/>
      <c r="N78" s="275"/>
      <c r="O78" s="275"/>
      <c r="P78" s="275"/>
      <c r="Q78" s="275"/>
      <c r="R78" s="275"/>
      <c r="S78" s="275"/>
      <c r="T78" s="275"/>
      <c r="U78" s="275"/>
      <c r="V78" s="275"/>
      <c r="W78" s="275"/>
      <c r="X78" s="275"/>
      <c r="Y78" s="275"/>
      <c r="Z78" s="275"/>
    </row>
    <row r="79">
      <c r="B79" s="276" t="s">
        <v>2549</v>
      </c>
      <c r="C79" s="274">
        <v>4034.0</v>
      </c>
      <c r="D79" s="275"/>
      <c r="E79" s="275"/>
      <c r="F79" s="275"/>
      <c r="G79" s="275"/>
      <c r="H79" s="275"/>
      <c r="I79" s="275"/>
      <c r="J79" s="275"/>
      <c r="K79" s="275"/>
      <c r="L79" s="275"/>
      <c r="M79" s="275"/>
      <c r="N79" s="275"/>
      <c r="O79" s="275"/>
      <c r="P79" s="275"/>
      <c r="Q79" s="275"/>
      <c r="R79" s="275"/>
      <c r="S79" s="275"/>
      <c r="T79" s="275"/>
      <c r="U79" s="275"/>
      <c r="V79" s="275"/>
      <c r="W79" s="275"/>
      <c r="X79" s="275"/>
      <c r="Y79" s="275"/>
      <c r="Z79" s="275"/>
    </row>
    <row r="80">
      <c r="B80" s="276" t="s">
        <v>2550</v>
      </c>
      <c r="C80" s="274">
        <v>4035.0</v>
      </c>
      <c r="D80" s="275"/>
      <c r="E80" s="275"/>
      <c r="F80" s="275"/>
      <c r="G80" s="275"/>
      <c r="H80" s="275"/>
      <c r="I80" s="275"/>
      <c r="J80" s="275"/>
      <c r="K80" s="275"/>
      <c r="L80" s="275"/>
      <c r="M80" s="275"/>
      <c r="N80" s="275"/>
      <c r="O80" s="275"/>
      <c r="P80" s="275"/>
      <c r="Q80" s="275"/>
      <c r="R80" s="275"/>
      <c r="S80" s="275"/>
      <c r="T80" s="275"/>
      <c r="U80" s="275"/>
      <c r="V80" s="275"/>
      <c r="W80" s="275"/>
      <c r="X80" s="275"/>
      <c r="Y80" s="275"/>
      <c r="Z80" s="275"/>
    </row>
    <row r="81">
      <c r="B81" s="276" t="s">
        <v>2551</v>
      </c>
      <c r="C81" s="274">
        <v>4036.0</v>
      </c>
      <c r="D81" s="275"/>
      <c r="E81" s="275"/>
      <c r="F81" s="275"/>
      <c r="G81" s="275"/>
      <c r="H81" s="275"/>
      <c r="I81" s="275"/>
      <c r="J81" s="275"/>
      <c r="K81" s="275"/>
      <c r="L81" s="275"/>
      <c r="M81" s="275"/>
      <c r="N81" s="275"/>
      <c r="O81" s="275"/>
      <c r="P81" s="275"/>
      <c r="Q81" s="275"/>
      <c r="R81" s="275"/>
      <c r="S81" s="275"/>
      <c r="T81" s="275"/>
      <c r="U81" s="275"/>
      <c r="V81" s="275"/>
      <c r="W81" s="275"/>
      <c r="X81" s="275"/>
      <c r="Y81" s="275"/>
      <c r="Z81" s="275"/>
    </row>
    <row r="82">
      <c r="B82" s="276" t="s">
        <v>2552</v>
      </c>
      <c r="C82" s="274">
        <v>4037.0</v>
      </c>
      <c r="D82" s="275"/>
      <c r="E82" s="275"/>
      <c r="F82" s="275"/>
      <c r="G82" s="275"/>
      <c r="H82" s="275"/>
      <c r="I82" s="275"/>
      <c r="J82" s="275"/>
      <c r="K82" s="275"/>
      <c r="L82" s="275"/>
      <c r="M82" s="275"/>
      <c r="N82" s="275"/>
      <c r="O82" s="275"/>
      <c r="P82" s="275"/>
      <c r="Q82" s="275"/>
      <c r="R82" s="275"/>
      <c r="S82" s="275"/>
      <c r="T82" s="275"/>
      <c r="U82" s="275"/>
      <c r="V82" s="275"/>
      <c r="W82" s="275"/>
      <c r="X82" s="275"/>
      <c r="Y82" s="275"/>
      <c r="Z82" s="275"/>
    </row>
    <row r="83">
      <c r="B83" s="276" t="s">
        <v>2553</v>
      </c>
      <c r="C83" s="274">
        <v>4038.0</v>
      </c>
      <c r="D83" s="275"/>
      <c r="E83" s="275"/>
      <c r="F83" s="275"/>
      <c r="G83" s="275"/>
      <c r="H83" s="275"/>
      <c r="I83" s="275"/>
      <c r="J83" s="275"/>
      <c r="K83" s="275"/>
      <c r="L83" s="275"/>
      <c r="M83" s="275"/>
      <c r="N83" s="275"/>
      <c r="O83" s="275"/>
      <c r="P83" s="275"/>
      <c r="Q83" s="275"/>
      <c r="R83" s="275"/>
      <c r="S83" s="275"/>
      <c r="T83" s="275"/>
      <c r="U83" s="275"/>
      <c r="V83" s="275"/>
      <c r="W83" s="275"/>
      <c r="X83" s="275"/>
      <c r="Y83" s="275"/>
      <c r="Z83" s="275"/>
    </row>
    <row r="84">
      <c r="B84" s="276" t="s">
        <v>2554</v>
      </c>
      <c r="C84" s="274">
        <v>4039.0</v>
      </c>
      <c r="D84" s="275"/>
      <c r="E84" s="275"/>
      <c r="F84" s="275"/>
      <c r="G84" s="275"/>
      <c r="H84" s="275"/>
      <c r="I84" s="275"/>
      <c r="J84" s="275"/>
      <c r="K84" s="275"/>
      <c r="L84" s="275"/>
      <c r="M84" s="275"/>
      <c r="N84" s="275"/>
      <c r="O84" s="275"/>
      <c r="P84" s="275"/>
      <c r="Q84" s="275"/>
      <c r="R84" s="275"/>
      <c r="S84" s="275"/>
      <c r="T84" s="275"/>
      <c r="U84" s="275"/>
      <c r="V84" s="275"/>
      <c r="W84" s="275"/>
      <c r="X84" s="275"/>
      <c r="Y84" s="275"/>
      <c r="Z84" s="275"/>
    </row>
    <row r="85">
      <c r="B85" s="276" t="s">
        <v>2555</v>
      </c>
      <c r="C85" s="274">
        <v>4040.0</v>
      </c>
      <c r="D85" s="275"/>
      <c r="E85" s="275"/>
      <c r="F85" s="275"/>
      <c r="G85" s="275"/>
      <c r="H85" s="275"/>
      <c r="I85" s="275"/>
      <c r="J85" s="275"/>
      <c r="K85" s="275"/>
      <c r="L85" s="275"/>
      <c r="M85" s="275"/>
      <c r="N85" s="275"/>
      <c r="O85" s="275"/>
      <c r="P85" s="275"/>
      <c r="Q85" s="275"/>
      <c r="R85" s="275"/>
      <c r="S85" s="275"/>
      <c r="T85" s="275"/>
      <c r="U85" s="275"/>
      <c r="V85" s="275"/>
      <c r="W85" s="275"/>
      <c r="X85" s="275"/>
      <c r="Y85" s="275"/>
      <c r="Z85" s="275"/>
    </row>
    <row r="86">
      <c r="B86" s="276" t="s">
        <v>2556</v>
      </c>
      <c r="C86" s="274">
        <v>4041.0</v>
      </c>
      <c r="D86" s="275"/>
      <c r="E86" s="275"/>
      <c r="F86" s="275"/>
      <c r="G86" s="275"/>
      <c r="H86" s="275"/>
      <c r="I86" s="275"/>
      <c r="J86" s="275"/>
      <c r="K86" s="275"/>
      <c r="L86" s="275"/>
      <c r="M86" s="275"/>
      <c r="N86" s="275"/>
      <c r="O86" s="275"/>
      <c r="P86" s="275"/>
      <c r="Q86" s="275"/>
      <c r="R86" s="275"/>
      <c r="S86" s="275"/>
      <c r="T86" s="275"/>
      <c r="U86" s="275"/>
      <c r="V86" s="275"/>
      <c r="W86" s="275"/>
      <c r="X86" s="275"/>
      <c r="Y86" s="275"/>
      <c r="Z86" s="275"/>
    </row>
    <row r="87">
      <c r="B87" s="276" t="s">
        <v>2557</v>
      </c>
      <c r="C87" s="274">
        <v>4042.0</v>
      </c>
      <c r="D87" s="275"/>
      <c r="E87" s="275"/>
      <c r="F87" s="275"/>
      <c r="G87" s="275"/>
      <c r="H87" s="275"/>
      <c r="I87" s="275"/>
      <c r="J87" s="275"/>
      <c r="K87" s="275"/>
      <c r="L87" s="275"/>
      <c r="M87" s="275"/>
      <c r="N87" s="275"/>
      <c r="O87" s="275"/>
      <c r="P87" s="275"/>
      <c r="Q87" s="275"/>
      <c r="R87" s="275"/>
      <c r="S87" s="275"/>
      <c r="T87" s="275"/>
      <c r="U87" s="275"/>
      <c r="V87" s="275"/>
      <c r="W87" s="275"/>
      <c r="X87" s="275"/>
      <c r="Y87" s="275"/>
      <c r="Z87" s="275"/>
    </row>
    <row r="88">
      <c r="B88" s="276" t="s">
        <v>2558</v>
      </c>
      <c r="C88" s="274">
        <v>4043.0</v>
      </c>
      <c r="D88" s="275"/>
      <c r="E88" s="275"/>
      <c r="F88" s="275"/>
      <c r="G88" s="275"/>
      <c r="H88" s="275"/>
      <c r="I88" s="275"/>
      <c r="J88" s="275"/>
      <c r="K88" s="275"/>
      <c r="L88" s="275"/>
      <c r="M88" s="275"/>
      <c r="N88" s="275"/>
      <c r="O88" s="275"/>
      <c r="P88" s="275"/>
      <c r="Q88" s="275"/>
      <c r="R88" s="275"/>
      <c r="S88" s="275"/>
      <c r="T88" s="275"/>
      <c r="U88" s="275"/>
      <c r="V88" s="275"/>
      <c r="W88" s="275"/>
      <c r="X88" s="275"/>
      <c r="Y88" s="275"/>
      <c r="Z88" s="275"/>
    </row>
    <row r="89">
      <c r="B89" s="276" t="s">
        <v>2559</v>
      </c>
      <c r="C89" s="274">
        <v>4044.0</v>
      </c>
      <c r="D89" s="275"/>
      <c r="E89" s="275"/>
      <c r="F89" s="275"/>
      <c r="G89" s="275"/>
      <c r="H89" s="275"/>
      <c r="I89" s="275"/>
      <c r="J89" s="275"/>
      <c r="K89" s="275"/>
      <c r="L89" s="275"/>
      <c r="M89" s="275"/>
      <c r="N89" s="275"/>
      <c r="O89" s="275"/>
      <c r="P89" s="275"/>
      <c r="Q89" s="275"/>
      <c r="R89" s="275"/>
      <c r="S89" s="275"/>
      <c r="T89" s="275"/>
      <c r="U89" s="275"/>
      <c r="V89" s="275"/>
      <c r="W89" s="275"/>
      <c r="X89" s="275"/>
      <c r="Y89" s="275"/>
      <c r="Z89" s="275"/>
    </row>
    <row r="90">
      <c r="B90" s="276" t="s">
        <v>2560</v>
      </c>
      <c r="C90" s="274">
        <v>4045.0</v>
      </c>
      <c r="D90" s="275"/>
      <c r="E90" s="275"/>
      <c r="F90" s="275"/>
      <c r="G90" s="275"/>
      <c r="H90" s="275"/>
      <c r="I90" s="275"/>
      <c r="J90" s="275"/>
      <c r="K90" s="275"/>
      <c r="L90" s="275"/>
      <c r="M90" s="275"/>
      <c r="N90" s="275"/>
      <c r="O90" s="275"/>
      <c r="P90" s="275"/>
      <c r="Q90" s="275"/>
      <c r="R90" s="275"/>
      <c r="S90" s="275"/>
      <c r="T90" s="275"/>
      <c r="U90" s="275"/>
      <c r="V90" s="275"/>
      <c r="W90" s="275"/>
      <c r="X90" s="275"/>
      <c r="Y90" s="275"/>
      <c r="Z90" s="275"/>
    </row>
    <row r="91">
      <c r="B91" s="276" t="s">
        <v>2561</v>
      </c>
      <c r="C91" s="274">
        <v>4046.0</v>
      </c>
      <c r="D91" s="275"/>
      <c r="E91" s="275"/>
      <c r="F91" s="275"/>
      <c r="G91" s="275"/>
      <c r="H91" s="275"/>
      <c r="I91" s="275"/>
      <c r="J91" s="275"/>
      <c r="K91" s="275"/>
      <c r="L91" s="275"/>
      <c r="M91" s="275"/>
      <c r="N91" s="275"/>
      <c r="O91" s="275"/>
      <c r="P91" s="275"/>
      <c r="Q91" s="275"/>
      <c r="R91" s="275"/>
      <c r="S91" s="275"/>
      <c r="T91" s="275"/>
      <c r="U91" s="275"/>
      <c r="V91" s="275"/>
      <c r="W91" s="275"/>
      <c r="X91" s="275"/>
      <c r="Y91" s="275"/>
      <c r="Z91" s="275"/>
    </row>
    <row r="92">
      <c r="B92" s="274" t="s">
        <v>2562</v>
      </c>
      <c r="C92" s="274">
        <v>4047.0</v>
      </c>
      <c r="D92" s="275"/>
      <c r="E92" s="275"/>
      <c r="F92" s="275"/>
      <c r="G92" s="275"/>
      <c r="H92" s="275"/>
      <c r="I92" s="275"/>
      <c r="J92" s="275"/>
      <c r="K92" s="275"/>
      <c r="L92" s="275"/>
      <c r="M92" s="275"/>
      <c r="N92" s="275"/>
      <c r="O92" s="275"/>
      <c r="P92" s="275"/>
      <c r="Q92" s="275"/>
      <c r="R92" s="275"/>
      <c r="S92" s="275"/>
      <c r="T92" s="275"/>
      <c r="U92" s="275"/>
      <c r="V92" s="275"/>
      <c r="W92" s="275"/>
      <c r="X92" s="275"/>
      <c r="Y92" s="275"/>
      <c r="Z92" s="275"/>
    </row>
    <row r="93">
      <c r="B93" s="276" t="s">
        <v>209</v>
      </c>
      <c r="C93" s="274">
        <v>4048.0</v>
      </c>
      <c r="D93" s="275"/>
      <c r="E93" s="275"/>
      <c r="F93" s="275"/>
      <c r="G93" s="275"/>
      <c r="H93" s="275"/>
      <c r="I93" s="275"/>
      <c r="J93" s="275"/>
      <c r="K93" s="275"/>
      <c r="L93" s="275"/>
      <c r="M93" s="275"/>
      <c r="N93" s="275"/>
      <c r="O93" s="275"/>
      <c r="P93" s="275"/>
      <c r="Q93" s="275"/>
      <c r="R93" s="275"/>
      <c r="S93" s="275"/>
      <c r="T93" s="275"/>
      <c r="U93" s="275"/>
      <c r="V93" s="275"/>
      <c r="W93" s="275"/>
      <c r="X93" s="275"/>
      <c r="Y93" s="275"/>
      <c r="Z93" s="275"/>
    </row>
    <row r="94">
      <c r="B94" s="274" t="s">
        <v>2563</v>
      </c>
      <c r="C94" s="274">
        <v>4049.0</v>
      </c>
      <c r="D94" s="275"/>
      <c r="E94" s="275"/>
      <c r="F94" s="275"/>
      <c r="G94" s="275"/>
      <c r="H94" s="275"/>
      <c r="I94" s="275"/>
      <c r="J94" s="275"/>
      <c r="K94" s="275"/>
      <c r="L94" s="275"/>
      <c r="M94" s="275"/>
      <c r="N94" s="275"/>
      <c r="O94" s="275"/>
      <c r="P94" s="275"/>
      <c r="Q94" s="275"/>
      <c r="R94" s="275"/>
      <c r="S94" s="275"/>
      <c r="T94" s="275"/>
      <c r="U94" s="275"/>
      <c r="V94" s="275"/>
      <c r="W94" s="275"/>
      <c r="X94" s="275"/>
      <c r="Y94" s="275"/>
      <c r="Z94" s="275"/>
    </row>
    <row r="95">
      <c r="B95" s="274" t="s">
        <v>2564</v>
      </c>
      <c r="C95" s="274">
        <v>4050.0</v>
      </c>
      <c r="D95" s="275"/>
      <c r="E95" s="275"/>
      <c r="F95" s="275"/>
      <c r="G95" s="275"/>
      <c r="H95" s="275"/>
      <c r="I95" s="275"/>
      <c r="J95" s="275"/>
      <c r="K95" s="275"/>
      <c r="L95" s="275"/>
      <c r="M95" s="275"/>
      <c r="N95" s="275"/>
      <c r="O95" s="275"/>
      <c r="P95" s="275"/>
      <c r="Q95" s="275"/>
      <c r="R95" s="275"/>
      <c r="S95" s="275"/>
      <c r="T95" s="275"/>
      <c r="U95" s="275"/>
      <c r="V95" s="275"/>
      <c r="W95" s="275"/>
      <c r="X95" s="275"/>
      <c r="Y95" s="275"/>
      <c r="Z95" s="275"/>
    </row>
    <row r="96">
      <c r="B96" s="274" t="s">
        <v>2565</v>
      </c>
      <c r="C96" s="274">
        <v>4051.0</v>
      </c>
      <c r="D96" s="275"/>
      <c r="E96" s="275"/>
      <c r="F96" s="275"/>
      <c r="G96" s="275"/>
      <c r="H96" s="275"/>
      <c r="I96" s="275"/>
      <c r="J96" s="275"/>
      <c r="K96" s="275"/>
      <c r="L96" s="275"/>
      <c r="M96" s="275"/>
      <c r="N96" s="275"/>
      <c r="O96" s="275"/>
      <c r="P96" s="275"/>
      <c r="Q96" s="275"/>
      <c r="R96" s="275"/>
      <c r="S96" s="275"/>
      <c r="T96" s="275"/>
      <c r="U96" s="275"/>
      <c r="V96" s="275"/>
      <c r="W96" s="275"/>
      <c r="X96" s="275"/>
      <c r="Y96" s="275"/>
      <c r="Z96" s="275"/>
    </row>
    <row r="97">
      <c r="B97" s="274" t="s">
        <v>2566</v>
      </c>
      <c r="C97" s="274">
        <v>4052.0</v>
      </c>
      <c r="D97" s="275"/>
      <c r="E97" s="275"/>
      <c r="F97" s="275"/>
      <c r="G97" s="275"/>
      <c r="H97" s="275"/>
      <c r="I97" s="275"/>
      <c r="J97" s="275"/>
      <c r="K97" s="275"/>
      <c r="L97" s="275"/>
      <c r="M97" s="275"/>
      <c r="N97" s="275"/>
      <c r="O97" s="275"/>
      <c r="P97" s="275"/>
      <c r="Q97" s="275"/>
      <c r="R97" s="275"/>
      <c r="S97" s="275"/>
      <c r="T97" s="275"/>
      <c r="U97" s="275"/>
      <c r="V97" s="275"/>
      <c r="W97" s="275"/>
      <c r="X97" s="275"/>
      <c r="Y97" s="275"/>
      <c r="Z97" s="275"/>
    </row>
    <row r="98">
      <c r="B98" s="274" t="s">
        <v>2567</v>
      </c>
      <c r="C98" s="274">
        <v>4053.0</v>
      </c>
      <c r="D98" s="275"/>
      <c r="E98" s="275"/>
      <c r="F98" s="275"/>
      <c r="G98" s="275"/>
      <c r="H98" s="275"/>
      <c r="I98" s="275"/>
      <c r="J98" s="275"/>
      <c r="K98" s="275"/>
      <c r="L98" s="275"/>
      <c r="M98" s="275"/>
      <c r="N98" s="275"/>
      <c r="O98" s="275"/>
      <c r="P98" s="275"/>
      <c r="Q98" s="275"/>
      <c r="R98" s="275"/>
      <c r="S98" s="275"/>
      <c r="T98" s="275"/>
      <c r="U98" s="275"/>
      <c r="V98" s="275"/>
      <c r="W98" s="275"/>
      <c r="X98" s="275"/>
      <c r="Y98" s="275"/>
      <c r="Z98" s="275"/>
    </row>
    <row r="99">
      <c r="B99" s="274" t="s">
        <v>2568</v>
      </c>
      <c r="C99" s="274">
        <v>4054.0</v>
      </c>
      <c r="D99" s="275"/>
      <c r="E99" s="275"/>
      <c r="F99" s="275"/>
      <c r="G99" s="275"/>
      <c r="H99" s="275"/>
      <c r="I99" s="275"/>
      <c r="J99" s="275"/>
      <c r="K99" s="275"/>
      <c r="L99" s="275"/>
      <c r="M99" s="275"/>
      <c r="N99" s="275"/>
      <c r="O99" s="275"/>
      <c r="P99" s="275"/>
      <c r="Q99" s="275"/>
      <c r="R99" s="275"/>
      <c r="S99" s="275"/>
      <c r="T99" s="275"/>
      <c r="U99" s="275"/>
      <c r="V99" s="275"/>
      <c r="W99" s="275"/>
      <c r="X99" s="275"/>
      <c r="Y99" s="275"/>
      <c r="Z99" s="275"/>
    </row>
    <row r="100">
      <c r="B100" s="274" t="s">
        <v>2569</v>
      </c>
      <c r="C100" s="274">
        <v>4055.0</v>
      </c>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c r="B101" s="274" t="s">
        <v>2570</v>
      </c>
      <c r="C101" s="274">
        <v>4056.0</v>
      </c>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c r="B102" s="274" t="s">
        <v>2571</v>
      </c>
      <c r="C102" s="274">
        <v>4057.0</v>
      </c>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c r="B103" s="274" t="s">
        <v>2572</v>
      </c>
      <c r="C103" s="274">
        <v>4058.0</v>
      </c>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c r="B104" s="274" t="s">
        <v>2573</v>
      </c>
      <c r="C104" s="274">
        <v>4059.0</v>
      </c>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c r="B105" s="274" t="s">
        <v>2574</v>
      </c>
      <c r="C105" s="274">
        <v>4060.0</v>
      </c>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c r="B106" s="274" t="s">
        <v>2575</v>
      </c>
      <c r="C106" s="274">
        <v>4061.0</v>
      </c>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c r="B107" s="274" t="s">
        <v>2576</v>
      </c>
      <c r="C107" s="274">
        <v>4062.0</v>
      </c>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c r="B108" s="274" t="s">
        <v>2577</v>
      </c>
      <c r="C108" s="274">
        <v>4063.0</v>
      </c>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c r="B109" s="274" t="s">
        <v>2578</v>
      </c>
      <c r="C109" s="274">
        <v>4064.0</v>
      </c>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c r="B110" s="274" t="s">
        <v>2579</v>
      </c>
      <c r="C110" s="274">
        <v>4065.0</v>
      </c>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c r="B111" s="274" t="s">
        <v>2580</v>
      </c>
      <c r="C111" s="274">
        <v>4066.0</v>
      </c>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c r="B112" s="274" t="s">
        <v>2581</v>
      </c>
      <c r="C112" s="277"/>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c r="B113" s="274" t="s">
        <v>2582</v>
      </c>
      <c r="C113" s="274">
        <v>4067.0</v>
      </c>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c r="B114" s="274" t="s">
        <v>2583</v>
      </c>
      <c r="C114" s="274">
        <v>4068.0</v>
      </c>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c r="B115" s="274" t="s">
        <v>2584</v>
      </c>
      <c r="C115" s="274">
        <v>4069.0</v>
      </c>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c r="B116" s="274" t="s">
        <v>2585</v>
      </c>
      <c r="C116" s="274">
        <v>4070.0</v>
      </c>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c r="B117" s="274" t="s">
        <v>2586</v>
      </c>
      <c r="C117" s="274">
        <v>4071.0</v>
      </c>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c r="B118" s="274" t="s">
        <v>2587</v>
      </c>
      <c r="C118" s="274">
        <v>4072.0</v>
      </c>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c r="B119" s="274" t="s">
        <v>2588</v>
      </c>
      <c r="C119" s="274">
        <v>4073.0</v>
      </c>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c r="B120" s="274" t="s">
        <v>2589</v>
      </c>
      <c r="C120" s="274">
        <v>4074.0</v>
      </c>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c r="B121" s="274" t="s">
        <v>2590</v>
      </c>
      <c r="C121" s="274">
        <v>4075.0</v>
      </c>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c r="B122" s="274" t="s">
        <v>2591</v>
      </c>
      <c r="C122" s="274">
        <v>4076.0</v>
      </c>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c r="B123" s="274" t="s">
        <v>2592</v>
      </c>
      <c r="C123" s="274">
        <v>4077.0</v>
      </c>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c r="B124" s="274" t="s">
        <v>2593</v>
      </c>
      <c r="C124" s="274">
        <v>4078.0</v>
      </c>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c r="B125" s="274" t="s">
        <v>2594</v>
      </c>
      <c r="C125" s="274">
        <v>4079.0</v>
      </c>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c r="B126" s="274" t="s">
        <v>2595</v>
      </c>
      <c r="C126" s="274">
        <v>4080.0</v>
      </c>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c r="B127" s="274" t="s">
        <v>2596</v>
      </c>
      <c r="C127" s="274">
        <v>4081.0</v>
      </c>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c r="B128" s="274" t="s">
        <v>2597</v>
      </c>
      <c r="C128" s="274">
        <v>4082.0</v>
      </c>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c r="B129" s="274" t="s">
        <v>2598</v>
      </c>
      <c r="C129" s="274">
        <v>4083.0</v>
      </c>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c r="B130" s="274" t="s">
        <v>2599</v>
      </c>
      <c r="C130" s="274">
        <v>4084.0</v>
      </c>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c r="B131" s="274" t="s">
        <v>2600</v>
      </c>
      <c r="C131" s="274">
        <v>4085.0</v>
      </c>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c r="B132" s="274" t="s">
        <v>2601</v>
      </c>
      <c r="C132" s="274">
        <v>4086.0</v>
      </c>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c r="B133" s="274" t="s">
        <v>2602</v>
      </c>
      <c r="C133" s="274">
        <v>4087.0</v>
      </c>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c r="B134" s="274" t="s">
        <v>2603</v>
      </c>
      <c r="C134" s="274">
        <v>4088.0</v>
      </c>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c r="B135" s="274" t="s">
        <v>2604</v>
      </c>
      <c r="C135" s="274">
        <v>4089.0</v>
      </c>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c r="B136" s="274" t="s">
        <v>2605</v>
      </c>
      <c r="C136" s="274">
        <v>4090.0</v>
      </c>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c r="B137" s="274" t="s">
        <v>2606</v>
      </c>
      <c r="C137" s="274">
        <v>4091.0</v>
      </c>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c r="B138" s="274" t="s">
        <v>2607</v>
      </c>
      <c r="C138" s="274">
        <v>4092.0</v>
      </c>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c r="B139" s="274" t="s">
        <v>2608</v>
      </c>
      <c r="C139" s="274">
        <v>4093.0</v>
      </c>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c r="B140" s="274" t="s">
        <v>2609</v>
      </c>
      <c r="C140" s="274">
        <v>4094.0</v>
      </c>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c r="B141" s="274" t="s">
        <v>2610</v>
      </c>
      <c r="C141" s="274">
        <v>4095.0</v>
      </c>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c r="B142" s="274" t="s">
        <v>2611</v>
      </c>
      <c r="C142" s="274">
        <v>4096.0</v>
      </c>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c r="B143" s="274" t="s">
        <v>2612</v>
      </c>
      <c r="C143" s="274">
        <v>4097.0</v>
      </c>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c r="B144" s="274" t="s">
        <v>2613</v>
      </c>
      <c r="C144" s="274">
        <v>4098.0</v>
      </c>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c r="B145" s="274" t="s">
        <v>2614</v>
      </c>
      <c r="C145" s="274">
        <v>4099.0</v>
      </c>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c r="A146" s="277"/>
      <c r="B146" s="277"/>
      <c r="C146" s="277"/>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c r="A147" s="274" t="s">
        <v>2615</v>
      </c>
      <c r="B147" s="274" t="s">
        <v>2616</v>
      </c>
      <c r="C147" s="274">
        <v>5001.0</v>
      </c>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c r="B148" s="274" t="s">
        <v>2617</v>
      </c>
      <c r="C148" s="274">
        <v>5002.0</v>
      </c>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c r="B149" s="274" t="s">
        <v>2618</v>
      </c>
      <c r="C149" s="274">
        <v>5003.0</v>
      </c>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c r="B150" s="274" t="s">
        <v>2619</v>
      </c>
      <c r="C150" s="274">
        <v>5004.0</v>
      </c>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c r="A151" s="277"/>
      <c r="B151" s="277"/>
      <c r="C151" s="277"/>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c r="A152" s="274" t="s">
        <v>2620</v>
      </c>
      <c r="B152" s="274" t="s">
        <v>2621</v>
      </c>
      <c r="C152" s="274">
        <v>6001.0</v>
      </c>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c r="B153" s="274" t="s">
        <v>2622</v>
      </c>
      <c r="C153" s="274">
        <v>6002.0</v>
      </c>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c r="B154" s="274" t="s">
        <v>2623</v>
      </c>
      <c r="C154" s="274">
        <v>6003.0</v>
      </c>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c r="B155" s="274" t="s">
        <v>2624</v>
      </c>
      <c r="C155" s="274">
        <v>6004.0</v>
      </c>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c r="B156" s="274" t="s">
        <v>2625</v>
      </c>
      <c r="C156" s="274">
        <v>6005.0</v>
      </c>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c r="B157" s="274" t="s">
        <v>2626</v>
      </c>
      <c r="C157" s="274">
        <v>6006.0</v>
      </c>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c r="B158" s="274" t="s">
        <v>2627</v>
      </c>
      <c r="C158" s="274">
        <v>6007.0</v>
      </c>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c r="B159" s="274" t="s">
        <v>2628</v>
      </c>
      <c r="C159" s="274">
        <v>6008.0</v>
      </c>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c r="B160" s="274" t="s">
        <v>2629</v>
      </c>
      <c r="C160" s="274">
        <v>6009.0</v>
      </c>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c r="B161" s="274" t="s">
        <v>2630</v>
      </c>
      <c r="C161" s="274">
        <v>6010.0</v>
      </c>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c r="A162" s="277"/>
      <c r="B162" s="277"/>
      <c r="C162" s="277"/>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c r="A163" s="274" t="s">
        <v>2631</v>
      </c>
      <c r="B163" s="274" t="s">
        <v>2632</v>
      </c>
      <c r="C163" s="274">
        <v>7001.0</v>
      </c>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c r="B164" s="274" t="s">
        <v>2633</v>
      </c>
      <c r="C164" s="274">
        <v>7002.0</v>
      </c>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c r="B165" s="274" t="s">
        <v>2634</v>
      </c>
      <c r="C165" s="274">
        <v>7003.0</v>
      </c>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c r="B166" s="274" t="s">
        <v>2635</v>
      </c>
      <c r="C166" s="274">
        <v>7004.0</v>
      </c>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c r="B167" s="274" t="s">
        <v>2636</v>
      </c>
      <c r="C167" s="274">
        <v>7005.0</v>
      </c>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c r="A168" s="277"/>
      <c r="B168" s="277"/>
      <c r="C168" s="277"/>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c r="A169" s="274" t="s">
        <v>2637</v>
      </c>
      <c r="B169" s="274" t="s">
        <v>2638</v>
      </c>
      <c r="C169" s="274">
        <v>8001.0</v>
      </c>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c r="B170" s="274" t="s">
        <v>2639</v>
      </c>
      <c r="C170" s="274">
        <v>8002.0</v>
      </c>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c r="B171" s="274" t="s">
        <v>2640</v>
      </c>
      <c r="C171" s="274">
        <v>8003.0</v>
      </c>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c r="B172" s="274" t="s">
        <v>2641</v>
      </c>
      <c r="C172" s="274">
        <v>8004.0</v>
      </c>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c r="B173" s="274" t="s">
        <v>2642</v>
      </c>
      <c r="C173" s="274">
        <v>8005.0</v>
      </c>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c r="B174" s="274" t="s">
        <v>2643</v>
      </c>
      <c r="C174" s="274">
        <v>8006.0</v>
      </c>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c r="B175" s="274" t="s">
        <v>2644</v>
      </c>
      <c r="C175" s="274">
        <v>8007.0</v>
      </c>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c r="B176" s="274" t="s">
        <v>2645</v>
      </c>
      <c r="C176" s="274">
        <v>8008.0</v>
      </c>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c r="B177" s="274" t="s">
        <v>2646</v>
      </c>
      <c r="C177" s="274">
        <v>8009.0</v>
      </c>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c r="A178" s="277"/>
      <c r="B178" s="277"/>
      <c r="C178" s="277"/>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c r="A179" s="274" t="s">
        <v>2647</v>
      </c>
      <c r="B179" s="274" t="s">
        <v>2648</v>
      </c>
      <c r="C179" s="274">
        <v>9001.0</v>
      </c>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c r="B180" s="274" t="s">
        <v>2649</v>
      </c>
      <c r="C180" s="274">
        <v>9002.0</v>
      </c>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c r="B181" s="274" t="s">
        <v>2650</v>
      </c>
      <c r="C181" s="274">
        <v>9003.0</v>
      </c>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c r="B182" s="274" t="s">
        <v>2651</v>
      </c>
      <c r="C182" s="277"/>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c r="B183" s="274" t="s">
        <v>2652</v>
      </c>
      <c r="C183" s="274">
        <v>9004.0</v>
      </c>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c r="B184" s="274" t="s">
        <v>2653</v>
      </c>
      <c r="C184" s="274">
        <v>9005.0</v>
      </c>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c r="B185" s="274" t="s">
        <v>2654</v>
      </c>
      <c r="C185" s="274">
        <v>9006.0</v>
      </c>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c r="B186" s="274" t="s">
        <v>2655</v>
      </c>
      <c r="C186" s="274">
        <v>9007.0</v>
      </c>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c r="B187" s="274" t="s">
        <v>2656</v>
      </c>
      <c r="C187" s="274">
        <v>9008.0</v>
      </c>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c r="B188" s="274" t="s">
        <v>2657</v>
      </c>
      <c r="C188" s="274">
        <v>9009.0</v>
      </c>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c r="B189" s="274" t="s">
        <v>2656</v>
      </c>
      <c r="C189" s="274">
        <v>9010.0</v>
      </c>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c r="B190" s="274" t="s">
        <v>2658</v>
      </c>
      <c r="C190" s="274">
        <v>9011.0</v>
      </c>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c r="B191" s="274" t="s">
        <v>2659</v>
      </c>
      <c r="C191" s="274">
        <v>9012.0</v>
      </c>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c r="B192" s="274" t="s">
        <v>2660</v>
      </c>
      <c r="C192" s="274">
        <v>9013.0</v>
      </c>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c r="B193" s="274" t="s">
        <v>2661</v>
      </c>
      <c r="C193" s="274">
        <v>9014.0</v>
      </c>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c r="B194" s="274" t="s">
        <v>2662</v>
      </c>
      <c r="C194" s="274">
        <v>9015.0</v>
      </c>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c r="B195" s="274" t="s">
        <v>2663</v>
      </c>
      <c r="C195" s="274">
        <v>9016.0</v>
      </c>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c r="B196" s="274" t="s">
        <v>2664</v>
      </c>
      <c r="C196" s="274">
        <v>9017.0</v>
      </c>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c r="B197" s="274" t="s">
        <v>2665</v>
      </c>
      <c r="C197" s="274">
        <v>9018.0</v>
      </c>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c r="B198" s="274" t="s">
        <v>2666</v>
      </c>
      <c r="C198" s="274">
        <v>9019.0</v>
      </c>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c r="B199" s="274" t="s">
        <v>2667</v>
      </c>
      <c r="C199" s="274">
        <v>9020.0</v>
      </c>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c r="B200" s="274" t="s">
        <v>2668</v>
      </c>
      <c r="C200" s="274">
        <v>9021.0</v>
      </c>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c r="B201" s="274" t="s">
        <v>2669</v>
      </c>
      <c r="C201" s="274">
        <v>9022.0</v>
      </c>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c r="B202" s="274" t="s">
        <v>2670</v>
      </c>
      <c r="C202" s="274">
        <v>9023.0</v>
      </c>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c r="B203" s="274" t="s">
        <v>2671</v>
      </c>
      <c r="C203" s="274">
        <v>9024.0</v>
      </c>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c r="B204" s="274" t="s">
        <v>2672</v>
      </c>
      <c r="C204" s="274">
        <v>9025.0</v>
      </c>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c r="B205" s="274" t="s">
        <v>2673</v>
      </c>
      <c r="C205" s="274">
        <v>9026.0</v>
      </c>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c r="B206" s="274" t="s">
        <v>2674</v>
      </c>
      <c r="C206" s="274">
        <v>9027.0</v>
      </c>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c r="B207" s="274" t="s">
        <v>2675</v>
      </c>
      <c r="C207" s="274">
        <v>9028.0</v>
      </c>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c r="A208" s="277"/>
      <c r="B208" s="277"/>
      <c r="C208" s="277"/>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c r="A209" s="274" t="s">
        <v>2676</v>
      </c>
      <c r="B209" s="274" t="s">
        <v>2677</v>
      </c>
      <c r="C209" s="274">
        <v>10001.0</v>
      </c>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c r="B210" s="274" t="s">
        <v>2678</v>
      </c>
      <c r="C210" s="274">
        <v>10002.0</v>
      </c>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c r="B211" s="274" t="s">
        <v>2679</v>
      </c>
      <c r="C211" s="274">
        <v>10003.0</v>
      </c>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c r="B212" s="274" t="s">
        <v>2680</v>
      </c>
      <c r="C212" s="274">
        <v>10004.0</v>
      </c>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c r="B213" s="274" t="s">
        <v>2681</v>
      </c>
      <c r="C213" s="274">
        <v>10005.0</v>
      </c>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c r="B214" s="274" t="s">
        <v>2682</v>
      </c>
      <c r="C214" s="274">
        <v>10006.0</v>
      </c>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c r="B215" s="274" t="s">
        <v>2683</v>
      </c>
      <c r="C215" s="274">
        <v>10007.0</v>
      </c>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c r="B216" s="274" t="s">
        <v>2684</v>
      </c>
      <c r="C216" s="274">
        <v>10008.0</v>
      </c>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c r="B217" s="274" t="s">
        <v>2685</v>
      </c>
      <c r="C217" s="274">
        <v>10009.0</v>
      </c>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c r="B218" s="274" t="s">
        <v>2686</v>
      </c>
      <c r="C218" s="274">
        <v>10010.0</v>
      </c>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c r="B219" s="274" t="s">
        <v>2687</v>
      </c>
      <c r="C219" s="274">
        <v>10011.0</v>
      </c>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c r="B220" s="274" t="s">
        <v>2688</v>
      </c>
      <c r="C220" s="274">
        <v>10012.0</v>
      </c>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c r="A221" s="277"/>
      <c r="B221" s="277"/>
      <c r="C221" s="277"/>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row>
    <row r="222">
      <c r="A222" s="274" t="s">
        <v>2689</v>
      </c>
      <c r="B222" s="274" t="s">
        <v>2690</v>
      </c>
      <c r="C222" s="274">
        <v>11001.0</v>
      </c>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row>
    <row r="223">
      <c r="B223" s="274" t="s">
        <v>2691</v>
      </c>
      <c r="C223" s="274">
        <v>11002.0</v>
      </c>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row>
    <row r="224">
      <c r="B224" s="274" t="s">
        <v>2692</v>
      </c>
      <c r="C224" s="274">
        <v>11003.0</v>
      </c>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row>
    <row r="225">
      <c r="B225" s="274" t="s">
        <v>2693</v>
      </c>
      <c r="C225" s="274">
        <v>11004.0</v>
      </c>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row>
    <row r="226">
      <c r="B226" s="274" t="s">
        <v>2694</v>
      </c>
      <c r="C226" s="274">
        <v>11005.0</v>
      </c>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row>
    <row r="227">
      <c r="B227" s="274" t="s">
        <v>2695</v>
      </c>
      <c r="C227" s="274">
        <v>11006.0</v>
      </c>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row>
    <row r="228">
      <c r="B228" s="274" t="s">
        <v>2696</v>
      </c>
      <c r="C228" s="274">
        <v>11007.0</v>
      </c>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row>
    <row r="229">
      <c r="B229" s="274" t="s">
        <v>2697</v>
      </c>
      <c r="C229" s="274">
        <v>11008.0</v>
      </c>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row>
    <row r="230">
      <c r="B230" s="274" t="s">
        <v>2698</v>
      </c>
      <c r="C230" s="274">
        <v>11009.0</v>
      </c>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row>
    <row r="231">
      <c r="B231" s="274" t="s">
        <v>2699</v>
      </c>
      <c r="C231" s="274">
        <v>11010.0</v>
      </c>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row>
    <row r="232">
      <c r="B232" s="274" t="s">
        <v>2700</v>
      </c>
      <c r="C232" s="274">
        <v>11011.0</v>
      </c>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row>
    <row r="233">
      <c r="B233" s="274" t="s">
        <v>2701</v>
      </c>
      <c r="C233" s="274">
        <v>11012.0</v>
      </c>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row>
    <row r="234">
      <c r="B234" s="274" t="s">
        <v>2702</v>
      </c>
      <c r="C234" s="274">
        <v>11013.0</v>
      </c>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row>
    <row r="235">
      <c r="B235" s="274" t="s">
        <v>2703</v>
      </c>
      <c r="C235" s="274">
        <v>11014.0</v>
      </c>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row>
    <row r="236">
      <c r="B236" s="274" t="s">
        <v>2704</v>
      </c>
      <c r="C236" s="274">
        <v>11015.0</v>
      </c>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row>
    <row r="237">
      <c r="A237" s="277"/>
      <c r="B237" s="277"/>
      <c r="C237" s="277"/>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row>
    <row r="238">
      <c r="A238" s="274" t="s">
        <v>2705</v>
      </c>
      <c r="B238" s="274" t="s">
        <v>2706</v>
      </c>
      <c r="C238" s="274">
        <v>12001.0</v>
      </c>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row>
    <row r="239">
      <c r="B239" s="274" t="s">
        <v>2707</v>
      </c>
      <c r="C239" s="274">
        <v>12002.0</v>
      </c>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row>
    <row r="240">
      <c r="B240" s="274" t="s">
        <v>2708</v>
      </c>
      <c r="C240" s="274">
        <v>12003.0</v>
      </c>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row>
    <row r="241">
      <c r="B241" s="274" t="s">
        <v>2709</v>
      </c>
      <c r="C241" s="274">
        <v>12004.0</v>
      </c>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row>
    <row r="242">
      <c r="B242" s="274" t="s">
        <v>2710</v>
      </c>
      <c r="C242" s="274">
        <v>12005.0</v>
      </c>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row>
    <row r="243">
      <c r="B243" s="274" t="s">
        <v>2711</v>
      </c>
      <c r="C243" s="274">
        <v>12006.0</v>
      </c>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row>
    <row r="244">
      <c r="A244" s="277"/>
      <c r="B244" s="277"/>
      <c r="C244" s="277"/>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row>
    <row r="245">
      <c r="A245" s="274" t="s">
        <v>2712</v>
      </c>
      <c r="B245" s="274" t="s">
        <v>2713</v>
      </c>
      <c r="C245" s="274">
        <v>13001.0</v>
      </c>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row>
    <row r="246">
      <c r="B246" s="274" t="s">
        <v>2714</v>
      </c>
      <c r="C246" s="274">
        <v>13002.0</v>
      </c>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row>
    <row r="247">
      <c r="B247" s="274" t="s">
        <v>2715</v>
      </c>
      <c r="C247" s="274">
        <v>13003.0</v>
      </c>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row>
    <row r="248">
      <c r="B248" s="274" t="s">
        <v>2716</v>
      </c>
      <c r="C248" s="274">
        <v>13004.0</v>
      </c>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row>
    <row r="249">
      <c r="B249" s="274" t="s">
        <v>2717</v>
      </c>
      <c r="C249" s="274">
        <v>13005.0</v>
      </c>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row>
    <row r="250">
      <c r="B250" s="274" t="s">
        <v>2718</v>
      </c>
      <c r="C250" s="274">
        <v>13006.0</v>
      </c>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row>
    <row r="251">
      <c r="B251" s="274" t="s">
        <v>2719</v>
      </c>
      <c r="C251" s="274">
        <v>13007.0</v>
      </c>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row>
    <row r="252">
      <c r="B252" s="274" t="s">
        <v>2720</v>
      </c>
      <c r="C252" s="274">
        <v>13008.0</v>
      </c>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row>
    <row r="253">
      <c r="B253" s="274" t="s">
        <v>2721</v>
      </c>
      <c r="C253" s="274">
        <v>13009.0</v>
      </c>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row>
    <row r="254">
      <c r="B254" s="274" t="s">
        <v>2722</v>
      </c>
      <c r="C254" s="274">
        <v>13010.0</v>
      </c>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row>
    <row r="255">
      <c r="B255" s="274" t="s">
        <v>302</v>
      </c>
      <c r="C255" s="274">
        <v>13011.0</v>
      </c>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row>
    <row r="256">
      <c r="B256" s="274" t="s">
        <v>2723</v>
      </c>
      <c r="C256" s="274">
        <v>13012.0</v>
      </c>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row>
    <row r="257">
      <c r="B257" s="274" t="s">
        <v>2724</v>
      </c>
      <c r="C257" s="274">
        <v>13013.0</v>
      </c>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row>
    <row r="258">
      <c r="B258" s="274" t="s">
        <v>2725</v>
      </c>
      <c r="C258" s="274">
        <v>13014.0</v>
      </c>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row>
    <row r="259">
      <c r="B259" s="274" t="s">
        <v>2726</v>
      </c>
      <c r="C259" s="274">
        <v>13015.0</v>
      </c>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row>
    <row r="260">
      <c r="B260" s="274" t="s">
        <v>2727</v>
      </c>
      <c r="C260" s="274">
        <v>13016.0</v>
      </c>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row>
    <row r="261">
      <c r="B261" s="274" t="s">
        <v>2728</v>
      </c>
      <c r="C261" s="274">
        <v>13017.0</v>
      </c>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row>
    <row r="262">
      <c r="B262" s="274" t="s">
        <v>2729</v>
      </c>
      <c r="C262" s="274">
        <v>13018.0</v>
      </c>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row>
    <row r="263">
      <c r="A263" s="277"/>
      <c r="B263" s="277"/>
      <c r="C263" s="277"/>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row>
    <row r="264">
      <c r="A264" s="274" t="s">
        <v>2730</v>
      </c>
      <c r="B264" s="274" t="s">
        <v>2731</v>
      </c>
      <c r="C264" s="274">
        <v>14001.0</v>
      </c>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row>
    <row r="265">
      <c r="B265" s="274" t="s">
        <v>2732</v>
      </c>
      <c r="C265" s="274">
        <v>14002.0</v>
      </c>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row>
    <row r="266">
      <c r="B266" s="274" t="s">
        <v>2733</v>
      </c>
      <c r="C266" s="274">
        <v>14003.0</v>
      </c>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row>
    <row r="267">
      <c r="B267" s="274" t="s">
        <v>2734</v>
      </c>
      <c r="C267" s="274">
        <v>14004.0</v>
      </c>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row>
    <row r="268">
      <c r="B268" s="274" t="s">
        <v>2735</v>
      </c>
      <c r="C268" s="274">
        <v>14005.0</v>
      </c>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row>
    <row r="269">
      <c r="B269" s="274" t="s">
        <v>2736</v>
      </c>
      <c r="C269" s="274">
        <v>14006.0</v>
      </c>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row>
    <row r="270">
      <c r="B270" s="274" t="s">
        <v>2737</v>
      </c>
      <c r="C270" s="274">
        <v>14007.0</v>
      </c>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row>
    <row r="271">
      <c r="B271" s="274" t="s">
        <v>2738</v>
      </c>
      <c r="C271" s="274">
        <v>14008.0</v>
      </c>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row>
    <row r="272">
      <c r="B272" s="274" t="s">
        <v>2739</v>
      </c>
      <c r="C272" s="274">
        <v>14009.0</v>
      </c>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row>
    <row r="273">
      <c r="B273" s="274" t="s">
        <v>2740</v>
      </c>
      <c r="C273" s="274">
        <v>14010.0</v>
      </c>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row>
    <row r="274">
      <c r="A274" s="277"/>
      <c r="B274" s="277"/>
      <c r="C274" s="277"/>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row>
    <row r="275">
      <c r="A275" s="274" t="s">
        <v>2741</v>
      </c>
      <c r="B275" s="274" t="s">
        <v>2742</v>
      </c>
      <c r="C275" s="274">
        <v>15001.0</v>
      </c>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row>
    <row r="276">
      <c r="B276" s="274" t="s">
        <v>2743</v>
      </c>
      <c r="C276" s="274">
        <v>15002.0</v>
      </c>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row>
    <row r="277">
      <c r="B277" s="274" t="s">
        <v>2744</v>
      </c>
      <c r="C277" s="274">
        <v>15003.0</v>
      </c>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row>
    <row r="278">
      <c r="A278" s="277"/>
      <c r="B278" s="277"/>
      <c r="C278" s="277"/>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row>
    <row r="279">
      <c r="A279" s="274" t="s">
        <v>2745</v>
      </c>
      <c r="B279" s="274" t="s">
        <v>2746</v>
      </c>
      <c r="C279" s="274">
        <v>16001.0</v>
      </c>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row>
    <row r="280">
      <c r="B280" s="274" t="s">
        <v>2747</v>
      </c>
      <c r="C280" s="274">
        <v>16002.0</v>
      </c>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row>
    <row r="281">
      <c r="B281" s="274" t="s">
        <v>2748</v>
      </c>
      <c r="C281" s="274">
        <v>16003.0</v>
      </c>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row>
    <row r="282">
      <c r="B282" s="274" t="s">
        <v>2749</v>
      </c>
      <c r="C282" s="274">
        <v>16004.0</v>
      </c>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row>
    <row r="283">
      <c r="B283" s="274" t="s">
        <v>2750</v>
      </c>
      <c r="C283" s="274">
        <v>16005.0</v>
      </c>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row>
    <row r="284">
      <c r="B284" s="274" t="s">
        <v>2751</v>
      </c>
      <c r="C284" s="274">
        <v>16006.0</v>
      </c>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row>
    <row r="285">
      <c r="B285" s="274" t="s">
        <v>2752</v>
      </c>
      <c r="C285" s="274">
        <v>16007.0</v>
      </c>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row>
    <row r="286">
      <c r="B286" s="274" t="s">
        <v>2753</v>
      </c>
      <c r="C286" s="274">
        <v>16008.0</v>
      </c>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row>
    <row r="287">
      <c r="B287" s="274" t="s">
        <v>2754</v>
      </c>
      <c r="C287" s="274">
        <v>16009.0</v>
      </c>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row>
    <row r="288">
      <c r="B288" s="274" t="s">
        <v>2755</v>
      </c>
      <c r="C288" s="274">
        <v>16010.0</v>
      </c>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row>
    <row r="289">
      <c r="B289" s="274" t="s">
        <v>2756</v>
      </c>
      <c r="C289" s="274">
        <v>16011.0</v>
      </c>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row>
    <row r="290">
      <c r="B290" s="274" t="s">
        <v>2757</v>
      </c>
      <c r="C290" s="274">
        <v>16012.0</v>
      </c>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row>
    <row r="291">
      <c r="B291" s="274" t="s">
        <v>2758</v>
      </c>
      <c r="C291" s="274">
        <v>16013.0</v>
      </c>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row>
    <row r="292">
      <c r="B292" s="274" t="s">
        <v>2759</v>
      </c>
      <c r="C292" s="274">
        <v>16014.0</v>
      </c>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row>
    <row r="293">
      <c r="B293" s="274" t="s">
        <v>1457</v>
      </c>
      <c r="C293" s="274">
        <v>16015.0</v>
      </c>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row>
    <row r="294">
      <c r="B294" s="274" t="s">
        <v>2760</v>
      </c>
      <c r="C294" s="274">
        <v>16016.0</v>
      </c>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row>
    <row r="295">
      <c r="B295" s="274" t="s">
        <v>2761</v>
      </c>
      <c r="C295" s="274">
        <v>16017.0</v>
      </c>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row>
    <row r="296">
      <c r="B296" s="274" t="s">
        <v>2762</v>
      </c>
      <c r="C296" s="274">
        <v>16018.0</v>
      </c>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row>
    <row r="297">
      <c r="B297" s="274" t="s">
        <v>2763</v>
      </c>
      <c r="C297" s="274">
        <v>16019.0</v>
      </c>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row>
    <row r="298">
      <c r="A298" s="277"/>
      <c r="B298" s="277"/>
      <c r="C298" s="277"/>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row>
    <row r="299">
      <c r="A299" s="274" t="s">
        <v>2764</v>
      </c>
      <c r="B299" s="274" t="s">
        <v>2765</v>
      </c>
      <c r="C299" s="274">
        <v>17001.0</v>
      </c>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row>
    <row r="300">
      <c r="B300" s="274" t="s">
        <v>2766</v>
      </c>
      <c r="C300" s="274">
        <v>17002.0</v>
      </c>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row>
    <row r="301">
      <c r="B301" s="274" t="s">
        <v>2767</v>
      </c>
      <c r="C301" s="274">
        <v>17003.0</v>
      </c>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row>
    <row r="302">
      <c r="B302" s="274" t="s">
        <v>2768</v>
      </c>
      <c r="C302" s="274">
        <v>17004.0</v>
      </c>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row>
    <row r="303">
      <c r="B303" s="274" t="s">
        <v>2769</v>
      </c>
      <c r="C303" s="274">
        <v>17005.0</v>
      </c>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row>
    <row r="304">
      <c r="B304" s="274" t="s">
        <v>2770</v>
      </c>
      <c r="C304" s="274">
        <v>17006.0</v>
      </c>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row>
    <row r="305">
      <c r="B305" s="274" t="s">
        <v>2771</v>
      </c>
      <c r="C305" s="274">
        <v>17007.0</v>
      </c>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row>
    <row r="306">
      <c r="A306" s="277"/>
      <c r="B306" s="277"/>
      <c r="C306" s="277"/>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row>
    <row r="307">
      <c r="A307" s="274" t="s">
        <v>2772</v>
      </c>
      <c r="B307" s="274" t="s">
        <v>2773</v>
      </c>
      <c r="C307" s="274">
        <v>18001.0</v>
      </c>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row>
    <row r="308">
      <c r="B308" s="274" t="s">
        <v>2774</v>
      </c>
      <c r="C308" s="274">
        <v>18002.0</v>
      </c>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row>
    <row r="309">
      <c r="B309" s="274" t="s">
        <v>2775</v>
      </c>
      <c r="C309" s="274">
        <v>18003.0</v>
      </c>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row>
    <row r="310">
      <c r="B310" s="274" t="s">
        <v>2776</v>
      </c>
      <c r="C310" s="274">
        <v>18004.0</v>
      </c>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row>
    <row r="311">
      <c r="B311" s="274" t="s">
        <v>2777</v>
      </c>
      <c r="C311" s="274">
        <v>18005.0</v>
      </c>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row>
    <row r="312">
      <c r="B312" s="274" t="s">
        <v>2778</v>
      </c>
      <c r="C312" s="274">
        <v>18006.0</v>
      </c>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row>
    <row r="313">
      <c r="B313" s="274" t="s">
        <v>2779</v>
      </c>
      <c r="C313" s="274">
        <v>18007.0</v>
      </c>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row>
    <row r="314">
      <c r="B314" s="274" t="s">
        <v>2780</v>
      </c>
      <c r="C314" s="274">
        <v>18008.0</v>
      </c>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row>
    <row r="315">
      <c r="B315" s="274" t="s">
        <v>2781</v>
      </c>
      <c r="C315" s="274">
        <v>18009.0</v>
      </c>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row>
    <row r="316">
      <c r="B316" s="274" t="s">
        <v>2782</v>
      </c>
      <c r="C316" s="274">
        <v>18010.0</v>
      </c>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row>
    <row r="317">
      <c r="B317" s="274" t="s">
        <v>2783</v>
      </c>
      <c r="C317" s="274">
        <v>18011.0</v>
      </c>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row>
    <row r="318">
      <c r="B318" s="274" t="s">
        <v>2784</v>
      </c>
      <c r="C318" s="274">
        <v>18012.0</v>
      </c>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row>
    <row r="319">
      <c r="B319" s="274" t="s">
        <v>2785</v>
      </c>
      <c r="C319" s="274">
        <v>18013.0</v>
      </c>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row>
    <row r="320">
      <c r="B320" s="274" t="s">
        <v>2786</v>
      </c>
      <c r="C320" s="274">
        <v>18014.0</v>
      </c>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row>
    <row r="321">
      <c r="B321" s="274" t="s">
        <v>2787</v>
      </c>
      <c r="C321" s="274">
        <v>18015.0</v>
      </c>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row>
    <row r="322">
      <c r="B322" s="274" t="s">
        <v>2788</v>
      </c>
      <c r="C322" s="274">
        <v>18016.0</v>
      </c>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c r="B323" s="274" t="s">
        <v>2789</v>
      </c>
      <c r="C323" s="274">
        <v>18017.0</v>
      </c>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c r="B324" s="274" t="s">
        <v>2790</v>
      </c>
      <c r="C324" s="274">
        <v>18018.0</v>
      </c>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c r="B325" s="274" t="s">
        <v>2791</v>
      </c>
      <c r="C325" s="274">
        <v>18019.0</v>
      </c>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c r="B326" s="274" t="s">
        <v>2792</v>
      </c>
      <c r="C326" s="274">
        <v>18020.0</v>
      </c>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c r="A327" s="277"/>
      <c r="B327" s="277"/>
      <c r="C327" s="277"/>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c r="A328" s="274" t="s">
        <v>2793</v>
      </c>
      <c r="B328" s="274" t="s">
        <v>2794</v>
      </c>
      <c r="C328" s="274">
        <v>19001.0</v>
      </c>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c r="B329" s="274" t="s">
        <v>2795</v>
      </c>
      <c r="C329" s="274">
        <v>19002.0</v>
      </c>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c r="B330" s="274" t="s">
        <v>2796</v>
      </c>
      <c r="C330" s="274">
        <v>19003.0</v>
      </c>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c r="B331" s="274" t="s">
        <v>2797</v>
      </c>
      <c r="C331" s="274">
        <v>19004.0</v>
      </c>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c r="B332" s="274" t="s">
        <v>2798</v>
      </c>
      <c r="C332" s="274">
        <v>19005.0</v>
      </c>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c r="B333" s="274" t="s">
        <v>2799</v>
      </c>
      <c r="C333" s="274">
        <v>19006.0</v>
      </c>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c r="B334" s="274" t="s">
        <v>2800</v>
      </c>
      <c r="C334" s="274">
        <v>19007.0</v>
      </c>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c r="B335" s="274" t="s">
        <v>2801</v>
      </c>
      <c r="C335" s="274">
        <v>19008.0</v>
      </c>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c r="B336" s="274" t="s">
        <v>2802</v>
      </c>
      <c r="C336" s="274">
        <v>19009.0</v>
      </c>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c r="A337" s="277"/>
      <c r="B337" s="277"/>
      <c r="C337" s="277"/>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c r="A338" s="274" t="s">
        <v>2803</v>
      </c>
      <c r="B338" s="274" t="s">
        <v>2804</v>
      </c>
      <c r="C338" s="274">
        <v>20001.0</v>
      </c>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c r="B339" s="274" t="s">
        <v>2805</v>
      </c>
      <c r="C339" s="274">
        <v>20002.0</v>
      </c>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c r="B340" s="274" t="s">
        <v>2806</v>
      </c>
      <c r="C340" s="274">
        <v>20003.0</v>
      </c>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c r="B341" s="274" t="s">
        <v>2807</v>
      </c>
      <c r="C341" s="274">
        <v>20004.0</v>
      </c>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c r="B342" s="274" t="s">
        <v>2808</v>
      </c>
      <c r="C342" s="274">
        <v>20005.0</v>
      </c>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c r="B343" s="274" t="s">
        <v>2809</v>
      </c>
      <c r="C343" s="274">
        <v>20006.0</v>
      </c>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c r="B344" s="274" t="s">
        <v>2810</v>
      </c>
      <c r="C344" s="274">
        <v>20007.0</v>
      </c>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c r="B345" s="274" t="s">
        <v>2811</v>
      </c>
      <c r="C345" s="274">
        <v>20008.0</v>
      </c>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c r="B346" s="274" t="s">
        <v>2812</v>
      </c>
      <c r="C346" s="274">
        <v>20009.0</v>
      </c>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c r="B347" s="274" t="s">
        <v>2813</v>
      </c>
      <c r="C347" s="274">
        <v>20010.0</v>
      </c>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c r="B348" s="274" t="s">
        <v>2814</v>
      </c>
      <c r="C348" s="274">
        <v>20011.0</v>
      </c>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c r="B349" s="274" t="s">
        <v>2815</v>
      </c>
      <c r="C349" s="274">
        <v>20012.0</v>
      </c>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c r="B350" s="274" t="s">
        <v>2816</v>
      </c>
      <c r="C350" s="274">
        <v>20013.0</v>
      </c>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c r="B351" s="274" t="s">
        <v>2817</v>
      </c>
      <c r="C351" s="274">
        <v>20014.0</v>
      </c>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c r="B352" s="274" t="s">
        <v>2818</v>
      </c>
      <c r="C352" s="274">
        <v>20015.0</v>
      </c>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c r="B353" s="274" t="s">
        <v>2819</v>
      </c>
      <c r="C353" s="274">
        <v>20016.0</v>
      </c>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c r="B354" s="274" t="s">
        <v>2820</v>
      </c>
      <c r="C354" s="274">
        <v>20017.0</v>
      </c>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c r="B355" s="274" t="s">
        <v>2821</v>
      </c>
      <c r="C355" s="274">
        <v>20018.0</v>
      </c>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c r="B356" s="274" t="s">
        <v>2822</v>
      </c>
      <c r="C356" s="274">
        <v>20019.0</v>
      </c>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c r="B357" s="274" t="s">
        <v>2823</v>
      </c>
      <c r="C357" s="274">
        <v>20020.0</v>
      </c>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c r="B358" s="274" t="s">
        <v>2824</v>
      </c>
      <c r="C358" s="274">
        <v>20021.0</v>
      </c>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c r="B359" s="274" t="s">
        <v>2825</v>
      </c>
      <c r="C359" s="274">
        <v>20022.0</v>
      </c>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c r="B360" s="274" t="s">
        <v>2826</v>
      </c>
      <c r="C360" s="274">
        <v>20023.0</v>
      </c>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c r="B361" s="274" t="s">
        <v>2827</v>
      </c>
      <c r="C361" s="274">
        <v>20024.0</v>
      </c>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c r="A362" s="277"/>
      <c r="B362" s="277"/>
      <c r="C362" s="277"/>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c r="A363" s="274" t="s">
        <v>2828</v>
      </c>
      <c r="B363" s="274" t="s">
        <v>2829</v>
      </c>
      <c r="C363" s="274">
        <v>21001.0</v>
      </c>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c r="B364" s="274" t="s">
        <v>2830</v>
      </c>
      <c r="C364" s="274">
        <v>21002.0</v>
      </c>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c r="B365" s="274" t="s">
        <v>2831</v>
      </c>
      <c r="C365" s="274">
        <v>21003.0</v>
      </c>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c r="B366" s="274" t="s">
        <v>2832</v>
      </c>
      <c r="C366" s="274">
        <v>21004.0</v>
      </c>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c r="B367" s="274" t="s">
        <v>2833</v>
      </c>
      <c r="C367" s="274">
        <v>21005.0</v>
      </c>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c r="B368" s="274" t="s">
        <v>2834</v>
      </c>
      <c r="C368" s="274">
        <v>21006.0</v>
      </c>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c r="B369" s="274" t="s">
        <v>2835</v>
      </c>
      <c r="C369" s="274">
        <v>21007.0</v>
      </c>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c r="B370" s="274" t="s">
        <v>2836</v>
      </c>
      <c r="C370" s="274">
        <v>21008.0</v>
      </c>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c r="A371" s="277"/>
      <c r="B371" s="277"/>
      <c r="C371" s="277"/>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c r="A372" s="274" t="s">
        <v>2837</v>
      </c>
      <c r="B372" s="274" t="s">
        <v>2838</v>
      </c>
      <c r="C372" s="274">
        <v>22001.0</v>
      </c>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c r="A373" s="278"/>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c r="A374" s="275"/>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c r="A375" s="275"/>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c r="A376" s="275"/>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c r="A377" s="275"/>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c r="A378" s="275"/>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c r="A379" s="275"/>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c r="A380" s="275"/>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c r="A381" s="275"/>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c r="A382" s="275"/>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c r="A383" s="275"/>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c r="A384" s="275"/>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c r="A385" s="275"/>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c r="A386" s="275"/>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c r="A387" s="275"/>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c r="A388" s="275"/>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c r="A389" s="275"/>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c r="A390" s="275"/>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c r="A391" s="275"/>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c r="A392" s="275"/>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c r="A393" s="275"/>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c r="A394" s="275"/>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c r="A395" s="275"/>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c r="A396" s="275"/>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c r="A397" s="275"/>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c r="A398" s="275"/>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c r="A399" s="275"/>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c r="A400" s="275"/>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c r="A401" s="275"/>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c r="A402" s="275"/>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c r="A403" s="275"/>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c r="A404" s="275"/>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c r="A405" s="275"/>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c r="A406" s="275"/>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c r="A407" s="275"/>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c r="A408" s="275"/>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c r="A409" s="275"/>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c r="A410" s="275"/>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c r="A411" s="275"/>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c r="A412" s="275"/>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c r="A413" s="275"/>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c r="A414" s="275"/>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c r="A415" s="275"/>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c r="A416" s="275"/>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c r="A417" s="275"/>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c r="A418" s="275"/>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c r="A419" s="275"/>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c r="A420" s="275"/>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c r="A421" s="275"/>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c r="A422" s="275"/>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c r="A423" s="275"/>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c r="A424" s="275"/>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c r="A425" s="275"/>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c r="A426" s="275"/>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c r="A427" s="275"/>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c r="A428" s="275"/>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c r="A429" s="275"/>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c r="A430" s="275"/>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c r="A431" s="275"/>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c r="A432" s="275"/>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c r="A433" s="275"/>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c r="A434" s="275"/>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c r="A435" s="275"/>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c r="A436" s="275"/>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c r="A437" s="275"/>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c r="A438" s="275"/>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c r="A439" s="275"/>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c r="A440" s="275"/>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c r="A441" s="275"/>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c r="A442" s="275"/>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c r="A443" s="275"/>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c r="A444" s="275"/>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c r="A445" s="275"/>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c r="A446" s="275"/>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c r="A447" s="275"/>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c r="A448" s="275"/>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c r="A449" s="275"/>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c r="A450" s="275"/>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c r="A451" s="275"/>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c r="A452" s="275"/>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c r="A453" s="275"/>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c r="A454" s="275"/>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c r="A455" s="275"/>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c r="A456" s="275"/>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c r="A457" s="275"/>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c r="A458" s="275"/>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c r="A459" s="275"/>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c r="A460" s="275"/>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c r="A461" s="275"/>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c r="A462" s="275"/>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c r="A463" s="275"/>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c r="A464" s="275"/>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c r="A465" s="275"/>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c r="A466" s="275"/>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c r="A467" s="275"/>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c r="A468" s="275"/>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c r="A469" s="275"/>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c r="A470" s="275"/>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c r="A471" s="275"/>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c r="A472" s="275"/>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c r="A473" s="275"/>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c r="A474" s="275"/>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c r="A475" s="275"/>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c r="A476" s="275"/>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c r="A477" s="275"/>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c r="A478" s="275"/>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c r="A479" s="275"/>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c r="A480" s="275"/>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c r="A481" s="275"/>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c r="A482" s="275"/>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c r="A483" s="275"/>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c r="A484" s="275"/>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c r="A485" s="275"/>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c r="A486" s="275"/>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c r="A487" s="275"/>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c r="A488" s="275"/>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c r="A489" s="275"/>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c r="A490" s="275"/>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c r="A491" s="275"/>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c r="A492" s="275"/>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c r="A493" s="275"/>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c r="A494" s="275"/>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c r="A495" s="275"/>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c r="A496" s="275"/>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c r="A497" s="275"/>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c r="A498" s="275"/>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c r="A499" s="275"/>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c r="A500" s="275"/>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c r="A501" s="275"/>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c r="A502" s="275"/>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c r="A503" s="275"/>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c r="A504" s="275"/>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c r="A505" s="275"/>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c r="A506" s="275"/>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c r="A507" s="275"/>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c r="A508" s="275"/>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c r="A509" s="275"/>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c r="A510" s="275"/>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c r="A511" s="275"/>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c r="A512" s="275"/>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c r="A513" s="275"/>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c r="A514" s="275"/>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c r="A515" s="275"/>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c r="A516" s="275"/>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c r="A517" s="275"/>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c r="A518" s="275"/>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c r="A519" s="275"/>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c r="A520" s="275"/>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c r="A521" s="275"/>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c r="A522" s="275"/>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c r="A523" s="275"/>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c r="A524" s="275"/>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c r="A525" s="275"/>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c r="A526" s="275"/>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c r="A527" s="275"/>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c r="A528" s="275"/>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c r="A529" s="275"/>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c r="A530" s="275"/>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c r="A531" s="275"/>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c r="A532" s="275"/>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c r="A533" s="275"/>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c r="A534" s="275"/>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c r="A535" s="275"/>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c r="A536" s="275"/>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c r="A537" s="275"/>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c r="A538" s="275"/>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c r="A539" s="275"/>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c r="A540" s="275"/>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c r="A541" s="275"/>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c r="A542" s="275"/>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c r="A543" s="275"/>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c r="A544" s="275"/>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c r="A545" s="275"/>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c r="A546" s="275"/>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c r="A547" s="275"/>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c r="A548" s="275"/>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c r="A549" s="275"/>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c r="A550" s="275"/>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c r="A551" s="275"/>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c r="A552" s="275"/>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c r="A553" s="275"/>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c r="A554" s="275"/>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c r="A555" s="275"/>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c r="A556" s="275"/>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c r="A557" s="275"/>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c r="A558" s="275"/>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c r="A559" s="275"/>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c r="A560" s="275"/>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c r="A561" s="275"/>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c r="A562" s="275"/>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c r="A563" s="275"/>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c r="A564" s="275"/>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c r="A565" s="275"/>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c r="A566" s="275"/>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c r="A567" s="275"/>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c r="A568" s="275"/>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c r="A569" s="275"/>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c r="A570" s="275"/>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c r="A571" s="275"/>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c r="A572" s="275"/>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c r="A573" s="275"/>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c r="A574" s="275"/>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c r="A575" s="275"/>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c r="A576" s="275"/>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c r="A577" s="275"/>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c r="A578" s="275"/>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c r="A579" s="275"/>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c r="A580" s="275"/>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c r="A581" s="275"/>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c r="A582" s="275"/>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c r="A583" s="275"/>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c r="A584" s="275"/>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c r="A585" s="275"/>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c r="A586" s="275"/>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c r="A587" s="275"/>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c r="A588" s="275"/>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c r="A589" s="275"/>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c r="A590" s="275"/>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c r="A591" s="275"/>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c r="A592" s="275"/>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c r="A593" s="275"/>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c r="A594" s="275"/>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c r="A595" s="275"/>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c r="A596" s="275"/>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c r="A597" s="275"/>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c r="A598" s="275"/>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c r="A599" s="275"/>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c r="A600" s="275"/>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c r="A601" s="275"/>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c r="A602" s="275"/>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c r="A603" s="275"/>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c r="A604" s="275"/>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c r="A605" s="275"/>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c r="A606" s="275"/>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c r="A607" s="275"/>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c r="A608" s="275"/>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c r="A609" s="275"/>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c r="A610" s="275"/>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c r="A611" s="275"/>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c r="A612" s="275"/>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c r="A613" s="275"/>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c r="A614" s="275"/>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c r="A615" s="275"/>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c r="A616" s="275"/>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c r="A617" s="275"/>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c r="A618" s="275"/>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c r="A619" s="275"/>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c r="A620" s="275"/>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c r="A621" s="275"/>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c r="A622" s="275"/>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c r="A623" s="275"/>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c r="A624" s="275"/>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c r="A625" s="275"/>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c r="A626" s="275"/>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c r="A627" s="275"/>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c r="A628" s="275"/>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c r="A629" s="275"/>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c r="A630" s="275"/>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c r="A631" s="275"/>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c r="A632" s="275"/>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c r="A633" s="275"/>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c r="A634" s="275"/>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c r="A635" s="275"/>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c r="A636" s="275"/>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c r="A637" s="275"/>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c r="A638" s="275"/>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c r="A639" s="275"/>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c r="A640" s="275"/>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c r="A641" s="275"/>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c r="A642" s="275"/>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c r="A643" s="275"/>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c r="A644" s="275"/>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c r="A645" s="275"/>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c r="A646" s="275"/>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c r="A647" s="275"/>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c r="A648" s="275"/>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c r="A649" s="275"/>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c r="A650" s="275"/>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c r="A651" s="275"/>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c r="A652" s="275"/>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c r="A653" s="275"/>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c r="A654" s="275"/>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c r="A655" s="275"/>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c r="A656" s="275"/>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c r="A657" s="275"/>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c r="A658" s="275"/>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c r="A659" s="275"/>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c r="A660" s="275"/>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c r="A661" s="275"/>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c r="A662" s="275"/>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c r="A663" s="275"/>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c r="A664" s="275"/>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c r="A665" s="275"/>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c r="A666" s="275"/>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c r="A667" s="275"/>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c r="A668" s="275"/>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c r="A669" s="275"/>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c r="A670" s="275"/>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c r="A671" s="275"/>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c r="A672" s="275"/>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c r="A673" s="275"/>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c r="A674" s="275"/>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c r="A675" s="275"/>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c r="A676" s="275"/>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c r="A677" s="275"/>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c r="A678" s="275"/>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c r="A679" s="275"/>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c r="A680" s="275"/>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c r="A681" s="275"/>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c r="A682" s="275"/>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c r="A683" s="275"/>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c r="A684" s="275"/>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c r="A685" s="275"/>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c r="A686" s="275"/>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c r="A687" s="275"/>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c r="A688" s="275"/>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c r="A689" s="275"/>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c r="A690" s="275"/>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c r="A691" s="275"/>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c r="A692" s="275"/>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c r="A693" s="275"/>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c r="A694" s="275"/>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c r="A695" s="275"/>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c r="A696" s="275"/>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c r="A697" s="275"/>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c r="A698" s="275"/>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c r="A699" s="275"/>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c r="A700" s="275"/>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c r="A701" s="275"/>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c r="A702" s="275"/>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c r="A703" s="275"/>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c r="A704" s="275"/>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c r="A705" s="275"/>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c r="A706" s="275"/>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c r="A707" s="275"/>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c r="A708" s="275"/>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c r="A709" s="275"/>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c r="A710" s="275"/>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c r="A711" s="275"/>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c r="A712" s="275"/>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c r="A713" s="275"/>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c r="A714" s="275"/>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c r="A715" s="275"/>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c r="A716" s="275"/>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c r="A717" s="275"/>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c r="A718" s="275"/>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c r="A719" s="275"/>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c r="A720" s="275"/>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c r="A721" s="275"/>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c r="A722" s="275"/>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c r="A723" s="275"/>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c r="A724" s="275"/>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c r="A725" s="275"/>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c r="A726" s="275"/>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c r="A727" s="275"/>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c r="A728" s="275"/>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c r="A729" s="275"/>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c r="A730" s="275"/>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c r="A731" s="275"/>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c r="A732" s="275"/>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c r="A733" s="275"/>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c r="A734" s="275"/>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c r="A735" s="275"/>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c r="A736" s="275"/>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c r="A737" s="275"/>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c r="A738" s="275"/>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c r="A739" s="275"/>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c r="A740" s="275"/>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c r="A741" s="275"/>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c r="A742" s="275"/>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c r="A743" s="275"/>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c r="A744" s="275"/>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c r="A745" s="275"/>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c r="A746" s="275"/>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c r="A747" s="275"/>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c r="A748" s="275"/>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c r="A749" s="275"/>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c r="A750" s="275"/>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c r="A751" s="275"/>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c r="A752" s="275"/>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c r="A753" s="275"/>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c r="A754" s="275"/>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c r="A755" s="275"/>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c r="A756" s="275"/>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c r="A757" s="275"/>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c r="A758" s="275"/>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c r="A759" s="275"/>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c r="A760" s="275"/>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c r="A761" s="275"/>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c r="A762" s="275"/>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c r="A763" s="275"/>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c r="A764" s="275"/>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c r="A765" s="275"/>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c r="A766" s="275"/>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c r="A767" s="275"/>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c r="A768" s="275"/>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c r="A769" s="275"/>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c r="A770" s="275"/>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c r="A771" s="275"/>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c r="A772" s="275"/>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c r="A773" s="275"/>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c r="A774" s="275"/>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c r="A775" s="275"/>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c r="A776" s="275"/>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c r="A777" s="275"/>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c r="A778" s="275"/>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c r="A779" s="275"/>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c r="A780" s="275"/>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c r="A781" s="275"/>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c r="A782" s="275"/>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c r="A783" s="275"/>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c r="A784" s="275"/>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c r="A785" s="275"/>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c r="A786" s="275"/>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c r="A787" s="275"/>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c r="A788" s="275"/>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c r="A789" s="275"/>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c r="A790" s="275"/>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c r="A791" s="275"/>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c r="A792" s="275"/>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c r="A793" s="275"/>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c r="A794" s="275"/>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c r="A795" s="275"/>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c r="A796" s="275"/>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c r="A797" s="275"/>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c r="A798" s="275"/>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c r="A799" s="275"/>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c r="A800" s="275"/>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c r="A801" s="275"/>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c r="A802" s="275"/>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c r="A803" s="275"/>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c r="A804" s="275"/>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c r="A805" s="275"/>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c r="A806" s="275"/>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c r="A807" s="275"/>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c r="A808" s="275"/>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c r="A809" s="275"/>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c r="A810" s="275"/>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c r="A811" s="275"/>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c r="A812" s="275"/>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c r="A813" s="275"/>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c r="A814" s="275"/>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c r="A815" s="275"/>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c r="A816" s="275"/>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c r="A817" s="275"/>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c r="A818" s="275"/>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c r="A819" s="275"/>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c r="A820" s="275"/>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c r="A821" s="275"/>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c r="A822" s="275"/>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c r="A823" s="275"/>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c r="A824" s="275"/>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c r="A825" s="275"/>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c r="A826" s="275"/>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c r="A827" s="275"/>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c r="A828" s="275"/>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c r="A829" s="275"/>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c r="A830" s="275"/>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c r="A831" s="275"/>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c r="A832" s="275"/>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c r="A833" s="275"/>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c r="A834" s="275"/>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c r="A835" s="275"/>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c r="A836" s="275"/>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c r="A837" s="275"/>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c r="A838" s="275"/>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c r="A839" s="275"/>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c r="A840" s="275"/>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c r="A841" s="275"/>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c r="A842" s="275"/>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c r="A843" s="275"/>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c r="A844" s="275"/>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c r="A845" s="275"/>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c r="A846" s="275"/>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c r="A847" s="275"/>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c r="A848" s="275"/>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c r="A849" s="275"/>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c r="A850" s="275"/>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c r="A851" s="275"/>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c r="A852" s="275"/>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c r="A853" s="275"/>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c r="A854" s="275"/>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c r="A855" s="275"/>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c r="A856" s="275"/>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c r="A857" s="275"/>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c r="A858" s="275"/>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c r="A859" s="275"/>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c r="A860" s="275"/>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c r="A861" s="275"/>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c r="A862" s="275"/>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c r="A863" s="275"/>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c r="A864" s="275"/>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c r="A865" s="275"/>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c r="A866" s="275"/>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c r="A867" s="275"/>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c r="A868" s="275"/>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c r="A869" s="275"/>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c r="A870" s="275"/>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c r="A871" s="275"/>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c r="A872" s="275"/>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c r="A873" s="275"/>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c r="A874" s="275"/>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c r="A875" s="275"/>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c r="A876" s="275"/>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c r="A877" s="275"/>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c r="A878" s="275"/>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c r="A879" s="275"/>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c r="A880" s="275"/>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c r="A881" s="275"/>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c r="A882" s="275"/>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c r="A883" s="275"/>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c r="A884" s="275"/>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c r="A885" s="275"/>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c r="A886" s="275"/>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c r="A887" s="275"/>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c r="A888" s="275"/>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c r="A889" s="275"/>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c r="A890" s="275"/>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c r="A891" s="275"/>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c r="A892" s="275"/>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c r="A893" s="275"/>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c r="A894" s="275"/>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c r="A895" s="275"/>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c r="A896" s="275"/>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c r="A897" s="275"/>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c r="A898" s="275"/>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c r="A899" s="275"/>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c r="A900" s="275"/>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c r="A901" s="275"/>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c r="A902" s="275"/>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c r="A903" s="275"/>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c r="A904" s="275"/>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c r="A905" s="275"/>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c r="A906" s="275"/>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c r="A907" s="275"/>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c r="A908" s="275"/>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c r="A909" s="275"/>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c r="A910" s="275"/>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c r="A911" s="275"/>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c r="A912" s="275"/>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c r="A913" s="275"/>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c r="A914" s="275"/>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c r="A915" s="275"/>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c r="A916" s="275"/>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c r="A917" s="275"/>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c r="A918" s="275"/>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c r="A919" s="275"/>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c r="A920" s="275"/>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c r="A921" s="275"/>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c r="A922" s="275"/>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c r="A923" s="275"/>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c r="A924" s="275"/>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c r="A925" s="275"/>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c r="A926" s="275"/>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c r="A927" s="275"/>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c r="A928" s="275"/>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c r="A929" s="275"/>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c r="A930" s="275"/>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c r="A931" s="275"/>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c r="A932" s="275"/>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c r="A933" s="275"/>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c r="A934" s="275"/>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c r="A935" s="275"/>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c r="A936" s="275"/>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c r="A937" s="275"/>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c r="A938" s="275"/>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c r="A939" s="275"/>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c r="A940" s="275"/>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c r="A941" s="275"/>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c r="A942" s="275"/>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c r="A943" s="275"/>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c r="A944" s="275"/>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c r="A945" s="275"/>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c r="A946" s="275"/>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c r="A947" s="275"/>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c r="A948" s="275"/>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c r="A949" s="275"/>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c r="A950" s="275"/>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c r="A951" s="275"/>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c r="A952" s="275"/>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c r="A953" s="275"/>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c r="A954" s="275"/>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c r="A955" s="275"/>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c r="A956" s="275"/>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c r="A957" s="275"/>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c r="A958" s="275"/>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c r="A959" s="275"/>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c r="A960" s="275"/>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c r="A961" s="275"/>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c r="A962" s="275"/>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c r="A963" s="275"/>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c r="A964" s="275"/>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c r="A965" s="275"/>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c r="A966" s="275"/>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c r="A967" s="275"/>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c r="A968" s="275"/>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c r="A969" s="275"/>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c r="A970" s="275"/>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c r="A971" s="275"/>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c r="A972" s="275"/>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c r="A973" s="275"/>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c r="A974" s="275"/>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c r="A975" s="275"/>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c r="A976" s="275"/>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c r="A977" s="275"/>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c r="A978" s="275"/>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c r="A979" s="275"/>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c r="A980" s="275"/>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c r="A981" s="275"/>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c r="A982" s="275"/>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c r="A983" s="275"/>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c r="A984" s="275"/>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c r="A985" s="275"/>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c r="A986" s="275"/>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c r="A987" s="275"/>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c r="A988" s="275"/>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c r="A989" s="275"/>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c r="A990" s="275"/>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c r="A991" s="275"/>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c r="A992" s="275"/>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c r="A993" s="275"/>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c r="A994" s="275"/>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c r="A995" s="275"/>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c r="A996" s="275"/>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c r="A997" s="275"/>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c r="A998" s="275"/>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c r="A999" s="275"/>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c r="A1000" s="275"/>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sheetData>
  <mergeCells count="21">
    <mergeCell ref="A2:A19"/>
    <mergeCell ref="A21:A26"/>
    <mergeCell ref="A28:A43"/>
    <mergeCell ref="A45:A145"/>
    <mergeCell ref="A147:A150"/>
    <mergeCell ref="A152:A161"/>
    <mergeCell ref="A163:A167"/>
    <mergeCell ref="A275:A277"/>
    <mergeCell ref="A279:A297"/>
    <mergeCell ref="A299:A305"/>
    <mergeCell ref="A307:A326"/>
    <mergeCell ref="A328:A336"/>
    <mergeCell ref="A338:A361"/>
    <mergeCell ref="A363:A370"/>
    <mergeCell ref="A169:A177"/>
    <mergeCell ref="A179:A207"/>
    <mergeCell ref="A209:A220"/>
    <mergeCell ref="A222:A236"/>
    <mergeCell ref="A238:A243"/>
    <mergeCell ref="A245:A262"/>
    <mergeCell ref="A264:A273"/>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279">
        <v>44348.0</v>
      </c>
      <c r="B2" s="280" t="s">
        <v>2839</v>
      </c>
    </row>
  </sheetData>
  <hyperlinks>
    <hyperlink r:id="rId1" ref="B2"/>
  </hyperlinks>
  <drawing r:id="rId2"/>
</worksheet>
</file>